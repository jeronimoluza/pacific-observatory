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uild_Plan_215" sheetId="2" state="visible" r:id="rId2"/>
    <sheet xmlns:r="http://schemas.openxmlformats.org/officeDocument/2006/relationships" name="Remaining_125" sheetId="3" state="visible" r:id="rId3"/>
    <sheet xmlns:r="http://schemas.openxmlformats.org/officeDocument/2006/relationships" name="All_Viable_340" sheetId="4" state="visible" r:id="rId4"/>
    <sheet xmlns:r="http://schemas.openxmlformats.org/officeDocument/2006/relationships" name="All_Candidates_685" sheetId="5" state="visible" r:id="rId5"/>
    <sheet xmlns:r="http://schemas.openxmlformats.org/officeDocument/2006/relationships" name="Country_Coverage" sheetId="6" state="visible" r:id="rId6"/>
    <sheet xmlns:r="http://schemas.openxmlformats.org/officeDocument/2006/relationships" name="Country_Gaps" sheetId="7" state="visible" r:id="rId7"/>
    <sheet xmlns:r="http://schemas.openxmlformats.org/officeDocument/2006/relationships" name="Leaf_Gaps_Div01" sheetId="8" state="visible" r:id="rId8"/>
    <sheet xmlns:r="http://schemas.openxmlformats.org/officeDocument/2006/relationships" name="Blockers" sheetId="9" state="visible" r:id="rId9"/>
    <sheet xmlns:r="http://schemas.openxmlformats.org/officeDocument/2006/relationships" name="Discovered_NetNew" sheetId="10" state="visible" r:id="rId10"/>
  </sheets>
  <definedNames>
    <definedName name="_xlnm._FilterDatabase" localSheetId="1" hidden="1">'Build_Plan_215'!$A$1:$T$216</definedName>
    <definedName name="_xlnm._FilterDatabase" localSheetId="2" hidden="1">'Remaining_125'!$A$1:$T$126</definedName>
    <definedName name="_xlnm._FilterDatabase" localSheetId="3" hidden="1">'All_Viable_340'!$A$1:$T$341</definedName>
    <definedName name="_xlnm._FilterDatabase" localSheetId="4" hidden="1">'All_Candidates_685'!$A$1:$V$686</definedName>
    <definedName name="_xlnm._FilterDatabase" localSheetId="5" hidden="1">'Country_Coverage'!$A$1:$G$161</definedName>
    <definedName name="_xlnm._FilterDatabase" localSheetId="6" hidden="1">'Country_Gaps'!$A$1:$G$70</definedName>
    <definedName name="_xlnm._FilterDatabase" localSheetId="7" hidden="1">'Leaf_Gaps_Div01'!$A$1:$O$270</definedName>
    <definedName name="_xlnm._FilterDatabase" localSheetId="8" hidden="1">'Blockers'!$A$1:$G$143</definedName>
    <definedName name="_xlnm._FilterDatabase" localSheetId="9" hidden="1">'Discovered_NetNew'!$A$1:$Q$175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name val="Arial"/>
      <b val="1"/>
      <color rgb="00FFFFFF"/>
      <sz val="10"/>
    </font>
    <font>
      <name val="Arial"/>
      <sz val="10"/>
    </font>
    <font>
      <name val="Arial"/>
      <b val="1"/>
      <color rgb="001F3864"/>
      <sz val="16"/>
    </font>
    <font>
      <name val="Arial"/>
      <i val="1"/>
      <color rgb="00555555"/>
      <sz val="10"/>
    </font>
    <font>
      <name val="Arial"/>
      <b val="1"/>
      <color rgb="00FFFFFF"/>
      <sz val="12"/>
    </font>
    <font>
      <name val="Arial"/>
      <b val="1"/>
      <sz val="10"/>
    </font>
    <font>
      <name val="Arial"/>
      <b val="1"/>
      <color rgb="001F3864"/>
      <sz val="11"/>
    </font>
    <font>
      <name val="Arial"/>
      <color rgb="00555555"/>
      <sz val="9"/>
    </font>
  </fonts>
  <fills count="3">
    <fill>
      <patternFill/>
    </fill>
    <fill>
      <patternFill patternType="gray125"/>
    </fill>
    <fill>
      <patternFill patternType="solid">
        <fgColor rgb="001F3864"/>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top"/>
    </xf>
    <xf numFmtId="0" fontId="4" fillId="0" borderId="1" applyAlignment="1" pivotButton="0" quotePrefix="0" xfId="0">
      <alignment horizontal="center" vertical="top"/>
    </xf>
    <xf numFmtId="0" fontId="5" fillId="0" borderId="0" applyAlignment="1" pivotButton="0" quotePrefix="0" xfId="0">
      <alignment vertical="top" wrapText="1"/>
    </xf>
    <xf numFmtId="0" fontId="6" fillId="2" borderId="0" pivotButton="0" quotePrefix="0" xfId="0"/>
    <xf numFmtId="0" fontId="0" fillId="2" borderId="0" pivotButton="0" quotePrefix="0" xfId="0"/>
    <xf numFmtId="0" fontId="7" fillId="0" borderId="0" pivotButton="0" quotePrefix="0" xfId="0"/>
    <xf numFmtId="0" fontId="8" fillId="0" borderId="0" applyAlignment="1" pivotButton="0" quotePrefix="0" xfId="0">
      <alignment horizontal="center"/>
    </xf>
    <xf numFmtId="0" fontId="9" fillId="0" borderId="0" applyAlignment="1" pivotButton="0" quotePrefix="0" xfId="0">
      <alignment vertical="center" wrapText="1"/>
    </xf>
    <xf numFmtId="0" fontId="3" fillId="0" borderId="0" pivotButton="0" quotePrefix="0" xfId="0"/>
    <xf numFmtId="0" fontId="7" fillId="0" borderId="0" applyAlignment="1" pivotButton="0" quotePrefix="0" xfId="0">
      <alignment vertical="top" wrapText="1"/>
    </xf>
    <xf numFmtId="0" fontId="3" fillId="0" borderId="0" applyAlignment="1" pivotButton="0" quotePrefix="0" xfId="0">
      <alignment vertical="top" wrapText="1"/>
    </xf>
    <xf numFmtId="0" fontId="2" fillId="2" borderId="1" applyAlignment="1" pivotButton="0" quotePrefix="0" xfId="0">
      <alignment vertical="center" wrapText="1"/>
    </xf>
    <xf numFmtId="0" fontId="3"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5"/>
  <sheetViews>
    <sheetView showGridLines="0" workbookViewId="0">
      <selection activeCell="A1" sqref="A1"/>
    </sheetView>
  </sheetViews>
  <sheetFormatPr baseColWidth="8" defaultRowHeight="15"/>
  <cols>
    <col width="56" customWidth="1" min="1" max="1"/>
    <col width="13" customWidth="1" min="2" max="2"/>
    <col width="94" customWidth="1" min="3" max="3"/>
  </cols>
  <sheetData>
    <row r="1">
      <c r="A1" s="2" t="inlineStr">
        <is>
          <t>F&amp;B price-source coverage - global sweep</t>
        </is>
      </c>
    </row>
    <row r="2" ht="30" customHeight="1">
      <c r="A2" s="3" t="inlineStr">
        <is>
          <t>Built 2026-08-06 from 18 probe agents across all six regions (eap, eca, ssa, sar, menaap, lac). Denominator throughout: 279 deep COICOP F&amp;B leaves (269 in division 01, 10 in division 02).</t>
        </is>
      </c>
    </row>
    <row r="4">
      <c r="A4" s="4" t="inlineStr">
        <is>
          <t>The sweep</t>
        </is>
      </c>
      <c r="B4" s="5" t="n"/>
      <c r="C4" s="5" t="n"/>
    </row>
    <row r="5">
      <c r="A5" s="6" t="inlineStr">
        <is>
          <t>Candidates in your list</t>
        </is>
      </c>
      <c r="B5" s="7">
        <f>COUNTA(All_Candidates_685!A2:A686)</f>
        <v/>
      </c>
      <c r="C5" s="8" t="inlineStr">
        <is>
          <t>rows in price_scraping_global_sources_fnb.csv</t>
        </is>
      </c>
    </row>
    <row r="6">
      <c r="A6" s="6" t="inlineStr">
        <is>
          <t>Probed and viable</t>
        </is>
      </c>
      <c r="B6" s="7">
        <f>COUNTIF(All_Candidates_685!G2:G686,"PROBED - VIABLE")</f>
        <v/>
      </c>
      <c r="C6" s="8" t="inlineStr">
        <is>
          <t>list rows that verified (list has duplicate domains, so this exceeds distinct sources)</t>
        </is>
      </c>
    </row>
    <row r="7">
      <c r="A7" s="6" t="inlineStr">
        <is>
          <t>Probed and rejected</t>
        </is>
      </c>
      <c r="B7" s="7">
        <f>COUNTIF(All_Candidates_685!G2:G686,"PROBED - SKIP")</f>
        <v/>
      </c>
      <c r="C7" s="8" t="inlineStr">
        <is>
          <t>network trace on file showing they are not usable</t>
        </is>
      </c>
    </row>
    <row r="8">
      <c r="A8" s="6" t="inlineStr">
        <is>
          <t>Not probed</t>
        </is>
      </c>
      <c r="B8" s="7">
        <f>COUNTIF(All_Candidates_685!G2:G686,"NOT PROBED*")</f>
        <v/>
      </c>
      <c r="C8" s="8" t="inlineStr">
        <is>
          <t>duplicate domain, already onboarded, or time-boxed out</t>
        </is>
      </c>
    </row>
    <row r="9">
      <c r="A9" s="6" t="inlineStr">
        <is>
          <t>Total viable sources found</t>
        </is>
      </c>
      <c r="B9" s="7">
        <f>COUNTA(All_Viable_340!A2:A341)</f>
        <v/>
      </c>
      <c r="C9" s="8" t="inlineStr">
        <is>
          <t>includes net-new finds that were NOT in your list - see Discovered_NetNew</t>
        </is>
      </c>
    </row>
    <row r="11">
      <c r="A11" s="4" t="inlineStr">
        <is>
          <t>Build plan</t>
        </is>
      </c>
      <c r="B11" s="5" t="n"/>
      <c r="C11" s="5" t="n"/>
    </row>
    <row r="12">
      <c r="A12" s="6" t="inlineStr">
        <is>
          <t>Ready now (low effort)</t>
        </is>
      </c>
      <c r="B12" s="7">
        <f>COUNTA(Build_Plan_215!A2:A216)</f>
        <v/>
      </c>
      <c r="C12" s="8" t="inlineStr">
        <is>
          <t>endpoint verified, real sample product captured</t>
        </is>
      </c>
    </row>
    <row r="13">
      <c r="A13" s="9" t="inlineStr">
        <is>
          <t xml:space="preserve">   Wave 1 - WFP/CKAN fetcher extension</t>
        </is>
      </c>
      <c r="B13" s="7">
        <f>COUNTIF(Build_Plan_215!G2:G216,"Wave 1")</f>
        <v/>
      </c>
      <c r="C13" s="8" t="inlineStr">
        <is>
          <t>ONE line each in an existing _PANELS dict. Cheapest work in the plan. Date-check each panel - stale ones exist.</t>
        </is>
      </c>
    </row>
    <row r="14">
      <c r="A14" s="9" t="inlineStr">
        <is>
          <t xml:space="preserve">   Wave 2 - off-the-shelf platforms</t>
        </is>
      </c>
      <c r="B14" s="7">
        <f>COUNTIF(Build_Plan_215!G2:G216,"Wave 2")</f>
        <v/>
      </c>
      <c r="C14" s="8" t="inlineStr">
        <is>
          <t>VTEX / Shopify / WooCommerce / Magento / PrestaShop / OpenCart / NCR Freshop -&gt; 7 generic spiders cover all of them</t>
        </is>
      </c>
    </row>
    <row r="15">
      <c r="A15" s="9" t="inlineStr">
        <is>
          <t xml:space="preserve">   Wave 3 - bespoke</t>
        </is>
      </c>
      <c r="B15" s="7">
        <f>COUNTIF(Build_Plan_215!G2:G216,"Wave 3")</f>
        <v/>
      </c>
      <c r="C15" s="8" t="inlineStr">
        <is>
          <t>one custom spider or fetcher each - this is the real cost</t>
        </is>
      </c>
    </row>
    <row r="16">
      <c r="A16" s="6" t="inlineStr">
        <is>
          <t>Needs more work</t>
        </is>
      </c>
      <c r="B16" s="7">
        <f>COUNTA(Remaining_125!A2:A126)</f>
        <v/>
      </c>
      <c r="C16" s="8" t="inlineStr"/>
    </row>
    <row r="17">
      <c r="A17" s="9" t="inlineStr">
        <is>
          <t xml:space="preserve">   Wave 4 - endpoint known, harder parse</t>
        </is>
      </c>
      <c r="B17" s="7">
        <f>COUNTIF(Remaining_125!E2:E126,"TIER_1A")+COUNTIF(Remaining_125!E2:E126,"TIER_1B")</f>
        <v/>
      </c>
      <c r="C17" s="8" t="inlineStr">
        <is>
          <t>pagination, auth or awkward parsing</t>
        </is>
      </c>
    </row>
    <row r="18">
      <c r="A18" s="9" t="inlineStr">
        <is>
          <t xml:space="preserve">   Wave 5 - needs a discovery pass</t>
        </is>
      </c>
      <c r="B18" s="7">
        <f>COUNTIF(Remaining_125!E2:E126,"TIER_2")</f>
        <v/>
      </c>
      <c r="C18" s="8" t="inlineStr">
        <is>
          <t>Playwright to FIND the JSON endpoint, then scrape it over plain HTTP</t>
        </is>
      </c>
    </row>
    <row r="20">
      <c r="A20" s="6" t="inlineStr">
        <is>
          <t>Of the ready set: spiders to write</t>
        </is>
      </c>
      <c r="B20" s="7">
        <f>COUNTIF(Build_Plan_215!H2:H216,"spider")</f>
        <v/>
      </c>
      <c r="C20" s="8" t="inlineStr"/>
    </row>
    <row r="21">
      <c r="A21" s="6" t="inlineStr">
        <is>
          <t>Of the ready set: fetchers to write</t>
        </is>
      </c>
      <c r="B21" s="7">
        <f>COUNTIF(Build_Plan_215!H2:H216,"fetcher")</f>
        <v/>
      </c>
      <c r="C21" s="8" t="inlineStr"/>
    </row>
    <row r="22">
      <c r="A22" s="6" t="inlineStr">
        <is>
          <t>Distinct build units</t>
        </is>
      </c>
      <c r="B22" s="7">
        <f>COUNTIF(Build_Plan_215!J2:J216,"Z_bespoke")+8</f>
        <v/>
      </c>
      <c r="C22" s="8" t="inlineStr">
        <is>
          <t>bespoke sources + 7 generic platform spiders + 1 fetcher edit. Far below the raw source count.</t>
        </is>
      </c>
    </row>
    <row r="24">
      <c r="A24" s="4" t="inlineStr">
        <is>
          <t>Where we lack COUNTRY coverage</t>
        </is>
      </c>
      <c r="B24" s="5" t="n"/>
      <c r="C24" s="5" t="n"/>
    </row>
    <row r="25">
      <c r="A25" s="6" t="inlineStr">
        <is>
          <t>Countries assessed</t>
        </is>
      </c>
      <c r="B25" s="7">
        <f>COUNTA(Country_Coverage!B2:B161)</f>
        <v/>
      </c>
      <c r="C25" s="8" t="inlineStr"/>
    </row>
    <row r="26">
      <c r="A26" s="9" t="inlineStr">
        <is>
          <t xml:space="preserve">   at 50% or more of the 279 leaves</t>
        </is>
      </c>
      <c r="B26" s="7">
        <f>COUNTIF(Country_Coverage!E2:E161,"&gt;=50")</f>
        <v/>
      </c>
      <c r="C26" s="8" t="inlineStr"/>
    </row>
    <row r="27">
      <c r="A27" s="9" t="inlineStr">
        <is>
          <t xml:space="preserve">   at 30-50%</t>
        </is>
      </c>
      <c r="B27" s="7">
        <f>COUNTIFS(Country_Coverage!E2:E161,"&gt;=30",Country_Coverage!E2:E161,"&lt;50")</f>
        <v/>
      </c>
      <c r="C27" s="8" t="inlineStr"/>
    </row>
    <row r="28">
      <c r="A28" s="9" t="inlineStr">
        <is>
          <t xml:space="preserve">   under 30% - THE GAP LIST</t>
        </is>
      </c>
      <c r="B28" s="7">
        <f>COUNTIF(Country_Coverage!E2:E161,"&lt;30")</f>
        <v/>
      </c>
      <c r="C28" s="8" t="inlineStr">
        <is>
          <t>itemised on Country_Gaps</t>
        </is>
      </c>
    </row>
    <row r="29">
      <c r="A29" s="9" t="inlineStr">
        <is>
          <t xml:space="preserve">   at zero</t>
        </is>
      </c>
      <c r="B29" s="7">
        <f>COUNTIF(Country_Coverage!E2:E161,0)</f>
        <v/>
      </c>
      <c r="C29" s="8" t="inlineStr">
        <is>
          <t>all six Gulf states are here - one WAF, six countries</t>
        </is>
      </c>
    </row>
    <row r="31">
      <c r="A31" s="4" t="inlineStr">
        <is>
          <t>Where we lack LEAF coverage (division 01)</t>
        </is>
      </c>
      <c r="B31" s="5" t="n"/>
      <c r="C31" s="5" t="n"/>
    </row>
    <row r="32">
      <c r="A32" s="6" t="inlineStr">
        <is>
          <t>Leaves already covered</t>
        </is>
      </c>
      <c r="B32" s="7">
        <f>COUNTIF(Leaf_Gaps_Div01!D2:D270,"ok")</f>
        <v/>
      </c>
      <c r="C32" s="8" t="inlineStr"/>
    </row>
    <row r="33">
      <c r="A33" s="6" t="inlineStr">
        <is>
          <t>Absent from EAP retail - NEW SOURCES FIX THESE</t>
        </is>
      </c>
      <c r="B33" s="7">
        <f>COUNTIF(Leaf_Gaps_Div01!D2:D270,"out_of_region")</f>
        <v/>
      </c>
      <c r="C33" s="8" t="inlineStr">
        <is>
          <t>teff, sorghum/millet flour, camel meat and milk, cowpeas, pigeon peas, bambara beans, cocoa beans, olives, yautia, quinoa - the direct payoff of this sweep</t>
        </is>
      </c>
    </row>
    <row r="34">
      <c r="A34" s="6" t="inlineStr">
        <is>
          <t>Flagged sourcing_gap</t>
        </is>
      </c>
      <c r="B34" s="7">
        <f>COUNTIF(Leaf_Gaps_Div01!D2:D270,"sourcing_gap")</f>
        <v/>
      </c>
      <c r="C34" s="8" t="inlineStr">
        <is>
          <t>TREAT AS HYPOTHESIS - most past ones turned out to be gold gaps, not source gaps</t>
        </is>
      </c>
    </row>
    <row r="35">
      <c r="A35" s="6" t="inlineStr">
        <is>
          <t>Quantity / unit-value problem</t>
        </is>
      </c>
      <c r="B35" s="7">
        <f>COUNTIF(Leaf_Gaps_Div01!D2:D270,"trusted_tier")</f>
        <v/>
      </c>
      <c r="C35" s="8" t="inlineStr">
        <is>
          <t>no new source fixes these</t>
        </is>
      </c>
    </row>
    <row r="36">
      <c r="A36" s="6" t="inlineStr">
        <is>
          <t>Unreachable by design</t>
        </is>
      </c>
      <c r="B36" s="7">
        <f>COUNTIF(Leaf_Gaps_Div01!D2:D270,"catch_all")+COUNTIF(Leaf_Gaps_Div01!D2:D270,"out_of_scope")</f>
        <v/>
      </c>
      <c r="C36" s="8" t="inlineStr"/>
    </row>
    <row r="38">
      <c r="A38" s="4" t="inlineStr">
        <is>
          <t>Read this before trusting the numbers</t>
        </is>
      </c>
      <c r="B38" s="5" t="n"/>
      <c r="C38" s="5" t="n"/>
    </row>
    <row r="39" ht="44" customHeight="1">
      <c r="A39" s="10" t="inlineStr">
        <is>
          <t>Leaf counts per country are ESTIMATES, not leaf lists.</t>
        </is>
      </c>
      <c r="C39" s="11" t="inlineStr">
        <is>
          <t>Agents estimated HOW MANY of the 279 leaves each source reaches, from catalog categories they actually saw. They did not enumerate WHICH leaves. There is no country-by-leaf matrix here and there cannot be one until these sources are collected and classified.</t>
        </is>
      </c>
    </row>
    <row r="40" ht="44" customHeight="1">
      <c r="A40" s="10" t="inlineStr">
        <is>
          <t>Leaf_Gaps_Div01 is measured on the CURRENT corpus, which is EAP-dominant.</t>
        </is>
      </c>
      <c r="C40" s="11" t="inlineStr">
        <is>
          <t>It is the authoritative answer to "which deep leaves lack coverage" today. Division 01 only (269 of the 279).</t>
        </is>
      </c>
    </row>
    <row r="41" ht="44" customHeight="1">
      <c r="A41" s="10" t="inlineStr">
        <is>
          <t>Leaf_Gaps_Div01 is a SNAPSHOT of leaf_support_table.csv taken 2026-08-06 12:28.</t>
        </is>
      </c>
      <c r="C41" s="11" t="inlineStr">
        <is>
          <t>That table is regenerated by the classifier pipeline and it MOVES. During the build of this workbook a v20 classifier run rewrote it and shifted 14 leaves into "ok" (out_of_region 21 -&gt; 16, sourcing_gap 29 -&gt; 19). Re-run src/prices/build/leaf_support.py and rebuild this sheet before acting on the counts.</t>
        </is>
      </c>
    </row>
    <row r="42" ht="44" customHeight="1">
      <c r="A42" s="10" t="inlineStr">
        <is>
          <t>EAP rows in Country_Coverage are scope-limited.</t>
        </is>
      </c>
      <c r="C42" s="11" t="inlineStr">
        <is>
          <t>The EAP agents only looked at Pacific Islands and official/wholesale feeds. A low or zero EAP number means "no such feed found", NOT "no coverage" - EAP already has 297 manifests that were not re-measured.</t>
        </is>
      </c>
    </row>
    <row r="43" ht="44" customHeight="1">
      <c r="A43" s="10" t="inlineStr">
        <is>
          <t>Your list grades poorly.</t>
        </is>
      </c>
      <c r="C43" s="11" t="inlineStr">
        <is>
          <t>Verdict is a weak prior (ACCEPT 55% viable, SUSPECT 30%, REJECT 10%). Build tier is NOISE - tier B scored 14%, worse than rows with no tier at all (55%). Do not prioritise by it. Platform labels are also unreliable - several Bolivian rows labelled VTEX/Custom are actually Shopify.</t>
        </is>
      </c>
    </row>
    <row r="44" ht="44" customHeight="1">
      <c r="A44" s="10" t="inlineStr">
        <is>
          <t>A manifest existing does not mean F&amp;B coverage exists.</t>
        </is>
      </c>
      <c r="C44" s="11" t="inlineStr">
        <is>
          <t>Six confirmed cases where an onboarded source turned out to be electronics, cosmetics, craft or pharmacy.</t>
        </is>
      </c>
    </row>
    <row r="45" ht="44" customHeight="1">
      <c r="A45" s="10" t="inlineStr">
        <is>
          <t>A zero country is usually not structurally empty.</t>
        </is>
      </c>
      <c r="C45" s="11" t="inlineStr">
        <is>
          <t>Most zeros are SPA-shelled, auth-gated or WAF-blocked storefronts that a Playwright discovery pass may still crack. Treat Country_Gaps as a work queue, not a verdict.</t>
        </is>
      </c>
    </row>
  </sheetData>
  <mergeCells count="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6"/>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34" customWidth="1" min="3" max="3"/>
    <col width="58" customWidth="1" min="4" max="4"/>
    <col width="10" customWidth="1" min="5" max="5"/>
    <col width="10" customWidth="1" min="6" max="6"/>
    <col width="12" customWidth="1" min="7" max="7"/>
    <col width="13" customWidth="1" min="8" max="8"/>
    <col width="58" customWidth="1" min="9" max="9"/>
    <col width="15" customWidth="1" min="10" max="10"/>
    <col width="31" customWidth="1" min="11" max="11"/>
    <col width="17" customWidth="1" min="12" max="12"/>
    <col width="14" customWidth="1" min="13" max="13"/>
    <col width="10" customWidth="1" min="14" max="14"/>
    <col width="16" customWidth="1" min="15" max="15"/>
    <col width="58" customWidth="1" min="16" max="16"/>
    <col width="58" customWidth="1" min="17" max="17"/>
    <col width="10" customWidth="1" min="18" max="18"/>
    <col width="58" customWidth="1" min="19" max="19"/>
    <col width="10" customWidth="1" min="20" max="20"/>
  </cols>
  <sheetData>
    <row r="1" ht="30" customHeight="1">
      <c r="A1" s="12" t="inlineStr">
        <is>
          <t>region</t>
        </is>
      </c>
      <c r="B1" s="12" t="inlineStr">
        <is>
          <t>slug</t>
        </is>
      </c>
      <c r="C1" s="12" t="inlineStr">
        <is>
          <t>source</t>
        </is>
      </c>
      <c r="D1" s="12" t="inlineStr">
        <is>
          <t>url</t>
        </is>
      </c>
      <c r="E1" s="12" t="inlineStr">
        <is>
          <t>tier</t>
        </is>
      </c>
      <c r="F1" s="12" t="inlineStr">
        <is>
          <t>effort</t>
        </is>
      </c>
      <c r="G1" s="12" t="inlineStr">
        <is>
          <t>build_wave</t>
        </is>
      </c>
      <c r="H1" s="12" t="inlineStr">
        <is>
          <t>scaffolding</t>
        </is>
      </c>
      <c r="I1" s="12" t="inlineStr">
        <is>
          <t>build_approach</t>
        </is>
      </c>
      <c r="J1" s="12" t="inlineStr">
        <is>
          <t>bucket</t>
        </is>
      </c>
      <c r="K1" s="12" t="inlineStr">
        <is>
          <t>platform</t>
        </is>
      </c>
      <c r="L1" s="12" t="inlineStr">
        <is>
          <t>analytical_role</t>
        </is>
      </c>
      <c r="M1" s="12" t="inlineStr">
        <is>
          <t>channel</t>
        </is>
      </c>
      <c r="N1" s="12" t="inlineStr">
        <is>
          <t>currency</t>
        </is>
      </c>
      <c r="O1" s="12" t="inlineStr">
        <is>
          <t>fnb_leaves_est</t>
        </is>
      </c>
      <c r="P1" s="12" t="inlineStr">
        <is>
          <t>endpoint</t>
        </is>
      </c>
      <c r="Q1" s="12" t="inlineStr">
        <is>
          <t>evidence</t>
        </is>
      </c>
      <c r="R1" s="12" t="inlineStr">
        <is>
          <t>in_csv</t>
        </is>
      </c>
      <c r="S1" s="12" t="inlineStr">
        <is>
          <t>notes</t>
        </is>
      </c>
      <c r="T1" s="12" t="inlineStr">
        <is>
          <t>gotcha</t>
        </is>
      </c>
    </row>
    <row r="2">
      <c r="A2" s="13" t="inlineStr">
        <is>
          <t>ssa</t>
        </is>
      </c>
      <c r="B2" s="13" t="inlineStr">
        <is>
          <t>ethiopia</t>
        </is>
      </c>
      <c r="C2" s="13" t="inlineStr">
        <is>
          <t>WFP Food Prices (HDX) -- Ethiopia</t>
        </is>
      </c>
      <c r="D2" s="13" t="inlineStr">
        <is>
          <t>https://data.humdata.org/dataset/wfp-food-prices-for-ethiopia</t>
        </is>
      </c>
      <c r="E2" s="13" t="inlineStr">
        <is>
          <t>TIER_1B</t>
        </is>
      </c>
      <c r="F2" s="13" t="inlineStr">
        <is>
          <t>low</t>
        </is>
      </c>
      <c r="G2" s="13" t="inlineStr">
        <is>
          <t>Wave 1</t>
        </is>
      </c>
      <c r="H2" s="13" t="inlineStr">
        <is>
          <t>fetcher</t>
        </is>
      </c>
      <c r="I2" s="13" t="inlineStr">
        <is>
          <t>Extend _PANELS in src/prices/fetchers/_shared/eap/wfp_food_prices.py - one line per country, no new code. DATE-CHECK each panel first.</t>
        </is>
      </c>
      <c r="J2" s="13" t="inlineStr">
        <is>
          <t>A_wfp_ckan</t>
        </is>
      </c>
      <c r="K2" s="13" t="inlineStr">
        <is>
          <t>WFP/HDX CKAN</t>
        </is>
      </c>
      <c r="L2" s="13" t="inlineStr">
        <is>
          <t>official_avg</t>
        </is>
      </c>
      <c r="M2" s="13" t="inlineStr">
        <is>
          <t>official_avg</t>
        </is>
      </c>
      <c r="N2" s="13" t="inlineStr">
        <is>
          <t>ETB</t>
        </is>
      </c>
      <c r="O2" s="13" t="n">
        <v>45</v>
      </c>
      <c r="P2" s="13" t="inlineStr">
        <is>
          <t>https://data.humdata.org/api/3/action/package_show?id=wfp-food-prices-for-ethiopia</t>
        </is>
      </c>
      <c r="Q2" s="13" t="inlineStr">
        <is>
          <t>CKAN resolved -&gt; wfp_food_prices_eth.csv, 62,131 rows. 96 distinct commodities -- richest WFP panel in this shard: full cereal set (wheat/barley/maize/sorghum/teff, each in 2-5 sub-varieties), legumes (beans x6 varieties, chickpeas, lentils, peas x3), dairy (milk, camel milk, butter x2), live animals (bull/camel/cattle/donkey/goat/ox/sheep), produce (avocado/banana/beetroot/cabbage/carrots/garlic/guava/kale/lettuce/mango/onions/oranges/papaya/potatoes/swiss chard/sweet potatoes/tomatoes), coffee, honey, oils, pasta, salt, sesame, sugar.</t>
        </is>
      </c>
      <c r="R2" s="13" t="b">
        <v>0</v>
      </c>
      <c r="S2" s="13" t="inlineStr">
        <is>
          <t>By far the biggest single lever for Ethiopia's F&amp;B coverage -- reaches teff (all 4 sub-varieties), live animals, and multiple dairy/legume forms that no retail source in this shard touches.</t>
        </is>
      </c>
      <c r="T2" s="13" t="inlineStr"/>
    </row>
    <row r="3">
      <c r="A3" s="13" t="inlineStr">
        <is>
          <t>lac</t>
        </is>
      </c>
      <c r="B3" s="13" t="inlineStr">
        <is>
          <t>guatemala</t>
        </is>
      </c>
      <c r="C3" s="13" t="inlineStr">
        <is>
          <t>WFP Food Prices - Guatemala</t>
        </is>
      </c>
      <c r="D3" s="13" t="inlineStr">
        <is>
          <t>https://data.humdata.org/dataset/wfp-food-prices-for-guatemala</t>
        </is>
      </c>
      <c r="E3" s="13" t="inlineStr">
        <is>
          <t>TIER_1B</t>
        </is>
      </c>
      <c r="F3" s="13" t="inlineStr">
        <is>
          <t>low</t>
        </is>
      </c>
      <c r="G3" s="13" t="inlineStr">
        <is>
          <t>Wave 1</t>
        </is>
      </c>
      <c r="H3" s="13" t="inlineStr">
        <is>
          <t>fetcher</t>
        </is>
      </c>
      <c r="I3" s="13" t="inlineStr">
        <is>
          <t>Extend _PANELS in src/prices/fetchers/_shared/eap/wfp_food_prices.py - one line per country, no new code. DATE-CHECK each panel first.</t>
        </is>
      </c>
      <c r="J3" s="13" t="inlineStr">
        <is>
          <t>A_wfp_ckan</t>
        </is>
      </c>
      <c r="K3" s="13" t="inlineStr">
        <is>
          <t>CKAN/WFP HDX</t>
        </is>
      </c>
      <c r="L3" s="13" t="inlineStr">
        <is>
          <t>official_avg</t>
        </is>
      </c>
      <c r="M3" s="13" t="inlineStr">
        <is>
          <t>wholesale/retail (mixed)</t>
        </is>
      </c>
      <c r="N3" s="13" t="inlineStr">
        <is>
          <t>GTQ</t>
        </is>
      </c>
      <c r="O3" s="13" t="n">
        <v>45</v>
      </c>
      <c r="P3" s="13" t="inlineStr">
        <is>
          <t>CKAN dataset wfp-food-prices-for-guatemala, resource wfp_food_prices_gtm.csv</t>
        </is>
      </c>
      <c r="Q3" s="13" t="inlineStr">
        <is>
          <t>GET CSV https://data.humdata.org/dataset/.../wfp_food_prices_gtm.csv -&gt; HTTP 200, 2.29MB, 16,178 rows. Max date confirmed 2026-06-15 (live/recent). Sample: 'Maize (white)' 100 Pounds, Wholesale, La Terminal market, GTQ 67.75 (2026-06-15). Also carrots, onions, tomatoes, beans, coffee, bananas.</t>
        </is>
      </c>
      <c r="R3" s="13" t="b">
        <v>0</v>
      </c>
      <c r="S3" s="13" t="inlineStr">
        <is>
          <t>Wholesale + some retail channel, La Terminal market Guatemala City + others; complements but barely overlaps supermarket SKUs (fresh produce/grains/pulses focus).</t>
        </is>
      </c>
      <c r="T3" s="13" t="inlineStr"/>
    </row>
    <row r="4">
      <c r="A4" s="13" t="inlineStr">
        <is>
          <t>menaap</t>
        </is>
      </c>
      <c r="B4" s="13" t="inlineStr">
        <is>
          <t>syria</t>
        </is>
      </c>
      <c r="C4" s="13" t="inlineStr">
        <is>
          <t>WFP Food Prices - Syria (HDX)</t>
        </is>
      </c>
      <c r="D4" s="13" t="inlineStr">
        <is>
          <t>https://data.humdata.org/dataset/aa40b3a8-2bc4-4826-9d82-82189bc5f392</t>
        </is>
      </c>
      <c r="E4" s="13" t="inlineStr">
        <is>
          <t>TIER_1B</t>
        </is>
      </c>
      <c r="F4" s="13" t="inlineStr">
        <is>
          <t>low</t>
        </is>
      </c>
      <c r="G4" s="13" t="inlineStr">
        <is>
          <t>Wave 1</t>
        </is>
      </c>
      <c r="H4" s="13" t="inlineStr">
        <is>
          <t>fetcher</t>
        </is>
      </c>
      <c r="I4" s="13" t="inlineStr">
        <is>
          <t>Extend _PANELS in src/prices/fetchers/_shared/eap/wfp_food_prices.py - one line per country, no new code. DATE-CHECK each panel first.</t>
        </is>
      </c>
      <c r="J4" s="13" t="inlineStr">
        <is>
          <t>A_wfp_ckan</t>
        </is>
      </c>
      <c r="K4" s="13" t="inlineStr">
        <is>
          <t>WFP/HDX CKAN</t>
        </is>
      </c>
      <c r="L4" s="13" t="inlineStr">
        <is>
          <t>official_avg</t>
        </is>
      </c>
      <c r="M4" s="13" t="inlineStr">
        <is>
          <t>official_avg</t>
        </is>
      </c>
      <c r="N4" s="13" t="inlineStr">
        <is>
          <t>SYP</t>
        </is>
      </c>
      <c r="O4" s="13" t="n">
        <v>44</v>
      </c>
      <c r="P4" s="13" t="inlineStr">
        <is>
          <t>CKAN package_show -&gt; S3 CSV</t>
        </is>
      </c>
      <c r="Q4" s="13" t="inlineStr">
        <is>
          <t>CKAN package_show -&gt; 200, resolves wfp_food_prices_syr.csv, 275,972 rows - by far the largest panel in the set. 77 distinct commodities across all 8 categories: fruit (apples, bananas), veg (cabbage, carrots, cucumbers x2, eggplant, garlic, parsley, pumpkin, spinach, tomatoes fresh+paste), dairy (cheese x2, labaneh, fresh milk, yogurt), meat (beef minced, chicken legs/plucked, sheep), cereals (bulgur, maize local, wheat, 3 bread variants, 2 pasta variants, rice), pulses (3 bean types, lentils, 2 pea types, chickpeas), oils/fats (oil, ghee), plus sugar/salt/tea/yeast/peanut.</t>
        </is>
      </c>
      <c r="R4" s="13" t="b">
        <v>0</v>
      </c>
      <c r="S4" s="13" t="inlineStr">
        <is>
          <t>Syria's WFP panel is the deepest of the entire shard because of dedicated crisis-monitoring granularity (parallel-market fuel/bread variants tracked separately). One-line _PANELS addition: 'syr': ('Syria', 'wfp-food-prices-for-syrian-arab-republic').</t>
        </is>
      </c>
      <c r="T4" s="13" t="inlineStr"/>
    </row>
    <row r="5">
      <c r="A5" s="13" t="inlineStr">
        <is>
          <t>ssa</t>
        </is>
      </c>
      <c r="B5" s="13" t="inlineStr">
        <is>
          <t>rwanda</t>
        </is>
      </c>
      <c r="C5" s="13" t="inlineStr">
        <is>
          <t>WFP Rwanda (HDX)</t>
        </is>
      </c>
      <c r="D5" s="13" t="inlineStr">
        <is>
          <t>https://data.humdata.org/dataset/a4a84c1c-81d1-491b-9fbe-1955ae736508</t>
        </is>
      </c>
      <c r="E5" s="13" t="inlineStr">
        <is>
          <t>TIER_1B</t>
        </is>
      </c>
      <c r="F5" s="13" t="inlineStr">
        <is>
          <t>low</t>
        </is>
      </c>
      <c r="G5" s="13" t="inlineStr">
        <is>
          <t>Wave 1</t>
        </is>
      </c>
      <c r="H5" s="13" t="inlineStr">
        <is>
          <t>fetcher</t>
        </is>
      </c>
      <c r="I5" s="13" t="inlineStr">
        <is>
          <t>Extend _PANELS in src/prices/fetchers/_shared/eap/wfp_food_prices.py - one line per country, no new code. DATE-CHECK each panel first.</t>
        </is>
      </c>
      <c r="J5" s="13" t="inlineStr">
        <is>
          <t>A_wfp_ckan</t>
        </is>
      </c>
      <c r="K5" s="13" t="inlineStr">
        <is>
          <t>Custom (CKAN/HDX)</t>
        </is>
      </c>
      <c r="L5" s="13" t="inlineStr">
        <is>
          <t>official_avg</t>
        </is>
      </c>
      <c r="M5" s="13" t="inlineStr">
        <is>
          <t>official_avg</t>
        </is>
      </c>
      <c r="N5" s="13" t="inlineStr">
        <is>
          <t>RWF</t>
        </is>
      </c>
      <c r="O5" s="13" t="n">
        <v>42</v>
      </c>
      <c r="P5" s="13" t="inlineStr">
        <is>
          <t>https://data.humdata.org/api/3/action/package_show?id=wfp-food-prices-for-rwanda</t>
        </is>
      </c>
      <c r="Q5" s="13" t="inlineStr">
        <is>
          <t>CKAN-resolved CSV wfp_food_prices_rwa.csv (200, 19.9MB, richest+largest panel in this shard). 151,961 rows, 65 distinct commodities, max date 2026-06-15. Extremely granular: apples, avocados, guava, mangoes, passion fruit, papaya, oranges, cauliflower, greenhouse cucumbers, zucchini, soybeans, sorghum flour, 4+ rice-origin variants, 5 livestock species (live), 4 meat species.</t>
        </is>
      </c>
      <c r="R5" s="13" t="b">
        <v>0</v>
      </c>
      <c r="S5" s="13" t="inlineStr">
        <is>
          <t>Best WFP panel discovered across the whole shard by both commodity count and row count -- essentially a near-retail-resolution market-price census. With every retail candidate in this shard unconfirmed, this feed alone is Rwanda's current F&amp;B backbone.</t>
        </is>
      </c>
      <c r="T5" s="13" t="inlineStr"/>
    </row>
    <row r="6">
      <c r="A6" s="13" t="inlineStr">
        <is>
          <t>lac</t>
        </is>
      </c>
      <c r="B6" s="13" t="inlineStr">
        <is>
          <t>el_salvador</t>
        </is>
      </c>
      <c r="C6" s="13" t="inlineStr">
        <is>
          <t>WFP Food Prices - El Salvador</t>
        </is>
      </c>
      <c r="D6" s="13" t="inlineStr">
        <is>
          <t>https://data.humdata.org/dataset/wfp-food-prices-for-el-salvador</t>
        </is>
      </c>
      <c r="E6" s="13" t="inlineStr">
        <is>
          <t>TIER_1B</t>
        </is>
      </c>
      <c r="F6" s="13" t="inlineStr">
        <is>
          <t>low</t>
        </is>
      </c>
      <c r="G6" s="13" t="inlineStr">
        <is>
          <t>Wave 1</t>
        </is>
      </c>
      <c r="H6" s="13" t="inlineStr">
        <is>
          <t>fetcher</t>
        </is>
      </c>
      <c r="I6" s="13" t="inlineStr">
        <is>
          <t>Extend _PANELS in src/prices/fetchers/_shared/eap/wfp_food_prices.py - one line per country, no new code. DATE-CHECK each panel first.</t>
        </is>
      </c>
      <c r="J6" s="13" t="inlineStr">
        <is>
          <t>A_wfp_ckan</t>
        </is>
      </c>
      <c r="K6" s="13" t="inlineStr">
        <is>
          <t>CKAN/WFP HDX</t>
        </is>
      </c>
      <c r="L6" s="13" t="inlineStr">
        <is>
          <t>official_avg</t>
        </is>
      </c>
      <c r="M6" s="13" t="inlineStr">
        <is>
          <t>wholesale/retail (mixed)</t>
        </is>
      </c>
      <c r="N6" s="13" t="inlineStr">
        <is>
          <t>USD</t>
        </is>
      </c>
      <c r="O6" s="13" t="n">
        <v>40</v>
      </c>
      <c r="P6" s="13" t="inlineStr">
        <is>
          <t>CKAN dataset wfp-food-prices-for-el-salvador, resource wfp_food_prices_slv.csv</t>
        </is>
      </c>
      <c r="Q6" s="13" t="inlineStr">
        <is>
          <t>GET CSV -&gt; HTTP 200, 7,561 rows, max date confirmed 2026-06-15 (live). Sample: 'Maize (white)' 46 KG Wholesale San Salvador USD 26.49 (2026-06-15); also 'Maize (white)' Libra Retail USD 0.34.</t>
        </is>
      </c>
      <c r="R6" s="13" t="b">
        <v>0</v>
      </c>
      <c r="S6" s="13" t="inlineStr">
        <is>
          <t>Both wholesale and retail channel rows present; national-average style market coverage.</t>
        </is>
      </c>
      <c r="T6" s="13" t="inlineStr"/>
    </row>
    <row r="7">
      <c r="A7" s="13" t="inlineStr">
        <is>
          <t>lac</t>
        </is>
      </c>
      <c r="B7" s="13" t="inlineStr">
        <is>
          <t>nicaragua</t>
        </is>
      </c>
      <c r="C7" s="13" t="inlineStr">
        <is>
          <t>WFP Food Prices - Nicaragua</t>
        </is>
      </c>
      <c r="D7" s="13" t="inlineStr">
        <is>
          <t>https://data.humdata.org/dataset/wfp-food-prices-for-nicaragua</t>
        </is>
      </c>
      <c r="E7" s="13" t="inlineStr">
        <is>
          <t>TIER_1B</t>
        </is>
      </c>
      <c r="F7" s="13" t="inlineStr">
        <is>
          <t>low</t>
        </is>
      </c>
      <c r="G7" s="13" t="inlineStr">
        <is>
          <t>Wave 1</t>
        </is>
      </c>
      <c r="H7" s="13" t="inlineStr">
        <is>
          <t>fetcher</t>
        </is>
      </c>
      <c r="I7" s="13" t="inlineStr">
        <is>
          <t>Extend _PANELS in src/prices/fetchers/_shared/eap/wfp_food_prices.py - one line per country, no new code. DATE-CHECK each panel first.</t>
        </is>
      </c>
      <c r="J7" s="13" t="inlineStr">
        <is>
          <t>A_wfp_ckan</t>
        </is>
      </c>
      <c r="K7" s="13" t="inlineStr">
        <is>
          <t>CKAN/WFP HDX</t>
        </is>
      </c>
      <c r="L7" s="13" t="inlineStr">
        <is>
          <t>official_avg</t>
        </is>
      </c>
      <c r="M7" s="13" t="inlineStr">
        <is>
          <t>retail</t>
        </is>
      </c>
      <c r="N7" s="13" t="inlineStr">
        <is>
          <t>USD</t>
        </is>
      </c>
      <c r="O7" s="13" t="n">
        <v>35</v>
      </c>
      <c r="P7" s="13" t="inlineStr">
        <is>
          <t>CKAN dataset wfp-food-prices-for-nicaragua, resource wfp_food_prices_nic.csv</t>
        </is>
      </c>
      <c r="Q7" s="13" t="inlineStr">
        <is>
          <t>GET CSV -&gt; HTTP 200, max date confirmed 2026-05-15 (live). Sample: 'Plantains' Pound, Retail, National Average, USD 0.44 (2026-05-15); also squashes, tomatoes.</t>
        </is>
      </c>
      <c r="R7" s="13" t="b">
        <v>0</v>
      </c>
      <c r="S7" s="13" t="inlineStr">
        <is>
          <t>Retail national-average channel, fresh produce focus.</t>
        </is>
      </c>
      <c r="T7" s="13" t="inlineStr"/>
    </row>
    <row r="8">
      <c r="A8" s="13" t="inlineStr">
        <is>
          <t>menaap</t>
        </is>
      </c>
      <c r="B8" s="13" t="inlineStr">
        <is>
          <t>west_bank_and_gaza</t>
        </is>
      </c>
      <c r="C8" s="13" t="inlineStr">
        <is>
          <t>WFP Food Prices - State of Palestine (HDX)</t>
        </is>
      </c>
      <c r="D8" s="13" t="inlineStr">
        <is>
          <t>https://data.humdata.org/dataset/7d06b059-5831-4101-aa68-6d9123ad65b7</t>
        </is>
      </c>
      <c r="E8" s="13" t="inlineStr">
        <is>
          <t>TIER_1B</t>
        </is>
      </c>
      <c r="F8" s="13" t="inlineStr">
        <is>
          <t>low</t>
        </is>
      </c>
      <c r="G8" s="13" t="inlineStr">
        <is>
          <t>Wave 1</t>
        </is>
      </c>
      <c r="H8" s="13" t="inlineStr">
        <is>
          <t>fetcher</t>
        </is>
      </c>
      <c r="I8" s="13" t="inlineStr">
        <is>
          <t>Extend _PANELS in src/prices/fetchers/_shared/eap/wfp_food_prices.py - one line per country, no new code. DATE-CHECK each panel first.</t>
        </is>
      </c>
      <c r="J8" s="13" t="inlineStr">
        <is>
          <t>A_wfp_ckan</t>
        </is>
      </c>
      <c r="K8" s="13" t="inlineStr">
        <is>
          <t>WFP/HDX CKAN</t>
        </is>
      </c>
      <c r="L8" s="13" t="inlineStr">
        <is>
          <t>official_avg</t>
        </is>
      </c>
      <c r="M8" s="13" t="inlineStr">
        <is>
          <t>official_avg</t>
        </is>
      </c>
      <c r="N8" s="13" t="inlineStr">
        <is>
          <t>ILS</t>
        </is>
      </c>
      <c r="O8" s="13" t="n">
        <v>33</v>
      </c>
      <c r="P8" s="13" t="inlineStr">
        <is>
          <t>CKAN package_show -&gt; S3 CSV</t>
        </is>
      </c>
      <c r="Q8" s="13" t="inlineStr">
        <is>
          <t>CKAN package_show?id=wfp-food-prices-for-state-of-palestine -&gt; 200, resolves wfp_food_prices_pse.csv, 26,815 rows. 41 commodities: fruit (apples, bananas, oranges), veg (cauliflower, cucumbers, eggplant, onions, tomatoes greenhouse), dairy (goat cheese, labaneh, milk pasteurized + powder, yogurt), meat (beef, chicken, goat), 3 rice varieties, 2 oil types (maize + olive), semolina, bottled water.</t>
        </is>
      </c>
      <c r="R8" s="13" t="b">
        <v>0</v>
      </c>
      <c r="S8" s="13" t="inlineStr">
        <is>
          <t>Repo slug is 'west_bank_and_gaza' (iso3 PSE per countries.yaml) - HDX dataset slug is 'wfp-food-prices-for-state-of-palestine'. One-line _PANELS addition: 'pse': ('State of Palestine', 'wfp-food-prices-for-state-of-palestine').</t>
        </is>
      </c>
      <c r="T8" s="13" t="inlineStr"/>
    </row>
    <row r="9">
      <c r="A9" s="13" t="inlineStr">
        <is>
          <t>ssa</t>
        </is>
      </c>
      <c r="B9" s="13" t="inlineStr">
        <is>
          <t>malawi</t>
        </is>
      </c>
      <c r="C9" s="13" t="inlineStr">
        <is>
          <t>WFP Food Prices (HDX) -- Malawi</t>
        </is>
      </c>
      <c r="D9" s="13" t="inlineStr">
        <is>
          <t>https://data.humdata.org/dataset/wfp-food-prices-for-malawi</t>
        </is>
      </c>
      <c r="E9" s="13" t="inlineStr">
        <is>
          <t>TIER_1B</t>
        </is>
      </c>
      <c r="F9" s="13" t="inlineStr">
        <is>
          <t>low</t>
        </is>
      </c>
      <c r="G9" s="13" t="inlineStr">
        <is>
          <t>Wave 1</t>
        </is>
      </c>
      <c r="H9" s="13" t="inlineStr">
        <is>
          <t>fetcher</t>
        </is>
      </c>
      <c r="I9" s="13" t="inlineStr">
        <is>
          <t>Extend _PANELS in src/prices/fetchers/_shared/eap/wfp_food_prices.py - one line per country, no new code. DATE-CHECK each panel first.</t>
        </is>
      </c>
      <c r="J9" s="13" t="inlineStr">
        <is>
          <t>A_wfp_ckan</t>
        </is>
      </c>
      <c r="K9" s="13" t="inlineStr">
        <is>
          <t>WFP/HDX CKAN</t>
        </is>
      </c>
      <c r="L9" s="13" t="inlineStr">
        <is>
          <t>official_avg</t>
        </is>
      </c>
      <c r="M9" s="13" t="inlineStr">
        <is>
          <t>official_avg</t>
        </is>
      </c>
      <c r="N9" s="13" t="inlineStr">
        <is>
          <t>MWK</t>
        </is>
      </c>
      <c r="O9" s="13" t="n">
        <v>30</v>
      </c>
      <c r="P9" s="13" t="inlineStr">
        <is>
          <t>https://data.humdata.org/api/3/action/package_show?id=wfp-food-prices-for-malawi</t>
        </is>
      </c>
      <c r="Q9" s="13" t="inlineStr">
        <is>
          <t>CKAN resolved -&gt; wfp_food_prices_mwi.csv, 82,819 rows. 63 distinct commodities -- notably rich in Malawi-specific leafy greens (Amaranthus, Blackjack leaves, Cowpea leaves, Mustard leaves, Pumpkin leaves, Rape leaves) and dried small fish (bonya, kapenta, matemba, usipa, utaka), plus cereals/legumes/tubers/oil/sugar.</t>
        </is>
      </c>
      <c r="R9" s="13" t="b">
        <v>0</v>
      </c>
      <c r="S9" s="13" t="inlineStr">
        <is>
          <t>Second-richest WFP panel in the shard. The leafy-greens and dried-fish depth here is not replicated by any retailer in this pass -- structurally complementary, not overlapping.</t>
        </is>
      </c>
      <c r="T9" s="13" t="inlineStr"/>
    </row>
    <row r="10">
      <c r="A10" s="13" t="inlineStr">
        <is>
          <t>menaap</t>
        </is>
      </c>
      <c r="B10" s="13" t="inlineStr">
        <is>
          <t>jordan</t>
        </is>
      </c>
      <c r="C10" s="13" t="inlineStr">
        <is>
          <t>WFP Food Prices - Jordan (HDX)</t>
        </is>
      </c>
      <c r="D10" s="13" t="inlineStr">
        <is>
          <t>https://data.humdata.org/dataset/fba510fd-eccf-4b34-b5f6-cc531900270b</t>
        </is>
      </c>
      <c r="E10" s="13" t="inlineStr">
        <is>
          <t>TIER_1B</t>
        </is>
      </c>
      <c r="F10" s="13" t="inlineStr">
        <is>
          <t>low</t>
        </is>
      </c>
      <c r="G10" s="13" t="inlineStr">
        <is>
          <t>Wave 1</t>
        </is>
      </c>
      <c r="H10" s="13" t="inlineStr">
        <is>
          <t>fetcher</t>
        </is>
      </c>
      <c r="I10" s="13" t="inlineStr">
        <is>
          <t>Extend _PANELS in src/prices/fetchers/_shared/eap/wfp_food_prices.py - one line per country, no new code. DATE-CHECK each panel first.</t>
        </is>
      </c>
      <c r="J10" s="13" t="inlineStr">
        <is>
          <t>A_wfp_ckan</t>
        </is>
      </c>
      <c r="K10" s="13" t="inlineStr">
        <is>
          <t>WFP/HDX CKAN</t>
        </is>
      </c>
      <c r="L10" s="13" t="inlineStr">
        <is>
          <t>official_avg</t>
        </is>
      </c>
      <c r="M10" s="13" t="inlineStr">
        <is>
          <t>official_avg</t>
        </is>
      </c>
      <c r="N10" s="13" t="inlineStr">
        <is>
          <t>JOD</t>
        </is>
      </c>
      <c r="O10" s="13" t="n">
        <v>29</v>
      </c>
      <c r="P10" s="13" t="inlineStr">
        <is>
          <t>CKAN package_show -&gt; S3 CSV</t>
        </is>
      </c>
      <c r="Q10" s="13" t="inlineStr">
        <is>
          <t>CKAN package_show -&gt; 200, resolves wfp_food_prices_jor.csv, 47,943 rows. 36 commodities across all 8 categories including both olive oil AND vegetable oil as separate lines, apples/bananas/oranges (fruit), cucumbers/garlic/onions/spinach/tomatoes (veg), beef/chicken/lamb (meat), two cheese types + two milk types (dairy) - the richest, most balanced panel of the whole shard.</t>
        </is>
      </c>
      <c r="R10" s="13" t="b">
        <v>0</v>
      </c>
      <c r="S10" s="13" t="inlineStr">
        <is>
          <t>One-line _PANELS addition: 'jor': ('Jordan', 'wfp-food-prices-for-jordan').</t>
        </is>
      </c>
      <c r="T10" s="13" t="inlineStr"/>
    </row>
    <row r="11">
      <c r="A11" s="13" t="inlineStr">
        <is>
          <t>ssa</t>
        </is>
      </c>
      <c r="B11" s="13" t="inlineStr">
        <is>
          <t>kenya</t>
        </is>
      </c>
      <c r="C11" s="13" t="inlineStr">
        <is>
          <t>WFP Kenya (HDX)</t>
        </is>
      </c>
      <c r="D11" s="13" t="inlineStr">
        <is>
          <t>https://data.humdata.org/dataset/e0d3fba6-f9a2-45d7-b949-140c455197ff</t>
        </is>
      </c>
      <c r="E11" s="13" t="inlineStr">
        <is>
          <t>TIER_1B</t>
        </is>
      </c>
      <c r="F11" s="13" t="inlineStr">
        <is>
          <t>low</t>
        </is>
      </c>
      <c r="G11" s="13" t="inlineStr">
        <is>
          <t>Wave 1</t>
        </is>
      </c>
      <c r="H11" s="13" t="inlineStr">
        <is>
          <t>fetcher</t>
        </is>
      </c>
      <c r="I11" s="13" t="inlineStr">
        <is>
          <t>Extend _PANELS in src/prices/fetchers/_shared/eap/wfp_food_prices.py - one line per country, no new code. DATE-CHECK each panel first.</t>
        </is>
      </c>
      <c r="J11" s="13" t="inlineStr">
        <is>
          <t>A_wfp_ckan</t>
        </is>
      </c>
      <c r="K11" s="13" t="inlineStr">
        <is>
          <t>Custom (CKAN/HDX, same pattern as existing src/prices/fetchers/_shared/eap/wfp_food_prices.py)</t>
        </is>
      </c>
      <c r="L11" s="13" t="inlineStr">
        <is>
          <t>official_avg</t>
        </is>
      </c>
      <c r="M11" s="13" t="inlineStr">
        <is>
          <t>official_avg</t>
        </is>
      </c>
      <c r="N11" s="13" t="inlineStr">
        <is>
          <t>KES</t>
        </is>
      </c>
      <c r="O11" s="13" t="n">
        <v>28</v>
      </c>
      <c r="P11" s="13" t="inlineStr">
        <is>
          <t>https://data.humdata.org/api/3/action/package_show?id=wfp-food-prices-for-kenya</t>
        </is>
      </c>
      <c r="Q11" s="13" t="inlineStr">
        <is>
          <t>CKAN package_show resolved CSV at wfp_food_prices_ken.csv (200, 3.6MB). 27,837 rows, 51 distinct commodities, max date 2026-07-15 (current). Retail+wholesale mixed pricetype. Sample: Maize (white) KES 1480/90kg wholesale Mombasa.</t>
        </is>
      </c>
      <c r="R11" s="13" t="b">
        <v>0</v>
      </c>
      <c r="S11" s="13" t="inlineStr">
        <is>
          <t>Direct extension of the existing shared EAP WFP fetcher module -- just add ken to the _PANELS dict. 51 commodities incl. camel meat/milk (not covered by any retailer) is the standout addition.</t>
        </is>
      </c>
      <c r="T11" s="13" t="inlineStr"/>
    </row>
    <row r="12">
      <c r="A12" s="13" t="inlineStr">
        <is>
          <t>ssa</t>
        </is>
      </c>
      <c r="B12" s="13" t="inlineStr">
        <is>
          <t>central_african_republic</t>
        </is>
      </c>
      <c r="C12" s="13" t="inlineStr">
        <is>
          <t>WFP Central African Republic (HDX)</t>
        </is>
      </c>
      <c r="D12" s="13" t="inlineStr">
        <is>
          <t>https://data.humdata.org/dataset/e9f27b34-f511-498c-a7f8-fe8d2321f7ba</t>
        </is>
      </c>
      <c r="E12" s="13" t="inlineStr">
        <is>
          <t>TIER_1B</t>
        </is>
      </c>
      <c r="F12" s="13" t="inlineStr">
        <is>
          <t>low</t>
        </is>
      </c>
      <c r="G12" s="13" t="inlineStr">
        <is>
          <t>Wave 1</t>
        </is>
      </c>
      <c r="H12" s="13" t="inlineStr">
        <is>
          <t>fetcher</t>
        </is>
      </c>
      <c r="I12" s="13" t="inlineStr">
        <is>
          <t>Extend _PANELS in src/prices/fetchers/_shared/eap/wfp_food_prices.py - one line per country, no new code. DATE-CHECK each panel first.</t>
        </is>
      </c>
      <c r="J12" s="13" t="inlineStr">
        <is>
          <t>A_wfp_ckan</t>
        </is>
      </c>
      <c r="K12" s="13" t="inlineStr">
        <is>
          <t>Custom (CKAN/HDX)</t>
        </is>
      </c>
      <c r="L12" s="13" t="inlineStr">
        <is>
          <t>official_avg</t>
        </is>
      </c>
      <c r="M12" s="13" t="inlineStr">
        <is>
          <t>official_avg</t>
        </is>
      </c>
      <c r="N12" s="13" t="inlineStr">
        <is>
          <t>XAF</t>
        </is>
      </c>
      <c r="O12" s="13" t="n">
        <v>28</v>
      </c>
      <c r="P12" s="13" t="inlineStr">
        <is>
          <t>https://data.humdata.org/api/3/action/package_show?id=wfp-food-prices-for-central-african-republic</t>
        </is>
      </c>
      <c r="Q12" s="13" t="inlineStr">
        <is>
          <t>CKAN-resolved CSV wfp_food_prices_caf.csv (200, 3.6MB). 30,356 rows, 39 distinct commodities (tied with Rwanda for richest panel in this shard), max date 2026-06-15. Commodities incl. Meat (antelope smoked, gazelle smoked -- bushmeat), Fish (catfish/frozen/sardine canned/smoked), Sesame, Groundnuts (shelled/unshelled), Charcoal.</t>
        </is>
      </c>
      <c r="R12" s="13" t="b">
        <v>0</v>
      </c>
      <c r="S12" s="13" t="inlineStr">
        <is>
          <t>With no live retail candidate, this is effectively the ONLY viable F&amp;B price source for CAR in this shard. The bushmeat commodities (antelope, gazelle) are a rare hit on the 'Other meat' leaf (01.1.2.2.9) that almost no supermarket source in the wider repo reaches.</t>
        </is>
      </c>
      <c r="T12" s="13" t="inlineStr"/>
    </row>
    <row r="13">
      <c r="A13" s="13" t="inlineStr">
        <is>
          <t>menaap</t>
        </is>
      </c>
      <c r="B13" s="13" t="inlineStr">
        <is>
          <t>iraq</t>
        </is>
      </c>
      <c r="C13" s="13" t="inlineStr">
        <is>
          <t>WFP Food Prices - Iraq (HDX)</t>
        </is>
      </c>
      <c r="D13" s="13" t="inlineStr">
        <is>
          <t>https://data.humdata.org/dataset/7d8955eb-37d2-4087-80e9-cae1aaa242f5</t>
        </is>
      </c>
      <c r="E13" s="13" t="inlineStr">
        <is>
          <t>TIER_1B</t>
        </is>
      </c>
      <c r="F13" s="13" t="inlineStr">
        <is>
          <t>low</t>
        </is>
      </c>
      <c r="G13" s="13" t="inlineStr">
        <is>
          <t>Wave 1</t>
        </is>
      </c>
      <c r="H13" s="13" t="inlineStr">
        <is>
          <t>fetcher</t>
        </is>
      </c>
      <c r="I13" s="13" t="inlineStr">
        <is>
          <t>Extend _PANELS in src/prices/fetchers/_shared/eap/wfp_food_prices.py - one line per country, no new code. DATE-CHECK each panel first.</t>
        </is>
      </c>
      <c r="J13" s="13" t="inlineStr">
        <is>
          <t>A_wfp_ckan</t>
        </is>
      </c>
      <c r="K13" s="13" t="inlineStr">
        <is>
          <t>WFP/HDX CKAN</t>
        </is>
      </c>
      <c r="L13" s="13" t="inlineStr">
        <is>
          <t>official_avg</t>
        </is>
      </c>
      <c r="M13" s="13" t="inlineStr">
        <is>
          <t>official_avg</t>
        </is>
      </c>
      <c r="N13" s="13" t="inlineStr">
        <is>
          <t>IQD</t>
        </is>
      </c>
      <c r="O13" s="13" t="n">
        <v>26</v>
      </c>
      <c r="P13" s="13" t="inlineStr">
        <is>
          <t>CKAN package_show -&gt; S3 CSV</t>
        </is>
      </c>
      <c r="Q13" s="13" t="inlineStr">
        <is>
          <t>CKAN package_show -&gt; 200, resolves wfp_food_prices_irq.csv, 56,712 rows. 49 commodities - largest non-Syria commodity list, includes dates, eggplant, cheese (local), yogurt, three rice varieties (regular/Indian/basmati), three wheat-flour sourcing variants (Turkey/local/generic).</t>
        </is>
      </c>
      <c r="R13" s="13" t="b">
        <v>0</v>
      </c>
      <c r="S13" s="13" t="inlineStr">
        <is>
          <t>One-line _PANELS addition: 'irq': ('Iraq', 'wfp-food-prices-for-iraq').</t>
        </is>
      </c>
      <c r="T13" s="13" t="inlineStr"/>
    </row>
    <row r="14">
      <c r="A14" s="13" t="inlineStr">
        <is>
          <t>menaap</t>
        </is>
      </c>
      <c r="B14" s="13" t="inlineStr">
        <is>
          <t>iran</t>
        </is>
      </c>
      <c r="C14" s="13" t="inlineStr">
        <is>
          <t>WFP Food Prices - Iran (HDX)</t>
        </is>
      </c>
      <c r="D14" s="13" t="inlineStr">
        <is>
          <t>https://data.humdata.org/dataset/6df76343-1bd9-488a-af3c-1e5aec3fc78c</t>
        </is>
      </c>
      <c r="E14" s="13" t="inlineStr">
        <is>
          <t>TIER_1B</t>
        </is>
      </c>
      <c r="F14" s="13" t="inlineStr">
        <is>
          <t>low</t>
        </is>
      </c>
      <c r="G14" s="13" t="inlineStr">
        <is>
          <t>Wave 1</t>
        </is>
      </c>
      <c r="H14" s="13" t="inlineStr">
        <is>
          <t>fetcher</t>
        </is>
      </c>
      <c r="I14" s="13" t="inlineStr">
        <is>
          <t>Extend _PANELS in src/prices/fetchers/_shared/eap/wfp_food_prices.py - one line per country, no new code. DATE-CHECK each panel first.</t>
        </is>
      </c>
      <c r="J14" s="13" t="inlineStr">
        <is>
          <t>A_wfp_ckan</t>
        </is>
      </c>
      <c r="K14" s="13" t="inlineStr">
        <is>
          <t>WFP/HDX CKAN</t>
        </is>
      </c>
      <c r="L14" s="13" t="inlineStr">
        <is>
          <t>official_avg</t>
        </is>
      </c>
      <c r="M14" s="13" t="inlineStr">
        <is>
          <t>official_avg</t>
        </is>
      </c>
      <c r="N14" s="13" t="inlineStr">
        <is>
          <t>IRR</t>
        </is>
      </c>
      <c r="O14" s="13" t="n">
        <v>26</v>
      </c>
      <c r="P14" s="13" t="inlineStr">
        <is>
          <t>CKAN package_show -&gt; S3 CSV</t>
        </is>
      </c>
      <c r="Q14" s="13" t="inlineStr">
        <is>
          <t>CKAN package_show?id=wfp-food-prices-for-iran-islamic-republic-of -&gt; 200, resolves wfp_food_prices_irn.csv, only 2,281 rows (far smaller than the other 7 panels - likely a shorter-running or narrower-market series) but real: 41 commodities incl. apples, beans, cheese (local), eggplant, lentils, beef/chicken, milk (pasteurized), rice, tomato + tomato paste, wheat flour, yogurt.</t>
        </is>
      </c>
      <c r="R14" s="13" t="b">
        <v>0</v>
      </c>
      <c r="S14" s="13" t="inlineStr">
        <is>
          <t>One-line _PANELS addition: 'irn': ('Iran (Islamic Republic of)', 'wfp-food-prices-for-iran-islamic-republic-of'). Row count is ~4-25x thinner than the other 7 panels - check market/date coverage before assuming equal update cadence.</t>
        </is>
      </c>
      <c r="T14" s="13" t="inlineStr"/>
    </row>
    <row r="15">
      <c r="A15" s="13" t="inlineStr">
        <is>
          <t>menaap</t>
        </is>
      </c>
      <c r="B15" s="13" t="inlineStr">
        <is>
          <t>lebanon</t>
        </is>
      </c>
      <c r="C15" s="13" t="inlineStr">
        <is>
          <t>WFP Food Prices - Lebanon (HDX)</t>
        </is>
      </c>
      <c r="D15" s="13" t="inlineStr">
        <is>
          <t>https://data.humdata.org/dataset/db0b4fb1-ce11-458e-94e0-3342365a117a</t>
        </is>
      </c>
      <c r="E15" s="13" t="inlineStr">
        <is>
          <t>TIER_1B</t>
        </is>
      </c>
      <c r="F15" s="13" t="inlineStr">
        <is>
          <t>low</t>
        </is>
      </c>
      <c r="G15" s="13" t="inlineStr">
        <is>
          <t>Wave 1</t>
        </is>
      </c>
      <c r="H15" s="13" t="inlineStr">
        <is>
          <t>fetcher</t>
        </is>
      </c>
      <c r="I15" s="13" t="inlineStr">
        <is>
          <t>Extend _PANELS in src/prices/fetchers/_shared/eap/wfp_food_prices.py - one line per country, no new code. DATE-CHECK each panel first.</t>
        </is>
      </c>
      <c r="J15" s="13" t="inlineStr">
        <is>
          <t>A_wfp_ckan</t>
        </is>
      </c>
      <c r="K15" s="13" t="inlineStr">
        <is>
          <t>WFP/HDX CKAN</t>
        </is>
      </c>
      <c r="L15" s="13" t="inlineStr">
        <is>
          <t>official_avg</t>
        </is>
      </c>
      <c r="M15" s="13" t="inlineStr">
        <is>
          <t>official_avg</t>
        </is>
      </c>
      <c r="N15" s="13" t="inlineStr">
        <is>
          <t>LBP</t>
        </is>
      </c>
      <c r="O15" s="13" t="n">
        <v>26</v>
      </c>
      <c r="P15" s="13" t="inlineStr">
        <is>
          <t>CKAN package_show -&gt; S3 CSV</t>
        </is>
      </c>
      <c r="Q15" s="13" t="inlineStr">
        <is>
          <t>CKAN package_show -&gt; 200, resolves wfp_food_prices_lbn.csv, 39,876 rows. 33 commodities: fruit (apples), veg (cabbage, carrots, cucumbers greenhouse, lettuce, spinach, tomatoes paste), dairy (cheese picon, milk powder), meat (canned beef, frozen whole chicken), 2 canned-fish types, 3 lentil variants, pulses (beans, chickpeas), cereals (bread pita, bulgur, pasta, rice, wheat flour), oil (sunflower), tea, sugar, salt.</t>
        </is>
      </c>
      <c r="R15" s="13" t="b">
        <v>0</v>
      </c>
      <c r="S15" s="13" t="inlineStr">
        <is>
          <t>One-line _PANELS addition: 'lbn': ('Lebanon', 'wfp-food-prices-for-lebanon').</t>
        </is>
      </c>
      <c r="T15" s="13" t="inlineStr"/>
    </row>
    <row r="16">
      <c r="A16" s="13" t="inlineStr">
        <is>
          <t>ssa</t>
        </is>
      </c>
      <c r="B16" s="13" t="inlineStr">
        <is>
          <t>senegal</t>
        </is>
      </c>
      <c r="C16" s="13" t="inlineStr">
        <is>
          <t>WFP Food Prices (HDX) -- Senegal</t>
        </is>
      </c>
      <c r="D16" s="13" t="inlineStr">
        <is>
          <t>https://data.humdata.org/dataset/wfp-food-prices-for-senegal</t>
        </is>
      </c>
      <c r="E16" s="13" t="inlineStr">
        <is>
          <t>TIER_1B</t>
        </is>
      </c>
      <c r="F16" s="13" t="inlineStr">
        <is>
          <t>low</t>
        </is>
      </c>
      <c r="G16" s="13" t="inlineStr">
        <is>
          <t>Wave 1</t>
        </is>
      </c>
      <c r="H16" s="13" t="inlineStr">
        <is>
          <t>fetcher</t>
        </is>
      </c>
      <c r="I16" s="13" t="inlineStr">
        <is>
          <t>Extend _PANELS in src/prices/fetchers/_shared/eap/wfp_food_prices.py - one line per country, no new code. DATE-CHECK each panel first.</t>
        </is>
      </c>
      <c r="J16" s="13" t="inlineStr">
        <is>
          <t>A_wfp_ckan</t>
        </is>
      </c>
      <c r="K16" s="13" t="inlineStr">
        <is>
          <t>WFP/HDX CKAN</t>
        </is>
      </c>
      <c r="L16" s="13" t="inlineStr">
        <is>
          <t>official_avg</t>
        </is>
      </c>
      <c r="M16" s="13" t="inlineStr">
        <is>
          <t>official_avg</t>
        </is>
      </c>
      <c r="N16" s="13" t="inlineStr">
        <is>
          <t>XOF</t>
        </is>
      </c>
      <c r="O16" s="13" t="n">
        <v>25</v>
      </c>
      <c r="P16" s="13" t="inlineStr">
        <is>
          <t>https://data.humdata.org/api/3/action/package_show?id=wfp-food-prices-for-senegal (resolves CSV url at run time, matches the shipped src/prices/fetchers/_shared/eap/wfp_food_prices.py pattern)</t>
        </is>
      </c>
      <c r="Q16" s="13" t="inlineStr">
        <is>
          <t>CKAN package_show resolved -&gt; CSV at .../wfp_food_prices_sen.csv, 51,579 rows. 28 distinct commodities: Bananas, Beans (niebe), Cabbage, Carrots, Cassava, Fonio, Groundnuts (shelled/unshelled), Livestock (Goat/Sheep/cattle), Maize (imported/local), Mangoes, Millet, Onions, Oranges, Potatoes, Rice (3 grades), Sorghum, Sweet potatoes, Tomatoes, Watermelons.</t>
        </is>
      </c>
      <c r="R16" s="13" t="b">
        <v>0</v>
      </c>
      <c r="S16" s="13" t="inlineStr">
        <is>
          <t>Narrower panel than Ethiopia/Mauritania/Malawi (28 vs 50-96 commodities) but reaches live animals and fonio that no retailer in this shard carries. Same fetcher shape as the existing EAP WFP module -- add sen/mwi/gab/mrt/eth/mdg/moz/zwe/tza to _PANELS.</t>
        </is>
      </c>
      <c r="T16" s="13" t="inlineStr"/>
    </row>
    <row r="17">
      <c r="A17" s="13" t="inlineStr">
        <is>
          <t>ssa</t>
        </is>
      </c>
      <c r="B17" s="13" t="inlineStr">
        <is>
          <t>mauritania</t>
        </is>
      </c>
      <c r="C17" s="13" t="inlineStr">
        <is>
          <t>WFP Food Prices (HDX) -- Mauritania</t>
        </is>
      </c>
      <c r="D17" s="13" t="inlineStr">
        <is>
          <t>https://data.humdata.org/dataset/wfp-food-prices-for-mauritania</t>
        </is>
      </c>
      <c r="E17" s="13" t="inlineStr">
        <is>
          <t>TIER_1B</t>
        </is>
      </c>
      <c r="F17" s="13" t="inlineStr">
        <is>
          <t>low</t>
        </is>
      </c>
      <c r="G17" s="13" t="inlineStr">
        <is>
          <t>Wave 1</t>
        </is>
      </c>
      <c r="H17" s="13" t="inlineStr">
        <is>
          <t>fetcher</t>
        </is>
      </c>
      <c r="I17" s="13" t="inlineStr">
        <is>
          <t>Extend _PANELS in src/prices/fetchers/_shared/eap/wfp_food_prices.py - one line per country, no new code. DATE-CHECK each panel first.</t>
        </is>
      </c>
      <c r="J17" s="13" t="inlineStr">
        <is>
          <t>A_wfp_ckan</t>
        </is>
      </c>
      <c r="K17" s="13" t="inlineStr">
        <is>
          <t>WFP/HDX CKAN</t>
        </is>
      </c>
      <c r="L17" s="13" t="inlineStr">
        <is>
          <t>official_avg</t>
        </is>
      </c>
      <c r="M17" s="13" t="inlineStr">
        <is>
          <t>official_avg</t>
        </is>
      </c>
      <c r="N17" s="13" t="inlineStr">
        <is>
          <t>MRU</t>
        </is>
      </c>
      <c r="O17" s="13" t="n">
        <v>25</v>
      </c>
      <c r="P17" s="13" t="inlineStr">
        <is>
          <t>https://data.humdata.org/api/3/action/package_show?id=wfp-food-prices-for-mauritania</t>
        </is>
      </c>
      <c r="Q17" s="13" t="inlineStr">
        <is>
          <t>CKAN resolved -&gt; wfp_food_prices_mrt.csv, 22,659 rows. 50 distinct commodities -- second-richest panel: live animals (bull/camel/cattle/goat/sheep), camel meat/milk, cow milk, milk powder, dates, couscous, feed (non-food), full cereal/legume/produce set, iodised salt.</t>
        </is>
      </c>
      <c r="R17" s="13" t="b">
        <v>0</v>
      </c>
      <c r="S17" s="13" t="inlineStr">
        <is>
          <t>Camel dairy/meat and live-animal coverage is unique to this feed among all sources probed.</t>
        </is>
      </c>
      <c r="T17" s="13" t="inlineStr"/>
    </row>
    <row r="18">
      <c r="A18" s="13" t="inlineStr">
        <is>
          <t>ssa</t>
        </is>
      </c>
      <c r="B18" s="13" t="inlineStr">
        <is>
          <t>congo_dem_rep</t>
        </is>
      </c>
      <c r="C18" s="13" t="inlineStr">
        <is>
          <t>WFP DRC (HDX)</t>
        </is>
      </c>
      <c r="D18" s="13" t="inlineStr">
        <is>
          <t>https://data.humdata.org/dataset/07a6d6fb-828d-4391-afb8-78b1fc32caa3</t>
        </is>
      </c>
      <c r="E18" s="13" t="inlineStr">
        <is>
          <t>TIER_1B</t>
        </is>
      </c>
      <c r="F18" s="13" t="inlineStr">
        <is>
          <t>low</t>
        </is>
      </c>
      <c r="G18" s="13" t="inlineStr">
        <is>
          <t>Wave 1</t>
        </is>
      </c>
      <c r="H18" s="13" t="inlineStr">
        <is>
          <t>fetcher</t>
        </is>
      </c>
      <c r="I18" s="13" t="inlineStr">
        <is>
          <t>Extend _PANELS in src/prices/fetchers/_shared/eap/wfp_food_prices.py - one line per country, no new code. DATE-CHECK each panel first.</t>
        </is>
      </c>
      <c r="J18" s="13" t="inlineStr">
        <is>
          <t>A_wfp_ckan</t>
        </is>
      </c>
      <c r="K18" s="13" t="inlineStr">
        <is>
          <t>Custom (CKAN/HDX)</t>
        </is>
      </c>
      <c r="L18" s="13" t="inlineStr">
        <is>
          <t>official_avg</t>
        </is>
      </c>
      <c r="M18" s="13" t="inlineStr">
        <is>
          <t>official_avg</t>
        </is>
      </c>
      <c r="N18" s="13" t="inlineStr">
        <is>
          <t>CDF</t>
        </is>
      </c>
      <c r="O18" s="13" t="n">
        <v>25</v>
      </c>
      <c r="P18" s="13" t="inlineStr">
        <is>
          <t>https://data.humdata.org/api/3/action/package_show?id=wfp-food-prices-for-democratic-republic-of-the-congo</t>
        </is>
      </c>
      <c r="Q18" s="13" t="inlineStr">
        <is>
          <t>CKAN-resolved CSV wfp_food_prices_cod.csv (200, 11.6MB, largest panel in the shard). 95,050 rows, 38 distinct commodities, max date 2026-05-15. Commodities incl. Cassava (+chikwangue/cossette/flour), Plantains, Sweet potatoes, Fish (fresh/salted/smoked), Livestock (Goat), Meat (beef/chicken/goat/pork).</t>
        </is>
      </c>
      <c r="R18" s="13" t="b">
        <v>0</v>
      </c>
      <c r="S18" s="13" t="inlineStr">
        <is>
          <t>Best complement to Shoppi.cd's packaged-goods gap -- covers fresh tubers, plantains, fresh meat variety, and fish that no retail source in this shard reaches.</t>
        </is>
      </c>
      <c r="T18" s="13" t="inlineStr"/>
    </row>
    <row r="19">
      <c r="A19" s="13" t="inlineStr">
        <is>
          <t>menaap</t>
        </is>
      </c>
      <c r="B19" s="13" t="inlineStr">
        <is>
          <t>libya</t>
        </is>
      </c>
      <c r="C19" s="13" t="inlineStr">
        <is>
          <t>WFP Food Prices - Libya (HDX)</t>
        </is>
      </c>
      <c r="D19" s="13" t="inlineStr">
        <is>
          <t>https://data.humdata.org/dataset/dc632a15-d376-496f-976f-c3282e67bc28</t>
        </is>
      </c>
      <c r="E19" s="13" t="inlineStr">
        <is>
          <t>TIER_1B</t>
        </is>
      </c>
      <c r="F19" s="13" t="inlineStr">
        <is>
          <t>low</t>
        </is>
      </c>
      <c r="G19" s="13" t="inlineStr">
        <is>
          <t>Wave 1</t>
        </is>
      </c>
      <c r="H19" s="13" t="inlineStr">
        <is>
          <t>fetcher</t>
        </is>
      </c>
      <c r="I19" s="13" t="inlineStr">
        <is>
          <t>Extend _PANELS in src/prices/fetchers/_shared/eap/wfp_food_prices.py - one line per country, no new code. DATE-CHECK each panel first.</t>
        </is>
      </c>
      <c r="J19" s="13" t="inlineStr">
        <is>
          <t>A_wfp_ckan</t>
        </is>
      </c>
      <c r="K19" s="13" t="inlineStr">
        <is>
          <t>WFP/HDX CKAN</t>
        </is>
      </c>
      <c r="L19" s="13" t="inlineStr">
        <is>
          <t>official_avg</t>
        </is>
      </c>
      <c r="M19" s="13" t="inlineStr">
        <is>
          <t>official_avg</t>
        </is>
      </c>
      <c r="N19" s="13" t="inlineStr">
        <is>
          <t>LYD</t>
        </is>
      </c>
      <c r="O19" s="13" t="n">
        <v>23</v>
      </c>
      <c r="P19" s="13" t="inlineStr">
        <is>
          <t>CKAN package_show -&gt; S3 CSV (resolved dynamically, same pattern as the existing eap wfp_food_prices.py fetcher)</t>
        </is>
      </c>
      <c r="Q19" s="13" t="inlineStr">
        <is>
          <t>CKAN package_show?id=wfp-food-prices-for-libya -&gt; 200, resolves live S3-presigned CSV (wfp_food_prices_lby.csv, 69,168 rows). 36 distinct commodities across 8 categories (cereals/tubers, meat/fish/eggs, milk/dairy, misc food, oil/fats, pulses/nuts, veg/fruits, non-food). Sample: 'Rice' unit '1 KG', category 'cereals and tubers', pricetype 'Retail', currency LYD.</t>
        </is>
      </c>
      <c r="R19" s="13" t="b">
        <v>0</v>
      </c>
      <c r="S19" s="13" t="inlineStr">
        <is>
          <t>Extending src/prices/fetchers/_shared/eap/wfp_food_prices.py to Libya is a one-line addition to the _PANELS dict: 'lby': ('Libya', 'wfp-food-prices-for-libya'). The fetcher's CKAN-resolution + national-average-collapse logic needs zero changes.</t>
        </is>
      </c>
      <c r="T19" s="13" t="inlineStr"/>
    </row>
    <row r="20">
      <c r="A20" s="13" t="inlineStr">
        <is>
          <t>ssa</t>
        </is>
      </c>
      <c r="B20" s="13" t="inlineStr">
        <is>
          <t>tanzania</t>
        </is>
      </c>
      <c r="C20" s="13" t="inlineStr">
        <is>
          <t>WFP Food Prices (HDX) -- Tanzania</t>
        </is>
      </c>
      <c r="D20" s="13" t="inlineStr">
        <is>
          <t>https://data.humdata.org/dataset/wfp-food-prices-for-united-republic-of-tanzania</t>
        </is>
      </c>
      <c r="E20" s="13" t="inlineStr">
        <is>
          <t>TIER_1B</t>
        </is>
      </c>
      <c r="F20" s="13" t="inlineStr">
        <is>
          <t>low</t>
        </is>
      </c>
      <c r="G20" s="13" t="inlineStr">
        <is>
          <t>Wave 1</t>
        </is>
      </c>
      <c r="H20" s="13" t="inlineStr">
        <is>
          <t>fetcher</t>
        </is>
      </c>
      <c r="I20" s="13" t="inlineStr">
        <is>
          <t>Extend _PANELS in src/prices/fetchers/_shared/eap/wfp_food_prices.py - one line per country, no new code. DATE-CHECK each panel first.</t>
        </is>
      </c>
      <c r="J20" s="13" t="inlineStr">
        <is>
          <t>A_wfp_ckan</t>
        </is>
      </c>
      <c r="K20" s="13" t="inlineStr">
        <is>
          <t>WFP/HDX CKAN</t>
        </is>
      </c>
      <c r="L20" s="13" t="inlineStr">
        <is>
          <t>official_avg</t>
        </is>
      </c>
      <c r="M20" s="13" t="inlineStr">
        <is>
          <t>official_avg</t>
        </is>
      </c>
      <c r="N20" s="13" t="inlineStr">
        <is>
          <t>TZS</t>
        </is>
      </c>
      <c r="O20" s="13" t="n">
        <v>20</v>
      </c>
      <c r="P20" s="13" t="inlineStr">
        <is>
          <t>https://data.humdata.org/api/3/action/package_show?id=wfp-food-prices-for-united-republic-of-tanzania</t>
        </is>
      </c>
      <c r="Q20" s="13" t="inlineStr">
        <is>
          <t>CKAN package id is NOT 'wfp-food-prices-for-tanzania' (404) -- resolved via package_search to 'wfp-food-prices-for-united-republic-of-tanzania'. CSV: 65,110 rows, 31 distinct commodities: beans (4 varieties), cabbage, carrots, fish (fresh), lettuce, maize (2 forms), meat (beef with/without bones, goat), millet (2 varieties), oil (cotton/sunflower), onions, potatoes, rice, sorghum, soybeans, sugar, sweet potatoes, tomatoes (2 varieties), wheat.</t>
        </is>
      </c>
      <c r="R20" s="13" t="b">
        <v>0</v>
      </c>
      <c r="S20" s="13" t="inlineStr">
        <is>
          <t>GOTCHA for whoever builds this fetcher: the slug follows the ISO 'United Republic of Tanzania' form, not the common name -- a naive slug guess 404s. Meat-cut (bone-in/out) and fresh-fish depth complement Fast &amp; Fresh.</t>
        </is>
      </c>
      <c r="T20" s="13" t="inlineStr"/>
    </row>
    <row r="21">
      <c r="A21" s="13" t="inlineStr">
        <is>
          <t>ssa</t>
        </is>
      </c>
      <c r="B21" s="13" t="inlineStr">
        <is>
          <t>guinea</t>
        </is>
      </c>
      <c r="C21" s="13" t="inlineStr">
        <is>
          <t>WFP Guinea (HDX)</t>
        </is>
      </c>
      <c r="D21" s="13" t="inlineStr">
        <is>
          <t>https://data.humdata.org/dataset/17a0a124-bedd-427c-a710-0d6e87672891</t>
        </is>
      </c>
      <c r="E21" s="13" t="inlineStr">
        <is>
          <t>TIER_1B</t>
        </is>
      </c>
      <c r="F21" s="13" t="inlineStr">
        <is>
          <t>low</t>
        </is>
      </c>
      <c r="G21" s="13" t="inlineStr">
        <is>
          <t>Wave 1</t>
        </is>
      </c>
      <c r="H21" s="13" t="inlineStr">
        <is>
          <t>fetcher</t>
        </is>
      </c>
      <c r="I21" s="13" t="inlineStr">
        <is>
          <t>Extend _PANELS in src/prices/fetchers/_shared/eap/wfp_food_prices.py - one line per country, no new code. DATE-CHECK each panel first.</t>
        </is>
      </c>
      <c r="J21" s="13" t="inlineStr">
        <is>
          <t>A_wfp_ckan</t>
        </is>
      </c>
      <c r="K21" s="13" t="inlineStr">
        <is>
          <t>Custom (CKAN/HDX)</t>
        </is>
      </c>
      <c r="L21" s="13" t="inlineStr">
        <is>
          <t>official_avg</t>
        </is>
      </c>
      <c r="M21" s="13" t="inlineStr">
        <is>
          <t>official_avg</t>
        </is>
      </c>
      <c r="N21" s="13" t="inlineStr">
        <is>
          <t>GNF</t>
        </is>
      </c>
      <c r="O21" s="13" t="n">
        <v>20</v>
      </c>
      <c r="P21" s="13" t="inlineStr">
        <is>
          <t>https://data.humdata.org/api/3/action/package_show?id=wfp-food-prices-for-guinea</t>
        </is>
      </c>
      <c r="Q21" s="13" t="inlineStr">
        <is>
          <t>CKAN-resolved CSV wfp_food_prices_gin.csv (200, 3.2MB). 26,189 rows, 26 distinct commodities, max date 2026-07-15 (current). Commodities incl. Fonio, Cassava meal (attieke/gari), Fish (fresh/dry/smoked), Groundnuts, Rice (imported/local).</t>
        </is>
      </c>
      <c r="R21" s="13" t="b">
        <v>0</v>
      </c>
      <c r="S21" s="13" t="inlineStr">
        <is>
          <t>Adds fonio (a div-01 cereal leaf with almost no other EAP/SSA source in this repo) plus three separate dried/smoked/fresh fish leaves.</t>
        </is>
      </c>
      <c r="T21" s="13" t="inlineStr"/>
    </row>
    <row r="22">
      <c r="A22" s="13" t="inlineStr">
        <is>
          <t>ssa</t>
        </is>
      </c>
      <c r="B22" s="13" t="inlineStr">
        <is>
          <t>cote_divoire</t>
        </is>
      </c>
      <c r="C22" s="13" t="inlineStr">
        <is>
          <t>WFP Cote d'Ivoire (HDX)</t>
        </is>
      </c>
      <c r="D22" s="13" t="inlineStr">
        <is>
          <t>https://data.humdata.org/dataset/e6ff12e6-0670-4a0e-af9f-3750688e6c8d</t>
        </is>
      </c>
      <c r="E22" s="13" t="inlineStr">
        <is>
          <t>TIER_1B</t>
        </is>
      </c>
      <c r="F22" s="13" t="inlineStr">
        <is>
          <t>low</t>
        </is>
      </c>
      <c r="G22" s="13" t="inlineStr">
        <is>
          <t>Wave 1</t>
        </is>
      </c>
      <c r="H22" s="13" t="inlineStr">
        <is>
          <t>fetcher</t>
        </is>
      </c>
      <c r="I22" s="13" t="inlineStr">
        <is>
          <t>Extend _PANELS in src/prices/fetchers/_shared/eap/wfp_food_prices.py - one line per country, no new code. DATE-CHECK each panel first.</t>
        </is>
      </c>
      <c r="J22" s="13" t="inlineStr">
        <is>
          <t>A_wfp_ckan</t>
        </is>
      </c>
      <c r="K22" s="13" t="inlineStr">
        <is>
          <t>Custom (CKAN/HDX)</t>
        </is>
      </c>
      <c r="L22" s="13" t="inlineStr">
        <is>
          <t>official_avg</t>
        </is>
      </c>
      <c r="M22" s="13" t="inlineStr">
        <is>
          <t>official_avg</t>
        </is>
      </c>
      <c r="N22" s="13" t="inlineStr">
        <is>
          <t>XOF</t>
        </is>
      </c>
      <c r="O22" s="13" t="n">
        <v>20</v>
      </c>
      <c r="P22" s="13" t="inlineStr">
        <is>
          <t>https://data.humdata.org/api/3/action/package_show?id=wfp-food-prices-for-cote-d-ivoire</t>
        </is>
      </c>
      <c r="Q22" s="13" t="inlineStr">
        <is>
          <t>CKAN-resolved CSV wfp_food_prices_civ.csv (200, 1.3MB). 10,698 rows, 27 distinct commodities, max date 2026-06-15. Commodities incl. Cashew nut, Cocoa, Coffee, Yam (+florido), Cassava meal (attieke), Fish (appolo/dry/fresh/smoked).</t>
        </is>
      </c>
      <c r="R22" s="13" t="b">
        <v>0</v>
      </c>
      <c r="S22" s="13" t="inlineStr">
        <is>
          <t>With Adjovan and Jumia CI both walled, this is currently the ONLY confirmed-working F&amp;B source for Cote d'Ivoire in this shard.</t>
        </is>
      </c>
      <c r="T22" s="13" t="inlineStr"/>
    </row>
    <row r="23">
      <c r="A23" s="13" t="inlineStr">
        <is>
          <t>lac</t>
        </is>
      </c>
      <c r="B23" s="13" t="inlineStr">
        <is>
          <t>chile</t>
        </is>
      </c>
      <c r="C23" s="13" t="inlineStr">
        <is>
          <t>ODEPA precios mayoristas de fruta y hortaliza</t>
        </is>
      </c>
      <c r="D23" s="13" t="inlineStr">
        <is>
          <t>https://datos.odepa.gob.cl/dataset/precios-mayoristas-de-frutas-y-hortalizas</t>
        </is>
      </c>
      <c r="E23" s="13" t="inlineStr">
        <is>
          <t>TIER_1B</t>
        </is>
      </c>
      <c r="F23" s="13" t="inlineStr">
        <is>
          <t>low</t>
        </is>
      </c>
      <c r="G23" s="13" t="inlineStr">
        <is>
          <t>Wave 1</t>
        </is>
      </c>
      <c r="H23" s="13" t="inlineStr">
        <is>
          <t>fetcher</t>
        </is>
      </c>
      <c r="I23" s="13" t="inlineStr">
        <is>
          <t>Extend _PANELS in src/prices/fetchers/_shared/eap/wfp_food_prices.py - one line per country, no new code. DATE-CHECK each panel first.</t>
        </is>
      </c>
      <c r="J23" s="13" t="inlineStr">
        <is>
          <t>A_wfp_ckan</t>
        </is>
      </c>
      <c r="K23" s="13" t="inlineStr">
        <is>
          <t>CKAN open-data portal (Chilean Ministry of Agriculture)</t>
        </is>
      </c>
      <c r="L23" s="13" t="inlineStr">
        <is>
          <t>official_avg</t>
        </is>
      </c>
      <c r="M23" s="13" t="inlineStr">
        <is>
          <t>wholesale</t>
        </is>
      </c>
      <c r="N23" s="13" t="inlineStr">
        <is>
          <t>CLP</t>
        </is>
      </c>
      <c r="O23" s="13" t="n">
        <v>20</v>
      </c>
      <c r="P23" s="13" t="inlineStr">
        <is>
          <t>CKAN package_show?id=precios-mayoristas-de-frutas-y-hortalizas -&gt; resource download URL (year-partitioned CSV, updated daily on business days)</t>
        </is>
      </c>
      <c r="Q23" s="13" t="inlineStr">
        <is>
          <t>CKAN package_show for 'precios-mayoristas-de-frutas-y-hortalizas' lists a 2026 CSV resource; GET precio_mayorista_fruta-hortaliza_2026.csv -&gt; HTTP 200, 24.3MB, 108,989 rows, dates through 2026-07-31 (1 week old). Sample row: 'Acelga', Femacal de La Calera market, $/docena de atados (6 kilos), precio promedio 4000 CLP. 79 unique products counted (Acelga, Ajo, Alcachofa, Apio, Arveja Verde, Betarraga, Brocoli, Camote, Cebolla, Choclo, Coliflor, Espinaca, Jengibre, etc).</t>
        </is>
      </c>
      <c r="R23" s="13" t="b">
        <v>0</v>
      </c>
      <c r="S23" s="13" t="inlineStr">
        <is>
          <t>Whole-catalog walker: min/max/avg wholesale price + volume per product/variety/quality/market/region, daily. Adds fresh-produce leaves retail supermarkets under-stock (specialty veg like achicoria, caigua, cebollin baby, corazon de apio).</t>
        </is>
      </c>
      <c r="T23" s="13" t="inlineStr"/>
    </row>
    <row r="24">
      <c r="A24" s="13" t="inlineStr">
        <is>
          <t>lac</t>
        </is>
      </c>
      <c r="B24" s="13" t="inlineStr">
        <is>
          <t>colombia</t>
        </is>
      </c>
      <c r="C24" s="13" t="inlineStr">
        <is>
          <t>WFP Colombia food prices (HDX)</t>
        </is>
      </c>
      <c r="D24" s="13" t="inlineStr">
        <is>
          <t>https://data.humdata.org/dataset/wfp-food-prices-for-colombia</t>
        </is>
      </c>
      <c r="E24" s="13" t="inlineStr">
        <is>
          <t>TIER_1B</t>
        </is>
      </c>
      <c r="F24" s="13" t="inlineStr">
        <is>
          <t>low</t>
        </is>
      </c>
      <c r="G24" s="13" t="inlineStr">
        <is>
          <t>Wave 1</t>
        </is>
      </c>
      <c r="H24" s="13" t="inlineStr">
        <is>
          <t>fetcher</t>
        </is>
      </c>
      <c r="I24" s="13" t="inlineStr">
        <is>
          <t>Extend _PANELS in src/prices/fetchers/_shared/eap/wfp_food_prices.py - one line per country, no new code. DATE-CHECK each panel first.</t>
        </is>
      </c>
      <c r="J24" s="13" t="inlineStr">
        <is>
          <t>A_wfp_ckan</t>
        </is>
      </c>
      <c r="K24" s="13" t="inlineStr">
        <is>
          <t>WFP HDX CKAN mirror</t>
        </is>
      </c>
      <c r="L24" s="13" t="inlineStr">
        <is>
          <t>official_avg</t>
        </is>
      </c>
      <c r="M24" s="13" t="inlineStr">
        <is>
          <t>wholesale</t>
        </is>
      </c>
      <c r="N24" s="13" t="inlineStr">
        <is>
          <t>COP</t>
        </is>
      </c>
      <c r="O24" s="13" t="n">
        <v>20</v>
      </c>
      <c r="P24" s="13" t="inlineStr">
        <is>
          <t>CKAN package_show?id=wfp-food-prices-for-colombia -&gt; wfp_food_prices_col.csv (S3 pre-signed redirect, follow -L)</t>
        </is>
      </c>
      <c r="Q24" s="13" t="inlineStr">
        <is>
          <t>CKAN package_show -&gt; resource 'Colombia - Food Prices' CSV, downloaded 9.8MB / 71,566 rows. Max observation date in file = 2026-06-15 (live, ~7 weeks old; CKAN last_modified metadata 2026-08-03 is separate from data currency, always check the max date column). Sample row: 2026-06-15, Valle Del Cauca, Tulua, 'Tomatoes', KG, Wholesale, COP 2975 (0.85 USD equiv). ~80 unique commodity strings.</t>
        </is>
      </c>
      <c r="R24" s="13" t="b">
        <v>0</v>
      </c>
      <c r="S24" s="13" t="inlineStr">
        <is>
          <t>Whole-catalog walker, mostly fresh produce/grains/legumes/fish, wholesale price basis. Confirmed live -- not stale like the Venezuela panel.</t>
        </is>
      </c>
      <c r="T24" s="13" t="inlineStr"/>
    </row>
    <row r="25">
      <c r="A25" s="13" t="inlineStr">
        <is>
          <t>menaap</t>
        </is>
      </c>
      <c r="B25" s="13" t="inlineStr">
        <is>
          <t>yemen</t>
        </is>
      </c>
      <c r="C25" s="13" t="inlineStr">
        <is>
          <t>WFP Food Prices - Yemen (HDX)</t>
        </is>
      </c>
      <c r="D25" s="13" t="inlineStr">
        <is>
          <t>https://data.humdata.org/dataset/98574e10-6866-4f13-a2b1-3c8312801af5</t>
        </is>
      </c>
      <c r="E25" s="13" t="inlineStr">
        <is>
          <t>TIER_1B</t>
        </is>
      </c>
      <c r="F25" s="13" t="inlineStr">
        <is>
          <t>low</t>
        </is>
      </c>
      <c r="G25" s="13" t="inlineStr">
        <is>
          <t>Wave 1</t>
        </is>
      </c>
      <c r="H25" s="13" t="inlineStr">
        <is>
          <t>fetcher</t>
        </is>
      </c>
      <c r="I25" s="13" t="inlineStr">
        <is>
          <t>Extend _PANELS in src/prices/fetchers/_shared/eap/wfp_food_prices.py - one line per country, no new code. DATE-CHECK each panel first.</t>
        </is>
      </c>
      <c r="J25" s="13" t="inlineStr">
        <is>
          <t>A_wfp_ckan</t>
        </is>
      </c>
      <c r="K25" s="13" t="inlineStr">
        <is>
          <t>WFP/HDX CKAN</t>
        </is>
      </c>
      <c r="L25" s="13" t="inlineStr">
        <is>
          <t>official_avg</t>
        </is>
      </c>
      <c r="M25" s="13" t="inlineStr">
        <is>
          <t>official_avg</t>
        </is>
      </c>
      <c r="N25" s="13" t="inlineStr">
        <is>
          <t>YER</t>
        </is>
      </c>
      <c r="O25" s="13" t="n">
        <v>17</v>
      </c>
      <c r="P25" s="13" t="inlineStr">
        <is>
          <t>CKAN package_show -&gt; S3 CSV</t>
        </is>
      </c>
      <c r="Q25" s="13" t="inlineStr">
        <is>
          <t>CKAN package_show -&gt; 200, resolves wfp_food_prices_yem.csv, 58,722 rows. 28 distinct commodities. No dairy and no fruit commodities at all in this panel - only cereals/tubers, pulses, oil, a few vegetables (onion/tomato/potato), meat (chicken/mutton via 'Livestock'), eggs, salt, sugar. Two rial regimes coexist in Yemen (old/new) - the CSV's 'currency' column should disambiguate but was not deep-checked this pass.</t>
        </is>
      </c>
      <c r="R25" s="13" t="b">
        <v>0</v>
      </c>
      <c r="S25" s="13" t="inlineStr">
        <is>
          <t>Thinnest of the 8 WFP panels - Yemen's monitoring focuses on cereal-security staples, not a full basket. Before shipping, verify whether 'old rial' vs 'new rial' values are mixed in one currency column (per the CSV shard's own gotcha note on domestic Yemeni sources) - if so a currency-variant split may be needed.</t>
        </is>
      </c>
      <c r="T25" s="13" t="inlineStr"/>
    </row>
    <row r="26">
      <c r="A26" s="13" t="inlineStr">
        <is>
          <t>ssa</t>
        </is>
      </c>
      <c r="B26" s="13" t="inlineStr">
        <is>
          <t>mozambique</t>
        </is>
      </c>
      <c r="C26" s="13" t="inlineStr">
        <is>
          <t>WFP Food Prices (HDX) -- Mozambique</t>
        </is>
      </c>
      <c r="D26" s="13" t="inlineStr">
        <is>
          <t>https://data.humdata.org/dataset/wfp-food-prices-for-mozambique</t>
        </is>
      </c>
      <c r="E26" s="13" t="inlineStr">
        <is>
          <t>TIER_1B</t>
        </is>
      </c>
      <c r="F26" s="13" t="inlineStr">
        <is>
          <t>low</t>
        </is>
      </c>
      <c r="G26" s="13" t="inlineStr">
        <is>
          <t>Wave 1</t>
        </is>
      </c>
      <c r="H26" s="13" t="inlineStr">
        <is>
          <t>fetcher</t>
        </is>
      </c>
      <c r="I26" s="13" t="inlineStr">
        <is>
          <t>Extend _PANELS in src/prices/fetchers/_shared/eap/wfp_food_prices.py - one line per country, no new code. DATE-CHECK each panel first.</t>
        </is>
      </c>
      <c r="J26" s="13" t="inlineStr">
        <is>
          <t>A_wfp_ckan</t>
        </is>
      </c>
      <c r="K26" s="13" t="inlineStr">
        <is>
          <t>WFP/HDX CKAN</t>
        </is>
      </c>
      <c r="L26" s="13" t="inlineStr">
        <is>
          <t>official_avg</t>
        </is>
      </c>
      <c r="M26" s="13" t="inlineStr">
        <is>
          <t>official_avg</t>
        </is>
      </c>
      <c r="N26" s="13" t="inlineStr">
        <is>
          <t>MZN</t>
        </is>
      </c>
      <c r="O26" s="13" t="n">
        <v>15</v>
      </c>
      <c r="P26" s="13" t="inlineStr">
        <is>
          <t>https://data.humdata.org/api/3/action/package_show?id=wfp-food-prices-for-mozambique</t>
        </is>
      </c>
      <c r="Q26" s="13" t="inlineStr">
        <is>
          <t>CKAN resolved -&gt; wfp_food_prices_moz.csv, 67,281 rows. 57 distinct commodities: beans (6 varieties), cassava (fresh/dry/flour/leaves), garlic (2 grades), groundnuts (4 grades), maize meal (4 grades), potatoes (3 grades), rice, sugar (2 grades), wheat flour, cowpeas, coconut, sesame.</t>
        </is>
      </c>
      <c r="R26" s="13" t="b">
        <v>0</v>
      </c>
      <c r="S26" s="13" t="inlineStr">
        <is>
          <t>Cassava-leaves and multi-grade maize-meal depth complements RECHEIO/VIP's packaged-goods lean.</t>
        </is>
      </c>
      <c r="T26" s="13" t="inlineStr"/>
    </row>
    <row r="27">
      <c r="A27" s="13" t="inlineStr">
        <is>
          <t>ssa</t>
        </is>
      </c>
      <c r="B27" s="13" t="inlineStr">
        <is>
          <t>zimbabwe</t>
        </is>
      </c>
      <c r="C27" s="13" t="inlineStr">
        <is>
          <t>WFP Food Prices (HDX) -- Zimbabwe</t>
        </is>
      </c>
      <c r="D27" s="13" t="inlineStr">
        <is>
          <t>https://data.humdata.org/dataset/wfp-food-prices-for-zimbabwe</t>
        </is>
      </c>
      <c r="E27" s="13" t="inlineStr">
        <is>
          <t>TIER_1B</t>
        </is>
      </c>
      <c r="F27" s="13" t="inlineStr">
        <is>
          <t>low</t>
        </is>
      </c>
      <c r="G27" s="13" t="inlineStr">
        <is>
          <t>Wave 1</t>
        </is>
      </c>
      <c r="H27" s="13" t="inlineStr">
        <is>
          <t>fetcher</t>
        </is>
      </c>
      <c r="I27" s="13" t="inlineStr">
        <is>
          <t>Extend _PANELS in src/prices/fetchers/_shared/eap/wfp_food_prices.py - one line per country, no new code. DATE-CHECK each panel first.</t>
        </is>
      </c>
      <c r="J27" s="13" t="inlineStr">
        <is>
          <t>A_wfp_ckan</t>
        </is>
      </c>
      <c r="K27" s="13" t="inlineStr">
        <is>
          <t>WFP/HDX CKAN</t>
        </is>
      </c>
      <c r="L27" s="13" t="inlineStr">
        <is>
          <t>official_avg</t>
        </is>
      </c>
      <c r="M27" s="13" t="inlineStr">
        <is>
          <t>official_avg</t>
        </is>
      </c>
      <c r="N27" s="13" t="inlineStr">
        <is>
          <t>USD</t>
        </is>
      </c>
      <c r="O27" s="13" t="n">
        <v>15</v>
      </c>
      <c r="P27" s="13" t="inlineStr">
        <is>
          <t>https://data.humdata.org/api/3/action/package_show?id=wfp-food-prices-for-zimbabwe</t>
        </is>
      </c>
      <c r="Q27" s="13" t="inlineStr">
        <is>
          <t>CKAN resolved -&gt; wfp_food_prices_zwe.csv, 28,596 rows. 31 distinct commodities including several biofortified variants (Beans sugar biofortified, Maize yellow biofortified, Millet biofortified, Sorghum biofortified) plus cowpeas, dried kapenta fish, standard cereals/oils/sugar/wheat.</t>
        </is>
      </c>
      <c r="R27" s="13" t="b">
        <v>0</v>
      </c>
      <c r="S27" s="13" t="inlineStr">
        <is>
          <t>Dried kapenta fish and the biofortified cereal variants are not something any confirmed retailer here carries.</t>
        </is>
      </c>
      <c r="T27" s="13" t="inlineStr"/>
    </row>
    <row r="28">
      <c r="A28" s="13" t="inlineStr">
        <is>
          <t>lac</t>
        </is>
      </c>
      <c r="B28" s="13" t="inlineStr">
        <is>
          <t>ecuador</t>
        </is>
      </c>
      <c r="C28" s="13" t="inlineStr">
        <is>
          <t>WFP Ecuador food prices (HDX)</t>
        </is>
      </c>
      <c r="D28" s="13" t="inlineStr">
        <is>
          <t>https://data.humdata.org/dataset/wfp-food-prices-for-ecuador</t>
        </is>
      </c>
      <c r="E28" s="13" t="inlineStr">
        <is>
          <t>TIER_1B</t>
        </is>
      </c>
      <c r="F28" s="13" t="inlineStr">
        <is>
          <t>low</t>
        </is>
      </c>
      <c r="G28" s="13" t="inlineStr">
        <is>
          <t>Wave 1</t>
        </is>
      </c>
      <c r="H28" s="13" t="inlineStr">
        <is>
          <t>fetcher</t>
        </is>
      </c>
      <c r="I28" s="13" t="inlineStr">
        <is>
          <t>Extend _PANELS in src/prices/fetchers/_shared/eap/wfp_food_prices.py - one line per country, no new code. DATE-CHECK each panel first.</t>
        </is>
      </c>
      <c r="J28" s="13" t="inlineStr">
        <is>
          <t>A_wfp_ckan</t>
        </is>
      </c>
      <c r="K28" s="13" t="inlineStr">
        <is>
          <t>WFP HDX CKAN mirror</t>
        </is>
      </c>
      <c r="L28" s="13" t="inlineStr">
        <is>
          <t>official_avg</t>
        </is>
      </c>
      <c r="M28" s="13" t="inlineStr">
        <is>
          <t>wholesale</t>
        </is>
      </c>
      <c r="N28" s="13" t="inlineStr">
        <is>
          <t>USD</t>
        </is>
      </c>
      <c r="O28" s="13" t="n">
        <v>15</v>
      </c>
      <c r="P28" s="13" t="inlineStr">
        <is>
          <t>CKAN package_show?id=wfp-food-prices-for-ecuador -&gt; wfp_food_prices_ecu.csv (S3 pre-signed redirect, follow -L)</t>
        </is>
      </c>
      <c r="Q28" s="13" t="inlineStr">
        <is>
          <t>CKAN package_show -&gt; resource 'Ecuador - Food Prices' CSV, downloaded 1.1MB / 9,053 rows. Max observation date = 2026-06-15 (live). Sample row: 2023-09-15..2026-06-15 range, Pichincha/Quito, 'Watermelons', KG, Wholesale, USD 0.31. 71 unique commodity strings (Apples, Avocados, Bananas, Beans variants, Beetroots, Blackberry, Bread, Maize, Onions, Plantains, Rice, etc).</t>
        </is>
      </c>
      <c r="R28" s="13" t="b">
        <v>0</v>
      </c>
      <c r="S28" s="13" t="inlineStr">
        <is>
          <t>Whole-catalog walker, wholesale produce/grains/legumes basis, confirmed live.</t>
        </is>
      </c>
      <c r="T28" s="13" t="inlineStr"/>
    </row>
    <row r="29">
      <c r="A29" s="13" t="inlineStr">
        <is>
          <t>ssa</t>
        </is>
      </c>
      <c r="B29" s="13" t="inlineStr">
        <is>
          <t>sudan</t>
        </is>
      </c>
      <c r="C29" s="13" t="inlineStr">
        <is>
          <t>WFP Sudan (HDX)</t>
        </is>
      </c>
      <c r="D29" s="13" t="inlineStr">
        <is>
          <t>https://data.humdata.org/dataset/369e003b-f0af-4e48-99d7-34fc85b44635</t>
        </is>
      </c>
      <c r="E29" s="13" t="inlineStr">
        <is>
          <t>TIER_1B</t>
        </is>
      </c>
      <c r="F29" s="13" t="inlineStr">
        <is>
          <t>low</t>
        </is>
      </c>
      <c r="G29" s="13" t="inlineStr">
        <is>
          <t>Wave 1</t>
        </is>
      </c>
      <c r="H29" s="13" t="inlineStr">
        <is>
          <t>fetcher</t>
        </is>
      </c>
      <c r="I29" s="13" t="inlineStr">
        <is>
          <t>Extend _PANELS in src/prices/fetchers/_shared/eap/wfp_food_prices.py - one line per country, no new code. DATE-CHECK each panel first.</t>
        </is>
      </c>
      <c r="J29" s="13" t="inlineStr">
        <is>
          <t>A_wfp_ckan</t>
        </is>
      </c>
      <c r="K29" s="13" t="inlineStr">
        <is>
          <t>Custom (CKAN/HDX)</t>
        </is>
      </c>
      <c r="L29" s="13" t="inlineStr">
        <is>
          <t>official_avg</t>
        </is>
      </c>
      <c r="M29" s="13" t="inlineStr">
        <is>
          <t>official_avg</t>
        </is>
      </c>
      <c r="N29" s="13" t="inlineStr">
        <is>
          <t>SDG</t>
        </is>
      </c>
      <c r="O29" s="13" t="n">
        <v>13</v>
      </c>
      <c r="P29" s="13" t="inlineStr">
        <is>
          <t>https://data.humdata.org/api/3/action/package_show?id=wfp-food-prices-for-sudan</t>
        </is>
      </c>
      <c r="Q29" s="13" t="inlineStr">
        <is>
          <t>CKAN-resolved CSV wfp_food_prices_sdn.csv (200, 2.8MB). 22,224 rows, 16 distinct commodities, max date 2026-06-15 (current). Sample commodities: Sorghum, Wheat, Wheat flour, Meat (beef/goat), Milk (powder), Onions, Salt (iodised), Sugar.</t>
        </is>
      </c>
      <c r="R29" s="13" t="b">
        <v>0</v>
      </c>
      <c r="S29" s="13" t="inlineStr">
        <is>
          <t>Thinnest WFP panel in this shard (16 commodities vs 51 for Kenya, 65 for Rwanda) -- war-affected data collection is likely constrained. Still adds fresh beef/goat meat and cereals not on HyperSale's packaged-goods shelf.</t>
        </is>
      </c>
      <c r="T29" s="13" t="inlineStr"/>
    </row>
    <row r="30">
      <c r="A30" s="13" t="inlineStr">
        <is>
          <t>ssa</t>
        </is>
      </c>
      <c r="B30" s="13" t="inlineStr">
        <is>
          <t>madagascar</t>
        </is>
      </c>
      <c r="C30" s="13" t="inlineStr">
        <is>
          <t>WFP Food Prices (HDX) -- Madagascar</t>
        </is>
      </c>
      <c r="D30" s="13" t="inlineStr">
        <is>
          <t>https://data.humdata.org/dataset/wfp-food-prices-for-madagascar</t>
        </is>
      </c>
      <c r="E30" s="13" t="inlineStr">
        <is>
          <t>TIER_1B</t>
        </is>
      </c>
      <c r="F30" s="13" t="inlineStr">
        <is>
          <t>low</t>
        </is>
      </c>
      <c r="G30" s="13" t="inlineStr">
        <is>
          <t>Wave 1</t>
        </is>
      </c>
      <c r="H30" s="13" t="inlineStr">
        <is>
          <t>fetcher</t>
        </is>
      </c>
      <c r="I30" s="13" t="inlineStr">
        <is>
          <t>Extend _PANELS in src/prices/fetchers/_shared/eap/wfp_food_prices.py - one line per country, no new code. DATE-CHECK each panel first.</t>
        </is>
      </c>
      <c r="J30" s="13" t="inlineStr">
        <is>
          <t>A_wfp_ckan</t>
        </is>
      </c>
      <c r="K30" s="13" t="inlineStr">
        <is>
          <t>WFP/HDX CKAN</t>
        </is>
      </c>
      <c r="L30" s="13" t="inlineStr">
        <is>
          <t>official_avg</t>
        </is>
      </c>
      <c r="M30" s="13" t="inlineStr">
        <is>
          <t>official_avg</t>
        </is>
      </c>
      <c r="N30" s="13" t="inlineStr">
        <is>
          <t>MGA</t>
        </is>
      </c>
      <c r="O30" s="13" t="n">
        <v>10</v>
      </c>
      <c r="P30" s="13" t="inlineStr">
        <is>
          <t>https://data.humdata.org/api/3/action/package_show?id=wfp-food-prices-for-madagascar</t>
        </is>
      </c>
      <c r="Q30" s="13" t="inlineStr">
        <is>
          <t>CKAN resolved -&gt; wfp_food_prices_mdg.csv, 34,220 rows. 20 distinct commodities: dry beans (4 varieties), cassava (dry/fresh), groundnuts (Bambara), maize (2 forms), oils (3 forms), rice (3 forms), sugar, wheat flour.</t>
        </is>
      </c>
      <c r="R30" s="13" t="b">
        <v>0</v>
      </c>
      <c r="S30" s="13" t="inlineStr">
        <is>
          <t>Narrow panel, cereal/legume/tuber-only -- no produce, protein or dairy commodities tracked for Madagascar.</t>
        </is>
      </c>
      <c r="T30" s="13" t="inlineStr"/>
    </row>
    <row r="31">
      <c r="A31" s="13" t="inlineStr">
        <is>
          <t>ssa</t>
        </is>
      </c>
      <c r="B31" s="13" t="inlineStr">
        <is>
          <t>cabo_verde</t>
        </is>
      </c>
      <c r="C31" s="13" t="inlineStr">
        <is>
          <t>WFP Cabo Verde (HDX)</t>
        </is>
      </c>
      <c r="D31" s="13" t="inlineStr">
        <is>
          <t>https://data.humdata.org/dataset/f9f8ff96-61eb-472e-9ec8-814980cfabcd</t>
        </is>
      </c>
      <c r="E31" s="13" t="inlineStr">
        <is>
          <t>TIER_1B</t>
        </is>
      </c>
      <c r="F31" s="13" t="inlineStr">
        <is>
          <t>low</t>
        </is>
      </c>
      <c r="G31" s="13" t="inlineStr">
        <is>
          <t>Wave 1</t>
        </is>
      </c>
      <c r="H31" s="13" t="inlineStr">
        <is>
          <t>fetcher</t>
        </is>
      </c>
      <c r="I31" s="13" t="inlineStr">
        <is>
          <t>Extend _PANELS in src/prices/fetchers/_shared/eap/wfp_food_prices.py - one line per country, no new code. DATE-CHECK each panel first.</t>
        </is>
      </c>
      <c r="J31" s="13" t="inlineStr">
        <is>
          <t>A_wfp_ckan</t>
        </is>
      </c>
      <c r="K31" s="13" t="inlineStr">
        <is>
          <t>Custom (CKAN/HDX)</t>
        </is>
      </c>
      <c r="L31" s="13" t="inlineStr">
        <is>
          <t>official_avg</t>
        </is>
      </c>
      <c r="M31" s="13" t="inlineStr">
        <is>
          <t>official_avg</t>
        </is>
      </c>
      <c r="N31" s="13" t="inlineStr">
        <is>
          <t>CVE</t>
        </is>
      </c>
      <c r="O31" s="13" t="n">
        <v>5</v>
      </c>
      <c r="P31" s="13" t="inlineStr">
        <is>
          <t>https://data.humdata.org/api/3/action/package_show?id=wfp-food-prices-for-cabo-verde</t>
        </is>
      </c>
      <c r="Q31" s="13" t="inlineStr">
        <is>
          <t>CKAN-resolved CSV wfp_food_prices_cpv.csv (200, 310KB -- smallest panel in the shard). 2,231 rows, only 7 distinct commodities (Cassava, Maize imported/local/yellow, Rice long/medium grain, Wheat flour), and STALE: max date is 2022-05-15, over 4 years old vs. 2026-05/07 for every other country in this shard.</t>
        </is>
      </c>
      <c r="R31" s="13" t="b">
        <v>0</v>
      </c>
      <c r="S31" s="13" t="inlineStr">
        <is>
          <t>LOW PRIORITY: unlike the other 7 countries, Cabo Verde's WFP panel is both thin (7 commodities) and stale (2022). Cabo Verde is a stable, non-crisis market where WFP monitoring has wound down; Nha Kretxeu's live retail catalog is a far better primary source here. Do not weight this feed the way the other 7 official_avg feeds are weighted.</t>
        </is>
      </c>
      <c r="T31" s="13" t="inlineStr"/>
    </row>
    <row r="32">
      <c r="A32" s="13" t="inlineStr">
        <is>
          <t>ssa</t>
        </is>
      </c>
      <c r="B32" s="13" t="inlineStr">
        <is>
          <t>gabon</t>
        </is>
      </c>
      <c r="C32" s="13" t="inlineStr">
        <is>
          <t>WFP Food Prices (HDX) -- Gabon</t>
        </is>
      </c>
      <c r="D32" s="13" t="inlineStr">
        <is>
          <t>https://data.humdata.org/dataset/wfp-food-prices-for-gabon</t>
        </is>
      </c>
      <c r="E32" s="13" t="inlineStr">
        <is>
          <t>TIER_1B</t>
        </is>
      </c>
      <c r="F32" s="13" t="inlineStr">
        <is>
          <t>low</t>
        </is>
      </c>
      <c r="G32" s="13" t="inlineStr">
        <is>
          <t>Wave 1</t>
        </is>
      </c>
      <c r="H32" s="13" t="inlineStr">
        <is>
          <t>fetcher</t>
        </is>
      </c>
      <c r="I32" s="13" t="inlineStr">
        <is>
          <t>Extend _PANELS in src/prices/fetchers/_shared/eap/wfp_food_prices.py - one line per country, no new code. DATE-CHECK each panel first.</t>
        </is>
      </c>
      <c r="J32" s="13" t="inlineStr">
        <is>
          <t>A_wfp_ckan</t>
        </is>
      </c>
      <c r="K32" s="13" t="inlineStr">
        <is>
          <t>WFP/HDX CKAN</t>
        </is>
      </c>
      <c r="L32" s="13" t="inlineStr">
        <is>
          <t>official_avg</t>
        </is>
      </c>
      <c r="M32" s="13" t="inlineStr">
        <is>
          <t>official_avg</t>
        </is>
      </c>
      <c r="N32" s="13" t="inlineStr">
        <is>
          <t>XAF</t>
        </is>
      </c>
      <c r="O32" s="13" t="n">
        <v>4</v>
      </c>
      <c r="P32" s="13" t="inlineStr">
        <is>
          <t>https://data.humdata.org/api/3/action/package_show?id=wfp-food-prices-for-gabon</t>
        </is>
      </c>
      <c r="Q32" s="13" t="inlineStr">
        <is>
          <t>CKAN resolved -&gt; wfp_food_prices_gab.csv, 505 rows (far smaller than every other panel in this shard). Only 4 distinct commodities: Cassava, Plantains, Rice, Wheat flour.</t>
        </is>
      </c>
      <c r="R32" s="13" t="b">
        <v>0</v>
      </c>
      <c r="S32" s="13" t="inlineStr">
        <is>
          <t>Structurally thin -- Gabon gets far less WFP market-monitoring attention than the Sahel/Horn countries in this shard. Free to add (same fetcher shape) but does not move the needle much.</t>
        </is>
      </c>
      <c r="T32" s="13" t="inlineStr"/>
    </row>
    <row r="33">
      <c r="A33" s="13" t="inlineStr">
        <is>
          <t>lac</t>
        </is>
      </c>
      <c r="B33" s="13" t="inlineStr">
        <is>
          <t>puerto_rico</t>
        </is>
      </c>
      <c r="C33" s="13" t="inlineStr">
        <is>
          <t>Supermercados Selectos</t>
        </is>
      </c>
      <c r="D33" s="13" t="inlineStr">
        <is>
          <t>https://www.selectoseasyshop.com/</t>
        </is>
      </c>
      <c r="E33" s="13" t="inlineStr">
        <is>
          <t>TIER_1B</t>
        </is>
      </c>
      <c r="F33" s="13" t="inlineStr">
        <is>
          <t>low</t>
        </is>
      </c>
      <c r="G33" s="13" t="inlineStr">
        <is>
          <t>Wave 2</t>
        </is>
      </c>
      <c r="H33" s="13" t="inlineStr">
        <is>
          <t>spider</t>
        </is>
      </c>
      <c r="I33" s="13" t="inlineStr">
        <is>
          <t>Generic NCR Freshop spider - one app_key per store, covers several Caribbean territories</t>
        </is>
      </c>
      <c r="J33" s="13" t="inlineStr">
        <is>
          <t>B_freshop</t>
        </is>
      </c>
      <c r="K33" s="13" t="inlineStr">
        <is>
          <t>NCR Freshop</t>
        </is>
      </c>
      <c r="L33" s="13" t="inlineStr">
        <is>
          <t>retailer_sku</t>
        </is>
      </c>
      <c r="M33" s="13" t="inlineStr">
        <is>
          <t>supermarket</t>
        </is>
      </c>
      <c r="N33" s="13" t="inlineStr">
        <is>
          <t>USD</t>
        </is>
      </c>
      <c r="O33" s="13" t="n">
        <v>170</v>
      </c>
      <c r="P33" s="13" t="inlineStr">
        <is>
          <t>api.freshop.ncrcloud.com/2/products?app_key=selectos</t>
        </is>
      </c>
      <c r="Q33" s="13" t="inlineStr">
        <is>
          <t>GET https://api.freshop.ncrcloud.com/2/products?app_key=selectos&amp;limit=5&amp;store_id=5988 -&gt; HTTP 200 JSON. Store list (/1/stores?app_key=selectos) returns 40 PR stores (Guaynabo, Mayaguez, Hatillo, Ponce, Carolina, San Juan, etc.), total catalog 85,381 items app-wide / 17,742 items for the Guaynabo store alone. Sample: 'ARROZ RICO GRANO MEDIANO' USD 2.69; 'PLATANO VERDE-MADURO PR' USD 1.00; 'Pernil de Cerdo Delantero Entero Fresco' USD 2.49; 'INDULAC LECHE REDUCIDA EN GRASA 2%' USD 2.09.</t>
        </is>
      </c>
      <c r="R33" s="13" t="b">
        <v>0</v>
      </c>
      <c r="S33" s="13" t="inlineStr">
        <is>
          <t>Largest verified PR find: 40-store chain, full-line (produce/meat/dairy/beverages confirmed), same Freshop platform already used in-repo for waltermart (PH) — app_key discovered by guessing common PR chain names against the known Freshop host.</t>
        </is>
      </c>
      <c r="T33" s="13" t="inlineStr"/>
    </row>
    <row r="34">
      <c r="A34" s="13" t="inlineStr">
        <is>
          <t>lac</t>
        </is>
      </c>
      <c r="B34" s="13" t="inlineStr">
        <is>
          <t>cayman_islands</t>
        </is>
      </c>
      <c r="C34" s="13" t="inlineStr">
        <is>
          <t>Cost-U-Less (Grand Cayman)</t>
        </is>
      </c>
      <c r="D34" s="13" t="inlineStr">
        <is>
          <t>https://www.costuless.com/grand-cayman</t>
        </is>
      </c>
      <c r="E34" s="13" t="inlineStr">
        <is>
          <t>TIER_1B</t>
        </is>
      </c>
      <c r="F34" s="13" t="inlineStr">
        <is>
          <t>low</t>
        </is>
      </c>
      <c r="G34" s="13" t="inlineStr">
        <is>
          <t>Wave 2</t>
        </is>
      </c>
      <c r="H34" s="13" t="inlineStr">
        <is>
          <t>spider</t>
        </is>
      </c>
      <c r="I34" s="13" t="inlineStr">
        <is>
          <t>Generic NCR Freshop spider - one app_key per store, covers several Caribbean territories</t>
        </is>
      </c>
      <c r="J34" s="13" t="inlineStr">
        <is>
          <t>B_freshop</t>
        </is>
      </c>
      <c r="K34" s="13" t="inlineStr">
        <is>
          <t>NCR Freshop</t>
        </is>
      </c>
      <c r="L34" s="13" t="inlineStr">
        <is>
          <t>retailer_sku</t>
        </is>
      </c>
      <c r="M34" s="13" t="inlineStr">
        <is>
          <t>warehouse_club</t>
        </is>
      </c>
      <c r="N34" s="13" t="inlineStr">
        <is>
          <t>USD</t>
        </is>
      </c>
      <c r="O34" s="13" t="n">
        <v>110</v>
      </c>
      <c r="P34" s="13" t="inlineStr">
        <is>
          <t>api.freshop.ncrcloud.com/2/products?app_key=cost_u_less&amp;store_id=3821</t>
        </is>
      </c>
      <c r="Q34" s="13" t="inlineStr">
        <is>
          <t>GET https://api.freshop.ncrcloud.com/2/products?app_key=cost_u_less&amp;store_id=3821&amp;limit=5 -&gt; HTTP 200 JSON, total 1,574 items for this store. Sample: 'Mango Red/Green' unit_price 2.49; 'Windex Trigger 23' 6.49; 'Clorox Clean-Up W/bleach 32&lt;' 5.99. Store confirmed via /1/stores?app_key=cost_u_less -&gt; id 3821 name 'Grand Cayman'.</t>
        </is>
      </c>
      <c r="R34" s="13" t="b">
        <v>0</v>
      </c>
      <c r="S34" s="13" t="inlineStr">
        <is>
          <t>CAVEAT: Freshop product payload has no currency_code field for this key (returns None); Cost-U-Less is a US-chain warehouse club so USD is the working assumption, but Cayman's official currency is KYD — verify before onboarding (many CI import-heavy retailers do price in USD given the peg, but this is unconfirmed from the API alone).</t>
        </is>
      </c>
      <c r="T34" s="13" t="inlineStr"/>
    </row>
    <row r="35">
      <c r="A35" s="13" t="inlineStr">
        <is>
          <t>lac</t>
        </is>
      </c>
      <c r="B35" s="13" t="inlineStr">
        <is>
          <t>virgin_islands_us</t>
        </is>
      </c>
      <c r="C35" s="13" t="inlineStr">
        <is>
          <t>Cost-U-Less (St. Thomas)</t>
        </is>
      </c>
      <c r="D35" s="13" t="inlineStr">
        <is>
          <t>https://www.costuless.com/st-thomas</t>
        </is>
      </c>
      <c r="E35" s="13" t="inlineStr">
        <is>
          <t>TIER_1B</t>
        </is>
      </c>
      <c r="F35" s="13" t="inlineStr">
        <is>
          <t>low</t>
        </is>
      </c>
      <c r="G35" s="13" t="inlineStr">
        <is>
          <t>Wave 2</t>
        </is>
      </c>
      <c r="H35" s="13" t="inlineStr">
        <is>
          <t>spider</t>
        </is>
      </c>
      <c r="I35" s="13" t="inlineStr">
        <is>
          <t>Generic NCR Freshop spider - one app_key per store, covers several Caribbean territories</t>
        </is>
      </c>
      <c r="J35" s="13" t="inlineStr">
        <is>
          <t>B_freshop</t>
        </is>
      </c>
      <c r="K35" s="13" t="inlineStr">
        <is>
          <t>NCR Freshop</t>
        </is>
      </c>
      <c r="L35" s="13" t="inlineStr">
        <is>
          <t>retailer_sku</t>
        </is>
      </c>
      <c r="M35" s="13" t="inlineStr">
        <is>
          <t>warehouse_club</t>
        </is>
      </c>
      <c r="N35" s="13" t="inlineStr">
        <is>
          <t>USD</t>
        </is>
      </c>
      <c r="O35" s="13" t="n">
        <v>105</v>
      </c>
      <c r="P35" s="13" t="inlineStr">
        <is>
          <t>api.freshop.ncrcloud.com/2/products?app_key=cost_u_less&amp;store_id=1967</t>
        </is>
      </c>
      <c r="Q35" s="13" t="inlineStr">
        <is>
          <t>GET https://api.freshop.ncrcloud.com/2/products?app_key=cost_u_less&amp;store_id=1967&amp;limit=5 -&gt; HTTP 200 JSON, total 2,219 items. Sample: 'Oh so GOOD! Water 40 Pack' unit_price 6.98; 'Hillandale Frm Fresh Shell Eggs Lg 18 Ct' 2.99. Store confirmed via /1/stores -&gt; id 1967 name 'St. Thomas'.</t>
        </is>
      </c>
      <c r="R35" s="13" t="b">
        <v>0</v>
      </c>
      <c r="S35" s="13" t="inlineStr">
        <is>
          <t>USVI uses USD natively so this is the one Cost-U-Less territory where the currency assumption is solid.</t>
        </is>
      </c>
      <c r="T35" s="13" t="inlineStr"/>
    </row>
    <row r="36">
      <c r="A36" s="13" t="inlineStr">
        <is>
          <t>lac</t>
        </is>
      </c>
      <c r="B36" s="13" t="inlineStr">
        <is>
          <t>sint_maarten_dutch_part</t>
        </is>
      </c>
      <c r="C36" s="13" t="inlineStr">
        <is>
          <t>Cost-U-Less (St. Maarten)</t>
        </is>
      </c>
      <c r="D36" s="13" t="inlineStr">
        <is>
          <t>https://www.costuless.com/st-maarten</t>
        </is>
      </c>
      <c r="E36" s="13" t="inlineStr">
        <is>
          <t>TIER_1B</t>
        </is>
      </c>
      <c r="F36" s="13" t="inlineStr">
        <is>
          <t>low</t>
        </is>
      </c>
      <c r="G36" s="13" t="inlineStr">
        <is>
          <t>Wave 2</t>
        </is>
      </c>
      <c r="H36" s="13" t="inlineStr">
        <is>
          <t>spider</t>
        </is>
      </c>
      <c r="I36" s="13" t="inlineStr">
        <is>
          <t>Generic NCR Freshop spider - one app_key per store, covers several Caribbean territories</t>
        </is>
      </c>
      <c r="J36" s="13" t="inlineStr">
        <is>
          <t>B_freshop</t>
        </is>
      </c>
      <c r="K36" s="13" t="inlineStr">
        <is>
          <t>NCR Freshop</t>
        </is>
      </c>
      <c r="L36" s="13" t="inlineStr">
        <is>
          <t>retailer_sku</t>
        </is>
      </c>
      <c r="M36" s="13" t="inlineStr">
        <is>
          <t>warehouse_club</t>
        </is>
      </c>
      <c r="N36" s="13" t="inlineStr">
        <is>
          <t>USD</t>
        </is>
      </c>
      <c r="O36" s="13" t="n">
        <v>100</v>
      </c>
      <c r="P36" s="13" t="inlineStr">
        <is>
          <t>api.freshop.ncrcloud.com/2/products?app_key=cost_u_less&amp;store_id=1966</t>
        </is>
      </c>
      <c r="Q36" s="13" t="inlineStr">
        <is>
          <t>GET https://api.freshop.ncrcloud.com/2/products?app_key=cost_u_less&amp;store_id=1966&amp;limit=5 -&gt; HTTP 200 JSON, total 1,704 items. Sample: 'Pnf Org Coconut Bev Original 32' unit_price 5.99; 'Hormel Black Lbl Luncheon Loaf 12' 5.99; 'Oh so GOOD! Water 40 Pack' 12.99. Store confirmed via /1/stores -&gt; id 1966 name 'St. Maarten'.</t>
        </is>
      </c>
      <c r="R36" s="13" t="b">
        <v>0</v>
      </c>
      <c r="S36" s="13" t="inlineStr">
        <is>
          <t>Same caveat as Cayman: no currency_code in payload; USD assumed (Sint Maarten's ANG/USD dual-currency zone makes USD pricing plausible for a US warehouse chain, but unconfirmed from the API).</t>
        </is>
      </c>
      <c r="T36" s="13" t="inlineStr"/>
    </row>
    <row r="37">
      <c r="A37" s="13" t="inlineStr">
        <is>
          <t>lac</t>
        </is>
      </c>
      <c r="B37" s="13" t="inlineStr">
        <is>
          <t>virgin_islands_us</t>
        </is>
      </c>
      <c r="C37" s="13" t="inlineStr">
        <is>
          <t>Cost-U-Less (St. Croix)</t>
        </is>
      </c>
      <c r="D37" s="13" t="inlineStr">
        <is>
          <t>https://www.costuless.com/</t>
        </is>
      </c>
      <c r="E37" s="13" t="inlineStr">
        <is>
          <t>TIER_1B</t>
        </is>
      </c>
      <c r="F37" s="13" t="inlineStr">
        <is>
          <t>low</t>
        </is>
      </c>
      <c r="G37" s="13" t="inlineStr">
        <is>
          <t>Wave 2</t>
        </is>
      </c>
      <c r="H37" s="13" t="inlineStr">
        <is>
          <t>spider</t>
        </is>
      </c>
      <c r="I37" s="13" t="inlineStr">
        <is>
          <t>Generic NCR Freshop spider - one app_key per store, covers several Caribbean territories</t>
        </is>
      </c>
      <c r="J37" s="13" t="inlineStr">
        <is>
          <t>B_freshop</t>
        </is>
      </c>
      <c r="K37" s="13" t="inlineStr">
        <is>
          <t>NCR Freshop</t>
        </is>
      </c>
      <c r="L37" s="13" t="inlineStr">
        <is>
          <t>retailer_sku</t>
        </is>
      </c>
      <c r="M37" s="13" t="inlineStr">
        <is>
          <t>warehouse_club</t>
        </is>
      </c>
      <c r="N37" s="13" t="inlineStr">
        <is>
          <t>USD</t>
        </is>
      </c>
      <c r="O37" s="13" t="n">
        <v>95</v>
      </c>
      <c r="P37" s="13" t="inlineStr">
        <is>
          <t>api.freshop.ncrcloud.com/2/products?app_key=cost_u_less&amp;store_id=1965</t>
        </is>
      </c>
      <c r="Q37" s="13" t="inlineStr">
        <is>
          <t>GET https://api.freshop.ncrcloud.com/2/products?app_key=cost_u_less&amp;store_id=1965&amp;limit=5 -&gt; HTTP 200 JSON, total 2,085 items. Sample: 'Apothic Red Winemakers Blend 750 Ml' unit_price 12.98; 'Alvins Hot Red Pepper Sauce 12 Oz' 6.49. Store confirmed via /1/stores -&gt; id 1965 name 'St. Croix'.</t>
        </is>
      </c>
      <c r="R37" s="13" t="b">
        <v>0</v>
      </c>
      <c r="S37" s="13" t="inlineStr">
        <is>
          <t>Second USVI store on the same tenant/app_key as St. Thomas; SKU overlap with the St. Thomas store is likely high but assortment/price can differ by island.</t>
        </is>
      </c>
      <c r="T37" s="13" t="inlineStr"/>
    </row>
    <row r="38">
      <c r="A38" s="13" t="inlineStr">
        <is>
          <t>eca</t>
        </is>
      </c>
      <c r="B38" s="13" t="inlineStr">
        <is>
          <t>azerbaijan</t>
        </is>
      </c>
      <c r="C38" s="13" t="inlineStr">
        <is>
          <t>Bazarstore.az</t>
        </is>
      </c>
      <c r="D38" s="13" t="inlineStr">
        <is>
          <t>https://bazarstore.az/en/</t>
        </is>
      </c>
      <c r="E38" s="13" t="inlineStr">
        <is>
          <t>TIER_1B</t>
        </is>
      </c>
      <c r="F38" s="13" t="inlineStr">
        <is>
          <t>low</t>
        </is>
      </c>
      <c r="G38" s="13" t="inlineStr">
        <is>
          <t>Wave 2</t>
        </is>
      </c>
      <c r="H38" s="13" t="inlineStr">
        <is>
          <t>spider</t>
        </is>
      </c>
      <c r="I38" s="13" t="inlineStr">
        <is>
          <t>Generic Shopify spider (/products.json?limit=250)</t>
        </is>
      </c>
      <c r="J38" s="13" t="inlineStr">
        <is>
          <t>C_shopify</t>
        </is>
      </c>
      <c r="K38" s="13" t="inlineStr">
        <is>
          <t>Shopify</t>
        </is>
      </c>
      <c r="L38" s="13" t="inlineStr">
        <is>
          <t>retailer_sku</t>
        </is>
      </c>
      <c r="M38" s="13" t="inlineStr">
        <is>
          <t>supermarket</t>
        </is>
      </c>
      <c r="N38" s="13" t="inlineStr">
        <is>
          <t>AZN</t>
        </is>
      </c>
      <c r="O38" s="13" t="n">
        <v>150</v>
      </c>
      <c r="P38" s="13" t="inlineStr">
        <is>
          <t>/en/products.json?limit=250</t>
        </is>
      </c>
      <c r="Q38" s="13" t="inlineStr">
        <is>
          <t>GET /en/products.json?limit=5 -&gt; 200, 5.3KB JSON. Sample: 'CORNETTO DONDURMA 130 ML GİANDUJA-ŞOKOLA' 3.90 AZN</t>
        </is>
      </c>
      <c r="R38" s="13" t="b">
        <v>1</v>
      </c>
      <c r="S38" s="13" t="inlineStr">
        <is>
          <t>217K stock lines per shard notes; category counts published for meat/fish, staples, dairy, snacks, bakery.</t>
        </is>
      </c>
      <c r="T38" s="13" t="inlineStr"/>
    </row>
    <row r="39">
      <c r="A39" s="13" t="inlineStr">
        <is>
          <t>lac</t>
        </is>
      </c>
      <c r="B39" s="13" t="inlineStr">
        <is>
          <t>aruba</t>
        </is>
      </c>
      <c r="C39" s="13" t="inlineStr">
        <is>
          <t>Ling &amp; Sons Food Market</t>
        </is>
      </c>
      <c r="D39" s="13" t="inlineStr">
        <is>
          <t>https://shop.lingandsons.com/</t>
        </is>
      </c>
      <c r="E39" s="13" t="inlineStr">
        <is>
          <t>TIER_1B</t>
        </is>
      </c>
      <c r="F39" s="13" t="inlineStr">
        <is>
          <t>low</t>
        </is>
      </c>
      <c r="G39" s="13" t="inlineStr">
        <is>
          <t>Wave 2</t>
        </is>
      </c>
      <c r="H39" s="13" t="inlineStr">
        <is>
          <t>spider</t>
        </is>
      </c>
      <c r="I39" s="13" t="inlineStr">
        <is>
          <t>Generic Shopify spider (/products.json?limit=250)</t>
        </is>
      </c>
      <c r="J39" s="13" t="inlineStr">
        <is>
          <t>C_shopify</t>
        </is>
      </c>
      <c r="K39" s="13" t="inlineStr">
        <is>
          <t>Shopify</t>
        </is>
      </c>
      <c r="L39" s="13" t="inlineStr">
        <is>
          <t>retailer_sku</t>
        </is>
      </c>
      <c r="M39" s="13" t="inlineStr">
        <is>
          <t>supermarket</t>
        </is>
      </c>
      <c r="N39" s="13" t="inlineStr">
        <is>
          <t>AWG</t>
        </is>
      </c>
      <c r="O39" s="13" t="n">
        <v>140</v>
      </c>
      <c r="P39" s="13" t="inlineStr">
        <is>
          <t>/products.json</t>
        </is>
      </c>
      <c r="Q39" s="13" t="inlineStr">
        <is>
          <t>GET /products.json?limit=5 -&gt; HTTP 200, 12.8KB JSON. Sample: 'Green Cabbage' AWG 4.49 (confirmed via /meta.json: currency AWG, money_format 'Afl{{amount}}', 1,850 published products, 126 collections).</t>
        </is>
      </c>
      <c r="R39" s="13" t="b">
        <v>0</v>
      </c>
      <c r="S39" s="13" t="inlineStr">
        <is>
          <t>Fresh produce confirmed (Green Cabbage). Aruba's premium grocery chain.</t>
        </is>
      </c>
      <c r="T39" s="13" t="inlineStr"/>
    </row>
    <row r="40">
      <c r="A40" s="13" t="inlineStr">
        <is>
          <t>sar</t>
        </is>
      </c>
      <c r="B40" s="13" t="inlineStr">
        <is>
          <t>india</t>
        </is>
      </c>
      <c r="C40" s="13" t="inlineStr">
        <is>
          <t>Star Bazaar / StarQuik (Tata)</t>
        </is>
      </c>
      <c r="D40" s="13" t="inlineStr">
        <is>
          <t>https://www.starquik.com/</t>
        </is>
      </c>
      <c r="E40" s="13" t="inlineStr">
        <is>
          <t>TIER_1B</t>
        </is>
      </c>
      <c r="F40" s="13" t="inlineStr">
        <is>
          <t>low</t>
        </is>
      </c>
      <c r="G40" s="13" t="inlineStr">
        <is>
          <t>Wave 2</t>
        </is>
      </c>
      <c r="H40" s="13" t="inlineStr">
        <is>
          <t>spider</t>
        </is>
      </c>
      <c r="I40" s="13" t="inlineStr">
        <is>
          <t>Generic Shopify spider (/products.json?limit=250)</t>
        </is>
      </c>
      <c r="J40" s="13" t="inlineStr">
        <is>
          <t>C_shopify</t>
        </is>
      </c>
      <c r="K40" s="13" t="inlineStr">
        <is>
          <t>Shopify</t>
        </is>
      </c>
      <c r="L40" s="13" t="inlineStr">
        <is>
          <t>retailer_sku</t>
        </is>
      </c>
      <c r="M40" s="13" t="inlineStr">
        <is>
          <t>supermarket</t>
        </is>
      </c>
      <c r="N40" s="13" t="inlineStr">
        <is>
          <t>INR</t>
        </is>
      </c>
      <c r="O40" s="13" t="n">
        <v>120</v>
      </c>
      <c r="P40" s="13" t="inlineStr">
        <is>
          <t>/products.json?limit=250&amp;page=N</t>
        </is>
      </c>
      <c r="Q40" s="13" t="inlineStr">
        <is>
          <t>GET /products.json?limit=100 -&gt; HTTP 200, 254KB JSON, 100 products across Beans/Brinjal/Bhindi, Exotic Fruits, Biscuits &amp; Cookies, Frozen French Fries, Milk/Cream/Sweets, Breads, Block Chocolate, Extra Virgin Olive Oil. Sample: 'Brinjal Round Violet Small, 250 g' INR 19.00.</t>
        </is>
      </c>
      <c r="R40" s="13" t="b">
        <v>0</v>
      </c>
      <c r="S40" s="13" t="inlineStr">
        <is>
          <t>Tata-owned mid-tier chain (Mumbai/Pune/Bangalore). Fits the inverse-correlation law exactly -- the market leader BigBasket is Akamai-hardened, this sibling mid-tier chain is wide open Shopify. Onboard first for India.</t>
        </is>
      </c>
      <c r="T40" s="13" t="inlineStr"/>
    </row>
    <row r="41">
      <c r="A41" s="13" t="inlineStr">
        <is>
          <t>sar</t>
        </is>
      </c>
      <c r="B41" s="13" t="inlineStr">
        <is>
          <t>sri_lanka</t>
        </is>
      </c>
      <c r="C41" s="13" t="inlineStr">
        <is>
          <t>SPAR2U Sri Lanka</t>
        </is>
      </c>
      <c r="D41" s="13" t="inlineStr">
        <is>
          <t>https://spar2u.lk/</t>
        </is>
      </c>
      <c r="E41" s="13" t="inlineStr">
        <is>
          <t>TIER_1B</t>
        </is>
      </c>
      <c r="F41" s="13" t="inlineStr">
        <is>
          <t>low</t>
        </is>
      </c>
      <c r="G41" s="13" t="inlineStr">
        <is>
          <t>Wave 2</t>
        </is>
      </c>
      <c r="H41" s="13" t="inlineStr">
        <is>
          <t>spider</t>
        </is>
      </c>
      <c r="I41" s="13" t="inlineStr">
        <is>
          <t>Generic Shopify spider (/products.json?limit=250)</t>
        </is>
      </c>
      <c r="J41" s="13" t="inlineStr">
        <is>
          <t>C_shopify</t>
        </is>
      </c>
      <c r="K41" s="13" t="inlineStr">
        <is>
          <t>Shopify</t>
        </is>
      </c>
      <c r="L41" s="13" t="inlineStr">
        <is>
          <t>retailer_sku</t>
        </is>
      </c>
      <c r="M41" s="13" t="inlineStr">
        <is>
          <t>supermarket</t>
        </is>
      </c>
      <c r="N41" s="13" t="inlineStr">
        <is>
          <t>LKR</t>
        </is>
      </c>
      <c r="O41" s="13" t="n">
        <v>110</v>
      </c>
      <c r="P41" s="13" t="inlineStr">
        <is>
          <t>/products.json?limit=250</t>
        </is>
      </c>
      <c r="Q41" s="13" t="inlineStr">
        <is>
          <t>GET /products.json?limit=250 -&gt; 200, 2.08MB JSON, 250 products (page 2 confirmed another full 250, catalog is larger). Sample: 'PORK Curry (Bone In)' Meat, LKR 5850.00; 'JF Whole Chicken, 1Kg' Meat, LKR 1250.00. product_type breakdown on page 1: Meat 68, Vegetables 44, Beverages 38, Fruits 25, Grocery 30, Chilled 6, Frozens 9, Health &amp; Beauty 12, Household 6. Confirmed via header (server: Shopify) and shopify markers in body.</t>
        </is>
      </c>
      <c r="R41" s="13" t="b">
        <v>1</v>
      </c>
      <c r="S41" s="13" t="inlineStr">
        <is>
          <t>Strongest fresh-meat depth of any Sri Lanka source seen (68 meat SKUs on page 1 alone, real cuts: pork curry, beef liver, chicken thigh boneless). Genuine full-catalog Shopify export, trivial to paginate.</t>
        </is>
      </c>
      <c r="T41" s="13" t="inlineStr"/>
    </row>
    <row r="42">
      <c r="A42" s="13" t="inlineStr">
        <is>
          <t>ssa</t>
        </is>
      </c>
      <c r="B42" s="13" t="inlineStr">
        <is>
          <t>zambia</t>
        </is>
      </c>
      <c r="C42" s="13" t="inlineStr">
        <is>
          <t>The Lusaka Grocery Delivery Company</t>
        </is>
      </c>
      <c r="D42" s="13" t="inlineStr">
        <is>
          <t>https://lusakadelivery.com/</t>
        </is>
      </c>
      <c r="E42" s="13" t="inlineStr">
        <is>
          <t>TIER_1B</t>
        </is>
      </c>
      <c r="F42" s="13" t="inlineStr">
        <is>
          <t>low</t>
        </is>
      </c>
      <c r="G42" s="13" t="inlineStr">
        <is>
          <t>Wave 2</t>
        </is>
      </c>
      <c r="H42" s="13" t="inlineStr">
        <is>
          <t>spider</t>
        </is>
      </c>
      <c r="I42" s="13" t="inlineStr">
        <is>
          <t>Generic Shopify spider (/products.json?limit=250)</t>
        </is>
      </c>
      <c r="J42" s="13" t="inlineStr">
        <is>
          <t>C_shopify</t>
        </is>
      </c>
      <c r="K42" s="13" t="inlineStr">
        <is>
          <t>Shopify</t>
        </is>
      </c>
      <c r="L42" s="13" t="inlineStr">
        <is>
          <t>retailer_sku</t>
        </is>
      </c>
      <c r="M42" s="13" t="inlineStr">
        <is>
          <t>supermarket</t>
        </is>
      </c>
      <c r="N42" s="13" t="inlineStr">
        <is>
          <t>ZMW</t>
        </is>
      </c>
      <c r="O42" s="13" t="n">
        <v>110</v>
      </c>
      <c r="P42" s="13" t="inlineStr">
        <is>
          <t>/products.json?limit=250&amp;page=N</t>
        </is>
      </c>
      <c r="Q42" s="13" t="inlineStr">
        <is>
          <t>Shopify confirmed: GET https://lusakadelivery.com/products.json?limit=250 -&gt; 200, 268KB, 250 products on page 1 alone (catalog is larger; not paginated further this pass). Sample: 'Chicken Portion Pieces 5kg' (listed as 'Copy of Chicken Portion Pieces 5kg' -- a leftover duplicate-product-entry artifact worth flagging to any downstream cleaner) ZMW 540.00; 'Lancewood sour cream 250ml' ZMW 145.00; wine/liquor SKUs also present (Pongracz, Alvis Drift).</t>
        </is>
      </c>
      <c r="R42" s="13" t="b">
        <v>1</v>
      </c>
      <c r="S42" s="13" t="inlineStr">
        <is>
          <t>Best Zambia source. CSV cites per-subcategory counts (condiments 67, canned 51, carbohydrates 44) confirming genuine full-line depth; per-kg fresh produce pricing also confirmed by CSV (tomatoes/onion per kg).</t>
        </is>
      </c>
      <c r="T42" s="13" t="inlineStr"/>
    </row>
    <row r="43">
      <c r="A43" s="13" t="inlineStr">
        <is>
          <t>lac</t>
        </is>
      </c>
      <c r="B43" s="13" t="inlineStr">
        <is>
          <t>bolivia</t>
        </is>
      </c>
      <c r="C43" s="13" t="inlineStr">
        <is>
          <t>Fidalga</t>
        </is>
      </c>
      <c r="D43" s="13" t="inlineStr">
        <is>
          <t>https://www.fidalga.com/</t>
        </is>
      </c>
      <c r="E43" s="13" t="inlineStr">
        <is>
          <t>TIER_1B</t>
        </is>
      </c>
      <c r="F43" s="13" t="inlineStr">
        <is>
          <t>low</t>
        </is>
      </c>
      <c r="G43" s="13" t="inlineStr">
        <is>
          <t>Wave 2</t>
        </is>
      </c>
      <c r="H43" s="13" t="inlineStr">
        <is>
          <t>spider</t>
        </is>
      </c>
      <c r="I43" s="13" t="inlineStr">
        <is>
          <t>Generic Shopify spider (/products.json?limit=250)</t>
        </is>
      </c>
      <c r="J43" s="13" t="inlineStr">
        <is>
          <t>C_shopify</t>
        </is>
      </c>
      <c r="K43" s="13" t="inlineStr">
        <is>
          <t>Shopify</t>
        </is>
      </c>
      <c r="L43" s="13" t="inlineStr">
        <is>
          <t>retailer_sku</t>
        </is>
      </c>
      <c r="M43" s="13" t="inlineStr">
        <is>
          <t>supermarket</t>
        </is>
      </c>
      <c r="N43" s="13" t="inlineStr">
        <is>
          <t>BOB</t>
        </is>
      </c>
      <c r="O43" s="13" t="n">
        <v>110</v>
      </c>
      <c r="P43" s="13" t="inlineStr">
        <is>
          <t>/products.json?limit=250</t>
        </is>
      </c>
      <c r="Q43" s="13" t="inlineStr">
        <is>
          <t>GET /products.json?limit=250 -&gt; 200, 296KB JSON, 250 products. Sample: 'Lavandina Mr. Cloro 250 ml' Bs3.80. CSV also cites staple SKUs directly visible on-site: pan frances Bs0.90/unit, leche Pil 900ml Bs9.70, azucar 5kg Bs33.50.</t>
        </is>
      </c>
      <c r="R43" s="13" t="b">
        <v>1</v>
      </c>
      <c r="S43" s="13" t="inlineStr">
        <is>
          <t>CSV listed platform as Custom; actually Shopify. Strong staple/basic-basket coverage per CSV notes.</t>
        </is>
      </c>
      <c r="T43" s="13" t="inlineStr"/>
    </row>
    <row r="44">
      <c r="A44" s="13" t="inlineStr">
        <is>
          <t>ssa</t>
        </is>
      </c>
      <c r="B44" s="13" t="inlineStr">
        <is>
          <t>malawi</t>
        </is>
      </c>
      <c r="C44" s="13" t="inlineStr">
        <is>
          <t>Add2Cart Malawi</t>
        </is>
      </c>
      <c r="D44" s="13" t="inlineStr">
        <is>
          <t>https://www.add2cartmw.com/</t>
        </is>
      </c>
      <c r="E44" s="13" t="inlineStr">
        <is>
          <t>TIER_1B</t>
        </is>
      </c>
      <c r="F44" s="13" t="inlineStr">
        <is>
          <t>low</t>
        </is>
      </c>
      <c r="G44" s="13" t="inlineStr">
        <is>
          <t>Wave 2</t>
        </is>
      </c>
      <c r="H44" s="13" t="inlineStr">
        <is>
          <t>spider</t>
        </is>
      </c>
      <c r="I44" s="13" t="inlineStr">
        <is>
          <t>Generic Shopify spider (/products.json?limit=250)</t>
        </is>
      </c>
      <c r="J44" s="13" t="inlineStr">
        <is>
          <t>C_shopify</t>
        </is>
      </c>
      <c r="K44" s="13" t="inlineStr">
        <is>
          <t>Shopify</t>
        </is>
      </c>
      <c r="L44" s="13" t="inlineStr">
        <is>
          <t>retailer_sku</t>
        </is>
      </c>
      <c r="M44" s="13" t="inlineStr">
        <is>
          <t>supermarket</t>
        </is>
      </c>
      <c r="N44" s="13" t="inlineStr">
        <is>
          <t>MWK</t>
        </is>
      </c>
      <c r="O44" s="13" t="n">
        <v>100</v>
      </c>
      <c r="P44" s="13" t="inlineStr">
        <is>
          <t>/products.json?limit=250&amp;page=N</t>
        </is>
      </c>
      <c r="Q44" s="13" t="inlineStr">
        <is>
          <t>GET /products.json?limit=5 -&gt; 200, real Shopify JSON payload. Sample product: 'BIG TREE APPY 500ML', vendor 'Add 2 Cart Malawi', tags ['Grocery','Lilongwe','Malawi','Online Shopping'].</t>
        </is>
      </c>
      <c r="R44" s="13" t="b">
        <v>1</v>
      </c>
      <c r="S44" s="13" t="inlineStr">
        <is>
          <t>Cheapest possible integration in this whole shard -- Shopify's own catalog JSON, no scaffolding needed beyond pagination.</t>
        </is>
      </c>
      <c r="T44" s="13" t="inlineStr"/>
    </row>
    <row r="45">
      <c r="A45" s="13" t="inlineStr">
        <is>
          <t>ssa</t>
        </is>
      </c>
      <c r="B45" s="13" t="inlineStr">
        <is>
          <t>mauritania</t>
        </is>
      </c>
      <c r="C45" s="13" t="inlineStr">
        <is>
          <t>GROX (Migross)</t>
        </is>
      </c>
      <c r="D45" s="13" t="inlineStr">
        <is>
          <t>https://groxmarket.com/</t>
        </is>
      </c>
      <c r="E45" s="13" t="inlineStr">
        <is>
          <t>TIER_1B</t>
        </is>
      </c>
      <c r="F45" s="13" t="inlineStr">
        <is>
          <t>low</t>
        </is>
      </c>
      <c r="G45" s="13" t="inlineStr">
        <is>
          <t>Wave 2</t>
        </is>
      </c>
      <c r="H45" s="13" t="inlineStr">
        <is>
          <t>spider</t>
        </is>
      </c>
      <c r="I45" s="13" t="inlineStr">
        <is>
          <t>Generic Shopify spider (/products.json?limit=250)</t>
        </is>
      </c>
      <c r="J45" s="13" t="inlineStr">
        <is>
          <t>C_shopify</t>
        </is>
      </c>
      <c r="K45" s="13" t="inlineStr">
        <is>
          <t>Shopify</t>
        </is>
      </c>
      <c r="L45" s="13" t="inlineStr">
        <is>
          <t>retailer_sku</t>
        </is>
      </c>
      <c r="M45" s="13" t="inlineStr">
        <is>
          <t>supermarket</t>
        </is>
      </c>
      <c r="N45" s="13" t="inlineStr">
        <is>
          <t>MRU</t>
        </is>
      </c>
      <c r="O45" s="13" t="n">
        <v>100</v>
      </c>
      <c r="P45" s="13" t="inlineStr">
        <is>
          <t>/products.json?limit=250&amp;page=N</t>
        </is>
      </c>
      <c r="Q45" s="13" t="inlineStr">
        <is>
          <t>GET / -&gt; 200, 233KB, Shopify fingerprint confirmed + real MRU prices: '400 MRU' x2 in raw HTML.</t>
        </is>
      </c>
      <c r="R45" s="13" t="b">
        <v>1</v>
      </c>
      <c r="S45" s="13" t="inlineStr">
        <is>
          <t>Modern supermarket + delivery, Nouakchott. Shopify catalog JSON is the cheapest path.</t>
        </is>
      </c>
      <c r="T45" s="13" t="inlineStr"/>
    </row>
    <row r="46">
      <c r="A46" s="13" t="inlineStr">
        <is>
          <t>lac</t>
        </is>
      </c>
      <c r="B46" s="13" t="inlineStr">
        <is>
          <t>barbados</t>
        </is>
      </c>
      <c r="C46" s="13" t="inlineStr">
        <is>
          <t>Aone Supermarkets</t>
        </is>
      </c>
      <c r="D46" s="13" t="inlineStr">
        <is>
          <t>https://aonesupermarkets.com/</t>
        </is>
      </c>
      <c r="E46" s="13" t="inlineStr">
        <is>
          <t>TIER_1B</t>
        </is>
      </c>
      <c r="F46" s="13" t="inlineStr">
        <is>
          <t>low</t>
        </is>
      </c>
      <c r="G46" s="13" t="inlineStr">
        <is>
          <t>Wave 2</t>
        </is>
      </c>
      <c r="H46" s="13" t="inlineStr">
        <is>
          <t>spider</t>
        </is>
      </c>
      <c r="I46" s="13" t="inlineStr">
        <is>
          <t>Generic Shopify spider (/products.json?limit=250)</t>
        </is>
      </c>
      <c r="J46" s="13" t="inlineStr">
        <is>
          <t>C_shopify</t>
        </is>
      </c>
      <c r="K46" s="13" t="inlineStr">
        <is>
          <t>Shopify</t>
        </is>
      </c>
      <c r="L46" s="13" t="inlineStr">
        <is>
          <t>retailer_sku</t>
        </is>
      </c>
      <c r="M46" s="13" t="inlineStr">
        <is>
          <t>supermarket</t>
        </is>
      </c>
      <c r="N46" s="13" t="inlineStr">
        <is>
          <t>BBD</t>
        </is>
      </c>
      <c r="O46" s="13" t="n">
        <v>60</v>
      </c>
      <c r="P46" s="13" t="inlineStr">
        <is>
          <t>/products.json?limit=250</t>
        </is>
      </c>
      <c r="Q46" s="13" t="inlineStr">
        <is>
          <t>GET /products.json?limit=250 -&gt; 200, 305KB JSON, 250 products. Sample: 'A1 Cookie Croissants' BBD 7.50; 'Hawaiian Punch Pineapple Plunge 1gal' BBD 22.85</t>
        </is>
      </c>
      <c r="R46" s="13" t="b">
        <v>1</v>
      </c>
      <c r="S46" s="13" t="inlineStr">
        <is>
          <t>Catalog skews general-merchandise (hangers, cards) alongside grocery; deep taxonomy per CSV notes.</t>
        </is>
      </c>
      <c r="T46" s="13" t="inlineStr"/>
    </row>
    <row r="47">
      <c r="A47" s="13" t="inlineStr">
        <is>
          <t>lac</t>
        </is>
      </c>
      <c r="B47" s="13" t="inlineStr">
        <is>
          <t>bolivia</t>
        </is>
      </c>
      <c r="C47" s="13" t="inlineStr">
        <is>
          <t>Amarket</t>
        </is>
      </c>
      <c r="D47" s="13" t="inlineStr">
        <is>
          <t>https://amarket.com.bo/</t>
        </is>
      </c>
      <c r="E47" s="13" t="inlineStr">
        <is>
          <t>TIER_1B</t>
        </is>
      </c>
      <c r="F47" s="13" t="inlineStr">
        <is>
          <t>low</t>
        </is>
      </c>
      <c r="G47" s="13" t="inlineStr">
        <is>
          <t>Wave 2</t>
        </is>
      </c>
      <c r="H47" s="13" t="inlineStr">
        <is>
          <t>spider</t>
        </is>
      </c>
      <c r="I47" s="13" t="inlineStr">
        <is>
          <t>Generic Shopify spider (/products.json?limit=250)</t>
        </is>
      </c>
      <c r="J47" s="13" t="inlineStr">
        <is>
          <t>C_shopify</t>
        </is>
      </c>
      <c r="K47" s="13" t="inlineStr">
        <is>
          <t>Shopify</t>
        </is>
      </c>
      <c r="L47" s="13" t="inlineStr">
        <is>
          <t>retailer_sku</t>
        </is>
      </c>
      <c r="M47" s="13" t="inlineStr">
        <is>
          <t>supermarket</t>
        </is>
      </c>
      <c r="N47" s="13" t="inlineStr">
        <is>
          <t>BOB</t>
        </is>
      </c>
      <c r="O47" s="13" t="n">
        <v>50</v>
      </c>
      <c r="P47" s="13" t="inlineStr">
        <is>
          <t>/products.json?limit=250</t>
        </is>
      </c>
      <c r="Q47" s="13" t="inlineStr">
        <is>
          <t>GET /products.json?limit=250 -&gt; 200, 326KB JSON, 250 products. Sample: 'Viva 50 Bs Tarjeta Teléfono X Unidad' Bs50.00 (phone card, confirms platform; general-merchandise-leaning catalog).</t>
        </is>
      </c>
      <c r="R47" s="13" t="b">
        <v>1</v>
      </c>
      <c r="S47" s="13" t="inlineStr">
        <is>
          <t>CSV listed platform as Custom; actually Shopify. General e-commerce store, moderate grocery share.</t>
        </is>
      </c>
      <c r="T47" s="13" t="inlineStr"/>
    </row>
    <row r="48">
      <c r="A48" s="13" t="inlineStr">
        <is>
          <t>lac</t>
        </is>
      </c>
      <c r="B48" s="13" t="inlineStr">
        <is>
          <t>trinidad_and_tobago</t>
        </is>
      </c>
      <c r="C48" s="13" t="inlineStr">
        <is>
          <t>D'Market Movers</t>
        </is>
      </c>
      <c r="D48" s="13" t="inlineStr">
        <is>
          <t>https://dmarketmovers.com/</t>
        </is>
      </c>
      <c r="E48" s="13" t="inlineStr">
        <is>
          <t>TIER_1B</t>
        </is>
      </c>
      <c r="F48" s="13" t="inlineStr">
        <is>
          <t>low</t>
        </is>
      </c>
      <c r="G48" s="13" t="inlineStr">
        <is>
          <t>Wave 2</t>
        </is>
      </c>
      <c r="H48" s="13" t="inlineStr">
        <is>
          <t>spider</t>
        </is>
      </c>
      <c r="I48" s="13" t="inlineStr">
        <is>
          <t>Generic Shopify spider (/products.json?limit=250)</t>
        </is>
      </c>
      <c r="J48" s="13" t="inlineStr">
        <is>
          <t>C_shopify</t>
        </is>
      </c>
      <c r="K48" s="13" t="inlineStr">
        <is>
          <t>Shopify</t>
        </is>
      </c>
      <c r="L48" s="13" t="inlineStr">
        <is>
          <t>retailer_sku</t>
        </is>
      </c>
      <c r="M48" s="13" t="inlineStr">
        <is>
          <t>supermarket</t>
        </is>
      </c>
      <c r="N48" s="13" t="inlineStr">
        <is>
          <t>TTD</t>
        </is>
      </c>
      <c r="O48" s="13" t="n">
        <v>50</v>
      </c>
      <c r="P48" s="13" t="inlineStr">
        <is>
          <t>/products.json?limit=250</t>
        </is>
      </c>
      <c r="Q48" s="13" t="inlineStr">
        <is>
          <t>GET /products.json?limit=250 -&gt; 200, 300KB JSON, 184 products. Sample: 'Snapper (Espeara TT)' TTD 160.00.</t>
        </is>
      </c>
      <c r="R48" s="13" t="b">
        <v>1</v>
      </c>
      <c r="S48" s="13" t="inlineStr">
        <is>
          <t>Strong local produce/fish focus per CSV notes; moderate catalog size (184 items), not a full-line supermarket.</t>
        </is>
      </c>
      <c r="T48" s="13" t="inlineStr"/>
    </row>
    <row r="49">
      <c r="A49" s="13" t="inlineStr">
        <is>
          <t>sar</t>
        </is>
      </c>
      <c r="B49" s="13" t="inlineStr">
        <is>
          <t>bhutan</t>
        </is>
      </c>
      <c r="C49" s="13" t="inlineStr">
        <is>
          <t>ShopOnline Bhutan</t>
        </is>
      </c>
      <c r="D49" s="13" t="inlineStr">
        <is>
          <t>https://shoponline.bt/</t>
        </is>
      </c>
      <c r="E49" s="13" t="inlineStr">
        <is>
          <t>TIER_1B</t>
        </is>
      </c>
      <c r="F49" s="13" t="inlineStr">
        <is>
          <t>low</t>
        </is>
      </c>
      <c r="G49" s="13" t="inlineStr">
        <is>
          <t>Wave 2</t>
        </is>
      </c>
      <c r="H49" s="13" t="inlineStr">
        <is>
          <t>spider</t>
        </is>
      </c>
      <c r="I49" s="13" t="inlineStr">
        <is>
          <t>Generic Shopify spider (/products.json?limit=250)</t>
        </is>
      </c>
      <c r="J49" s="13" t="inlineStr">
        <is>
          <t>C_shopify</t>
        </is>
      </c>
      <c r="K49" s="13" t="inlineStr">
        <is>
          <t>Shopify</t>
        </is>
      </c>
      <c r="L49" s="13" t="inlineStr">
        <is>
          <t>retailer_sku</t>
        </is>
      </c>
      <c r="M49" s="13" t="inlineStr">
        <is>
          <t>supermarket</t>
        </is>
      </c>
      <c r="N49" s="13" t="inlineStr">
        <is>
          <t>BTN</t>
        </is>
      </c>
      <c r="O49" s="13" t="n">
        <v>45</v>
      </c>
      <c r="P49" s="13" t="inlineStr">
        <is>
          <t>GET /products.json?limit=250&amp;page=N</t>
        </is>
      </c>
      <c r="Q49" s="13" t="inlineStr">
        <is>
          <t>Shopify storefront. GET https://shoponline.bt/products.json?limit=250 -&gt; 200, 238366 bytes JSON, plain curl, no auth; page=2 also returns a full 250, so &gt;=500 SKUs. product_type values include Bakery, Beverages, Biscuits, Chips, Chocolate, dairy, groceries, Juice, Noodles, Oil, 'Rice, Grains &amp; Pulses', Sauce, Spices &amp; Seasoning, Tea &amp; Coffee Items, garam masala, tea leaf, beer, wine, spirits, Local Product. Sample: 'sonai milk 1 ltr' price=85.00, 'sonai mozzarella [shredded] 2kg' price=995.00, 'Kitty Bread Crumbs 1kg' price=180.00.</t>
        </is>
      </c>
      <c r="R49" s="13" t="b">
        <v>0</v>
      </c>
      <c r="S49" s="13" t="inlineStr">
        <is>
          <t>Best new Bhutan find: real full-line packaged grocery + dairy + beverages + alcohol, comparable in depth to the already-onboarded sherza.bt (also Shopify /products.json). Not a fresh-produce store (no fruit/vegetable product_type seen in first 500 SKUs) but strong on packaged div-01/02 leaves. Trivial to scaffold -- same pattern as sherza.</t>
        </is>
      </c>
      <c r="T49" s="13" t="inlineStr"/>
    </row>
    <row r="50">
      <c r="A50" s="13" t="inlineStr">
        <is>
          <t>lac</t>
        </is>
      </c>
      <c r="B50" s="13" t="inlineStr">
        <is>
          <t>bolivia</t>
        </is>
      </c>
      <c r="C50" s="13" t="inlineStr">
        <is>
          <t>Compro.bo</t>
        </is>
      </c>
      <c r="D50" s="13" t="inlineStr">
        <is>
          <t>https://compro.bo/</t>
        </is>
      </c>
      <c r="E50" s="13" t="inlineStr">
        <is>
          <t>TIER_1B</t>
        </is>
      </c>
      <c r="F50" s="13" t="inlineStr">
        <is>
          <t>low</t>
        </is>
      </c>
      <c r="G50" s="13" t="inlineStr">
        <is>
          <t>Wave 2</t>
        </is>
      </c>
      <c r="H50" s="13" t="inlineStr">
        <is>
          <t>spider</t>
        </is>
      </c>
      <c r="I50" s="13" t="inlineStr">
        <is>
          <t>Generic Shopify spider (/products.json?limit=250)</t>
        </is>
      </c>
      <c r="J50" s="13" t="inlineStr">
        <is>
          <t>C_shopify</t>
        </is>
      </c>
      <c r="K50" s="13" t="inlineStr">
        <is>
          <t>Shopify</t>
        </is>
      </c>
      <c r="L50" s="13" t="inlineStr">
        <is>
          <t>retailer_sku</t>
        </is>
      </c>
      <c r="M50" s="13" t="inlineStr">
        <is>
          <t>supermarket</t>
        </is>
      </c>
      <c r="N50" s="13" t="inlineStr">
        <is>
          <t>BOB</t>
        </is>
      </c>
      <c r="O50" s="13" t="n">
        <v>45</v>
      </c>
      <c r="P50" s="13" t="inlineStr">
        <is>
          <t>/products.json?limit=250</t>
        </is>
      </c>
      <c r="Q50" s="13" t="inlineStr">
        <is>
          <t>GET /products.json?limit=250 -&gt; 200, 220KB JSON, 250 products. Sample: 'SOBAQUERA 3 PLUMAS 200ML' Bs10.00 (deodorant; CSV notes a 38-category tree focused on national/domestic production).</t>
        </is>
      </c>
      <c r="R50" s="13" t="b">
        <v>1</v>
      </c>
      <c r="S50" s="13" t="inlineStr">
        <is>
          <t>CSV listed platform as Custom; actually Shopify.</t>
        </is>
      </c>
      <c r="T50" s="13" t="inlineStr"/>
    </row>
    <row r="51">
      <c r="A51" s="13" t="inlineStr">
        <is>
          <t>ssa</t>
        </is>
      </c>
      <c r="B51" s="13" t="inlineStr">
        <is>
          <t>congo_dem_rep</t>
        </is>
      </c>
      <c r="C51" s="13" t="inlineStr">
        <is>
          <t>Shoppi (S&amp;K)</t>
        </is>
      </c>
      <c r="D51" s="13" t="inlineStr">
        <is>
          <t>https://www.shoppi.cd/</t>
        </is>
      </c>
      <c r="E51" s="13" t="inlineStr">
        <is>
          <t>TIER_1B</t>
        </is>
      </c>
      <c r="F51" s="13" t="inlineStr">
        <is>
          <t>low</t>
        </is>
      </c>
      <c r="G51" s="13" t="inlineStr">
        <is>
          <t>Wave 2</t>
        </is>
      </c>
      <c r="H51" s="13" t="inlineStr">
        <is>
          <t>spider</t>
        </is>
      </c>
      <c r="I51" s="13" t="inlineStr">
        <is>
          <t>Generic Shopify spider (/products.json?limit=250)</t>
        </is>
      </c>
      <c r="J51" s="13" t="inlineStr">
        <is>
          <t>C_shopify</t>
        </is>
      </c>
      <c r="K51" s="13" t="inlineStr">
        <is>
          <t>Shopify</t>
        </is>
      </c>
      <c r="L51" s="13" t="inlineStr">
        <is>
          <t>retailer_sku</t>
        </is>
      </c>
      <c r="M51" s="13" t="inlineStr">
        <is>
          <t>supermarket</t>
        </is>
      </c>
      <c r="N51" s="13" t="inlineStr">
        <is>
          <t>CDF</t>
        </is>
      </c>
      <c r="O51" s="13" t="n">
        <v>35</v>
      </c>
      <c r="P51" s="13" t="inlineStr">
        <is>
          <t>/products.json</t>
        </is>
      </c>
      <c r="Q51" s="13" t="inlineStr">
        <is>
          <t>GET /products.json?limit=250 -&gt; HTTP 200, 279KB. Shopify confirmed. 250 products sampled; product_type breakdown: Salty groceries(20), Sweet groceries(19), Dairy/eggs(10), Breakfast(8), Baby corner(8), Pasta/rice/noodles(7), Sugar/flour/baking(7), Wines(6), Soft drinks(6), Spirits(5), Beers(4). Sample: 'Weibo Ruler 30cm' 800 FC (non-food, confirms schema); food category prices e.g. '3,500 FC' seen in raw HTML for grocery items.</t>
        </is>
      </c>
      <c r="R51" s="13" t="b">
        <v>1</v>
      </c>
      <c r="S51" s="13" t="inlineStr">
        <is>
          <t>Packaged-goods-leaning grocer -- NO fresh produce, meat, or fish product_type categories observed in the sampled catalog, despite the CSV describing a 'full grocery taxonomy including bakery, produce, dairy, frozen.' Covers 3 div-02 leaves (wine/beer/spirits) which most sources in this shard miss.</t>
        </is>
      </c>
      <c r="T51" s="13" t="inlineStr"/>
    </row>
    <row r="52">
      <c r="A52" s="13" t="inlineStr">
        <is>
          <t>ssa</t>
        </is>
      </c>
      <c r="B52" s="13" t="inlineStr">
        <is>
          <t>kenya</t>
        </is>
      </c>
      <c r="C52" s="13" t="inlineStr">
        <is>
          <t>Zucchini Food Market</t>
        </is>
      </c>
      <c r="D52" s="13" t="inlineStr">
        <is>
          <t>https://zucchini.co.ke/</t>
        </is>
      </c>
      <c r="E52" s="13" t="inlineStr">
        <is>
          <t>TIER_1B</t>
        </is>
      </c>
      <c r="F52" s="13" t="inlineStr">
        <is>
          <t>low</t>
        </is>
      </c>
      <c r="G52" s="13" t="inlineStr">
        <is>
          <t>Wave 2</t>
        </is>
      </c>
      <c r="H52" s="13" t="inlineStr">
        <is>
          <t>spider</t>
        </is>
      </c>
      <c r="I52" s="13" t="inlineStr">
        <is>
          <t>Generic Shopify spider (/products.json?limit=250)</t>
        </is>
      </c>
      <c r="J52" s="13" t="inlineStr">
        <is>
          <t>C_shopify</t>
        </is>
      </c>
      <c r="K52" s="13" t="inlineStr">
        <is>
          <t>Shopify</t>
        </is>
      </c>
      <c r="L52" s="13" t="inlineStr">
        <is>
          <t>retailer_sku</t>
        </is>
      </c>
      <c r="M52" s="13" t="inlineStr">
        <is>
          <t>supermarket</t>
        </is>
      </c>
      <c r="N52" s="13" t="inlineStr">
        <is>
          <t>KES</t>
        </is>
      </c>
      <c r="O52" s="13" t="n">
        <v>30</v>
      </c>
      <c r="P52" s="13" t="inlineStr">
        <is>
          <t>/products.json</t>
        </is>
      </c>
      <c r="Q52" s="13" t="inlineStr">
        <is>
          <t>GET /products.json?limit=5 -&gt; 200, Shopify. Samples: 'Pineapple - (Appx 1 piece) per Kg' KES 149 (type: Melons + Pineapples); 'Beef Tomatoes' KES 179 (type: Vegetables); 'Sawa Kahawa Medium Dark Roast 250gm' KES 1490 (type: Beverage).</t>
        </is>
      </c>
      <c r="R52" s="13" t="b">
        <v>0</v>
      </c>
      <c r="S52" s="13" t="inlineStr">
        <is>
          <t>Fresh-produce specialist, discovered via web search (not in shard). Overlaps foodplus.co.ke on fresh fruit/veg but adds independent price observations for spatial/temporal dispersion.</t>
        </is>
      </c>
      <c r="T52" s="13" t="inlineStr"/>
    </row>
    <row r="53">
      <c r="A53" s="13" t="inlineStr">
        <is>
          <t>lac</t>
        </is>
      </c>
      <c r="B53" s="13" t="inlineStr">
        <is>
          <t>bolivia</t>
        </is>
      </c>
      <c r="C53" s="13" t="inlineStr">
        <is>
          <t>Farmacorp</t>
        </is>
      </c>
      <c r="D53" s="13" t="inlineStr">
        <is>
          <t>https://www.farmacorp.com/</t>
        </is>
      </c>
      <c r="E53" s="13" t="inlineStr">
        <is>
          <t>TIER_1B</t>
        </is>
      </c>
      <c r="F53" s="13" t="inlineStr">
        <is>
          <t>low</t>
        </is>
      </c>
      <c r="G53" s="13" t="inlineStr">
        <is>
          <t>Wave 2</t>
        </is>
      </c>
      <c r="H53" s="13" t="inlineStr">
        <is>
          <t>spider</t>
        </is>
      </c>
      <c r="I53" s="13" t="inlineStr">
        <is>
          <t>Generic Shopify spider (/products.json?limit=250)</t>
        </is>
      </c>
      <c r="J53" s="13" t="inlineStr">
        <is>
          <t>C_shopify</t>
        </is>
      </c>
      <c r="K53" s="13" t="inlineStr">
        <is>
          <t>Shopify</t>
        </is>
      </c>
      <c r="L53" s="13" t="inlineStr">
        <is>
          <t>retailer_sku</t>
        </is>
      </c>
      <c r="M53" s="13" t="inlineStr">
        <is>
          <t>pharmacy</t>
        </is>
      </c>
      <c r="N53" s="13" t="inlineStr">
        <is>
          <t>BOB</t>
        </is>
      </c>
      <c r="O53" s="13" t="n">
        <v>15</v>
      </c>
      <c r="P53" s="13" t="inlineStr">
        <is>
          <t>/products.json?limit=250</t>
        </is>
      </c>
      <c r="Q53" s="13" t="inlineStr">
        <is>
          <t>GET /products.json?limit=5 -&gt; 200, 11.8KB JSON, 5 products (Shopify, not VTEX as CSV claimed). Root page HTML also shows SSR prices e.g. Bs370,00. Sample product: 'Stickers Para Uñas Essence So Cherry Happy' Bs28.30.</t>
        </is>
      </c>
      <c r="R53" s="13" t="b">
        <v>1</v>
      </c>
      <c r="S53" s="13" t="inlineStr">
        <is>
          <t>Pharmacy chain (COICOP 6 focus); CSV claimed VTEX but it is actually Shopify. Minor F&amp;B tail (snacks/drinks at checkout) only.</t>
        </is>
      </c>
      <c r="T53" s="13" t="inlineStr"/>
    </row>
    <row r="54">
      <c r="A54" s="13" t="inlineStr">
        <is>
          <t>menaap</t>
        </is>
      </c>
      <c r="B54" s="13" t="inlineStr">
        <is>
          <t>yemen</t>
        </is>
      </c>
      <c r="C54" s="13" t="inlineStr">
        <is>
          <t>Yemen Box</t>
        </is>
      </c>
      <c r="D54" s="13" t="inlineStr">
        <is>
          <t>https://yemenbox.com/collections/grocery/products.json</t>
        </is>
      </c>
      <c r="E54" s="13" t="inlineStr">
        <is>
          <t>TIER_1B</t>
        </is>
      </c>
      <c r="F54" s="13" t="inlineStr">
        <is>
          <t>low</t>
        </is>
      </c>
      <c r="G54" s="13" t="inlineStr">
        <is>
          <t>Wave 2</t>
        </is>
      </c>
      <c r="H54" s="13" t="inlineStr">
        <is>
          <t>spider</t>
        </is>
      </c>
      <c r="I54" s="13" t="inlineStr">
        <is>
          <t>Generic Shopify spider (/products.json?limit=250)</t>
        </is>
      </c>
      <c r="J54" s="13" t="inlineStr">
        <is>
          <t>C_shopify</t>
        </is>
      </c>
      <c r="K54" s="13" t="inlineStr">
        <is>
          <t>Shopify</t>
        </is>
      </c>
      <c r="L54" s="13" t="inlineStr">
        <is>
          <t>retailer_sku</t>
        </is>
      </c>
      <c r="M54" s="13" t="inlineStr">
        <is>
          <t>marketplace</t>
        </is>
      </c>
      <c r="N54" s="13" t="inlineStr">
        <is>
          <t>USD</t>
        </is>
      </c>
      <c r="O54" s="13" t="n">
        <v>12</v>
      </c>
      <c r="P54" s="13" t="inlineStr">
        <is>
          <t>/collections/grocery/products.json</t>
        </is>
      </c>
      <c r="Q54" s="13" t="inlineStr">
        <is>
          <t>curl GET https://yemenbox.com/collections/grocery/products.json?limit=5 -&gt; 200, clean Shopify JSON. Real SKUs: 'Kraft Cheddar Cheese (190 g)' price 3.99, tags:['GROCERY']; '(Mawassem) Creme Caramel' also under the grocery collection. Standard Shopify /products.json?limit=250&amp;page=N paginates the rest.</t>
        </is>
      </c>
      <c r="R54" s="13" t="b">
        <v>1</v>
      </c>
      <c r="S54" s="13" t="inlineStr">
        <is>
          <t>USD pricing + diaspora shipping framing (per CSV note) - document this basis explicitly if onboarded; not domestic YER retail. Catalog looks like imported packaged/shelf-stable goods (cheese, desserts, canned) rather than fresh produce or meat.</t>
        </is>
      </c>
      <c r="T54" s="13" t="inlineStr"/>
    </row>
    <row r="55">
      <c r="A55" s="13" t="inlineStr">
        <is>
          <t>ssa</t>
        </is>
      </c>
      <c r="B55" s="13" t="inlineStr">
        <is>
          <t>ghana</t>
        </is>
      </c>
      <c r="C55" s="13" t="inlineStr">
        <is>
          <t>Konzoom</t>
        </is>
      </c>
      <c r="D55" s="13" t="inlineStr">
        <is>
          <t>https://konzoom.shop/</t>
        </is>
      </c>
      <c r="E55" s="13" t="inlineStr">
        <is>
          <t>TIER_1B</t>
        </is>
      </c>
      <c r="F55" s="13" t="inlineStr">
        <is>
          <t>low</t>
        </is>
      </c>
      <c r="G55" s="13" t="inlineStr">
        <is>
          <t>Wave 2</t>
        </is>
      </c>
      <c r="H55" s="13" t="inlineStr">
        <is>
          <t>spider</t>
        </is>
      </c>
      <c r="I55" s="13" t="inlineStr">
        <is>
          <t>Generic Shopify spider (/products.json?limit=250)</t>
        </is>
      </c>
      <c r="J55" s="13" t="inlineStr">
        <is>
          <t>C_shopify</t>
        </is>
      </c>
      <c r="K55" s="13" t="inlineStr">
        <is>
          <t>Shopify</t>
        </is>
      </c>
      <c r="L55" s="13" t="inlineStr">
        <is>
          <t>retailer_sku</t>
        </is>
      </c>
      <c r="M55" s="13" t="inlineStr">
        <is>
          <t>supermarket</t>
        </is>
      </c>
      <c r="N55" s="13" t="inlineStr">
        <is>
          <t>GHS</t>
        </is>
      </c>
      <c r="O55" s="13" t="n">
        <v>12</v>
      </c>
      <c r="P55" s="13" t="inlineStr">
        <is>
          <t>/products.json?limit=250&amp;page=N</t>
        </is>
      </c>
      <c r="Q55" s="13" t="inlineStr">
        <is>
          <t>CSV's own EXTRACTION endpoint confirmed live: GET https://konzoom.shop/products.json?limit=20 -&gt; 200, 42KB, Shopify. 20 real SKUs returned (Febreze Air Freshener, Heritage Natural Black Soap, Alata Samina, shea body products) -- these are real catalog entries, not the 'Example product title' placeholders the CSV warned about on the homepage.</t>
        </is>
      </c>
      <c r="R55" s="13" t="b">
        <v>1</v>
      </c>
      <c r="S55" s="13" t="inlineStr">
        <is>
          <t>Sampled page is personal-care/household heavy; the CSV-cited 'Local Delicacies' food category not independently re-sampled within budget.</t>
        </is>
      </c>
      <c r="T55" s="13" t="inlineStr"/>
    </row>
    <row r="56">
      <c r="A56" s="13" t="inlineStr">
        <is>
          <t>sar</t>
        </is>
      </c>
      <c r="B56" s="13" t="inlineStr">
        <is>
          <t>pakistan</t>
        </is>
      </c>
      <c r="C56" s="13" t="inlineStr">
        <is>
          <t>Alfatah</t>
        </is>
      </c>
      <c r="D56" s="13" t="inlineStr">
        <is>
          <t>https://alfatah.pk/</t>
        </is>
      </c>
      <c r="E56" s="13" t="inlineStr">
        <is>
          <t>TIER_1B</t>
        </is>
      </c>
      <c r="F56" s="13" t="inlineStr">
        <is>
          <t>low</t>
        </is>
      </c>
      <c r="G56" s="13" t="inlineStr">
        <is>
          <t>Wave 2</t>
        </is>
      </c>
      <c r="H56" s="13" t="inlineStr">
        <is>
          <t>spider</t>
        </is>
      </c>
      <c r="I56" s="13" t="inlineStr">
        <is>
          <t>Generic Shopify spider (/products.json?limit=250)</t>
        </is>
      </c>
      <c r="J56" s="13" t="inlineStr">
        <is>
          <t>C_shopify</t>
        </is>
      </c>
      <c r="K56" s="13" t="inlineStr">
        <is>
          <t>Shopify</t>
        </is>
      </c>
      <c r="L56" s="13" t="inlineStr">
        <is>
          <t>retailer_sku</t>
        </is>
      </c>
      <c r="M56" s="13" t="inlineStr">
        <is>
          <t>supermarket</t>
        </is>
      </c>
      <c r="N56" s="13" t="inlineStr">
        <is>
          <t>PKR</t>
        </is>
      </c>
      <c r="O56" s="13" t="n">
        <v>0</v>
      </c>
      <c r="P56" s="13" t="inlineStr">
        <is>
          <t>/products.json?limit=250&amp;page=N</t>
        </is>
      </c>
      <c r="Q56" s="13" t="inlineStr">
        <is>
          <t>GET /products.json?limit=250 -&gt; HTTP 200, 310KB JSON, Shopify. But a 250-product sample is dominated by houseware/kitchenware/electronics ('LG REFRIGERATOR...', 'TOWEL STAND STEEL...', 'SUGAR POT SET...', 'STEAMER STEEL...'); food-keyword grep hit only false positives (sugar POT, rice serving SPOON, spice SET -- containers, not the commodities). No actual grocery SKUs surfaced in the sample.</t>
        </is>
      </c>
      <c r="R56" s="13" t="b">
        <v>0</v>
      </c>
      <c r="S56" s="13" t="inlineStr">
        <is>
          <t>Technically Tier 1B and trivially scrapeable, but Alfatah is a fabric/houseware/electronics department store, not a grocer -- near-zero div-01/02 relevance. Not worth onboarding for F&amp;B.</t>
        </is>
      </c>
      <c r="T56" s="13" t="inlineStr"/>
    </row>
    <row r="57">
      <c r="A57" s="13" t="inlineStr">
        <is>
          <t>menaap</t>
        </is>
      </c>
      <c r="B57" s="13" t="inlineStr">
        <is>
          <t>morocco</t>
        </is>
      </c>
      <c r="C57" s="13" t="inlineStr">
        <is>
          <t>Aswak Assalam</t>
        </is>
      </c>
      <c r="D57" s="13" t="inlineStr">
        <is>
          <t>https://www.aswakassalam.com/</t>
        </is>
      </c>
      <c r="E57" s="13" t="inlineStr">
        <is>
          <t>TIER_1B</t>
        </is>
      </c>
      <c r="F57" s="13" t="inlineStr">
        <is>
          <t>low</t>
        </is>
      </c>
      <c r="G57" s="13" t="inlineStr">
        <is>
          <t>Wave 2</t>
        </is>
      </c>
      <c r="H57" s="13" t="inlineStr">
        <is>
          <t>spider</t>
        </is>
      </c>
      <c r="I57" s="13" t="inlineStr">
        <is>
          <t>Generic WooCommerce spider (/wp-json/wc/store/v1/products) - WATCH the minor-unit exponent</t>
        </is>
      </c>
      <c r="J57" s="13" t="inlineStr">
        <is>
          <t>D_woocommerce</t>
        </is>
      </c>
      <c r="K57" s="13" t="inlineStr">
        <is>
          <t>WooCommerce</t>
        </is>
      </c>
      <c r="L57" s="13" t="inlineStr">
        <is>
          <t>retailer_sku</t>
        </is>
      </c>
      <c r="M57" s="13" t="inlineStr">
        <is>
          <t>supermarket</t>
        </is>
      </c>
      <c r="N57" s="13" t="inlineStr">
        <is>
          <t>MAD</t>
        </is>
      </c>
      <c r="O57" s="13" t="n">
        <v>150</v>
      </c>
      <c r="P57" s="13" t="inlineStr">
        <is>
          <t>/wp-json/wc/store/v1/products?per_page=100&amp;page=N</t>
        </is>
      </c>
      <c r="Q57" s="13" t="inlineStr">
        <is>
          <t>GET /wp-json/wc/store/v1/products?per_page=20 -&gt; 200, 61KB JSON. Sample: 'PATE A TARTINER 350G NUTELLA', price 4550 (minor_unit=2) = 45.50 MAD, currency_code MAD. x-wp-total = 5260 products. /wp-json/wc/store/v1/products/categories?per_page=100 -&gt; 100 categories including BOUCHERIE 11, BOUCHERIE &amp; VOLAILLE 24, BOULANGERIE 72, CHARCUTERIE &amp; TRAITEUR 105, CHARCUTERIE A BASE DE VIANDE 14, CHARCUTERIE A BASE DE VOLAILLE 57, CREMERIE 343, CONSERVES 208, BOISSONS 311, EAU 86, BISCUITERIE &amp; CONFISERIE 827.</t>
        </is>
      </c>
      <c r="R57" s="13" t="b">
        <v>1</v>
      </c>
      <c r="S57" s="13" t="inlineStr">
        <is>
          <t>Best find of the whole run for Morocco. Genuine full-line hypermarket (Ynna Group) with butchery, poultry, deli, bakery, dairy, canned goods, beverages -- open WooCommerce Store API, no auth, no WAF. 5260 SKUs is large enough to expect deep leaf coverage across most of div-01.</t>
        </is>
      </c>
      <c r="T57" s="13" t="inlineStr"/>
    </row>
    <row r="58">
      <c r="A58" s="13" t="inlineStr">
        <is>
          <t>eca</t>
        </is>
      </c>
      <c r="B58" s="13" t="inlineStr">
        <is>
          <t>iceland</t>
        </is>
      </c>
      <c r="C58" s="13" t="inlineStr">
        <is>
          <t>Bonus</t>
        </is>
      </c>
      <c r="D58" s="13" t="inlineStr">
        <is>
          <t>https://bonus.is/</t>
        </is>
      </c>
      <c r="E58" s="13" t="inlineStr">
        <is>
          <t>TIER_1B</t>
        </is>
      </c>
      <c r="F58" s="13" t="inlineStr">
        <is>
          <t>low</t>
        </is>
      </c>
      <c r="G58" s="13" t="inlineStr">
        <is>
          <t>Wave 2</t>
        </is>
      </c>
      <c r="H58" s="13" t="inlineStr">
        <is>
          <t>spider</t>
        </is>
      </c>
      <c r="I58" s="13" t="inlineStr">
        <is>
          <t>Generic WooCommerce spider (/wp-json/wc/store/v1/products) - WATCH the minor-unit exponent</t>
        </is>
      </c>
      <c r="J58" s="13" t="inlineStr">
        <is>
          <t>D_woocommerce</t>
        </is>
      </c>
      <c r="K58" s="13" t="inlineStr">
        <is>
          <t>WooCommerce + Next.js</t>
        </is>
      </c>
      <c r="L58" s="13" t="inlineStr">
        <is>
          <t>retailer_sku</t>
        </is>
      </c>
      <c r="M58" s="13" t="inlineStr">
        <is>
          <t>supermarket</t>
        </is>
      </c>
      <c r="N58" s="13" t="inlineStr">
        <is>
          <t>ISK</t>
        </is>
      </c>
      <c r="O58" s="13" t="n">
        <v>140</v>
      </c>
      <c r="P58" s="13" t="inlineStr">
        <is>
          <t>/wp-json/wc/store/v1/products</t>
        </is>
      </c>
      <c r="Q58" s="13" t="inlineStr">
        <is>
          <t>GET https://bonus.is/wp-json/wc/store/v1/products?per_page=5 -&gt; HTTP 200, structured WooCommerce Store API JSON, ISK currency_code confirmed. Sample product was a gift card (non-food); also confirmed embedded price JSON on a verslun.bonus.is PDP ("price":798 etc).</t>
        </is>
      </c>
      <c r="R58" s="13" t="b">
        <v>1</v>
      </c>
      <c r="S58" s="13" t="inlineStr">
        <is>
          <t>Iceland's dominant discounter per CSV. API confirmed working structurally; grocery-category depth not directly sampled (first page returned a gift card SKU) -- paginate/filter by category before trusting the estimate.</t>
        </is>
      </c>
      <c r="T58" s="13" t="inlineStr"/>
    </row>
    <row r="59">
      <c r="A59" s="13" t="inlineStr">
        <is>
          <t>eca</t>
        </is>
      </c>
      <c r="B59" s="13" t="inlineStr">
        <is>
          <t>malta</t>
        </is>
      </c>
      <c r="C59" s="13" t="inlineStr">
        <is>
          <t>Scotts Supermarket</t>
        </is>
      </c>
      <c r="D59" s="13" t="inlineStr">
        <is>
          <t>https://www.scotts.com.mt/</t>
        </is>
      </c>
      <c r="E59" s="13" t="inlineStr">
        <is>
          <t>TIER_1B</t>
        </is>
      </c>
      <c r="F59" s="13" t="inlineStr">
        <is>
          <t>low</t>
        </is>
      </c>
      <c r="G59" s="13" t="inlineStr">
        <is>
          <t>Wave 2</t>
        </is>
      </c>
      <c r="H59" s="13" t="inlineStr">
        <is>
          <t>spider</t>
        </is>
      </c>
      <c r="I59" s="13" t="inlineStr">
        <is>
          <t>Generic WooCommerce spider (/wp-json/wc/store/v1/products) - WATCH the minor-unit exponent</t>
        </is>
      </c>
      <c r="J59" s="13" t="inlineStr">
        <is>
          <t>D_woocommerce</t>
        </is>
      </c>
      <c r="K59" s="13" t="inlineStr">
        <is>
          <t>WooCommerce</t>
        </is>
      </c>
      <c r="L59" s="13" t="inlineStr">
        <is>
          <t>retailer_sku</t>
        </is>
      </c>
      <c r="M59" s="13" t="inlineStr">
        <is>
          <t>supermarket</t>
        </is>
      </c>
      <c r="N59" s="13" t="inlineStr">
        <is>
          <t>EUR</t>
        </is>
      </c>
      <c r="O59" s="13" t="n">
        <v>130</v>
      </c>
      <c r="P59" s="13" t="inlineStr">
        <is>
          <t>/wp-json/wc/store/v1/products?per_page=N</t>
        </is>
      </c>
      <c r="Q59" s="13" t="inlineStr">
        <is>
          <t>curl 200 on WooCommerce Store API /wp-json/wc/store/v1/products?per_page=5 -&gt; HTTP 200, 20.1KB JSON. Sample: 'LOACKER 45G PEANUT BUTTER' price 85 minor units / currency_minor_unit=2 -&gt; EUR 0.85</t>
        </is>
      </c>
      <c r="R59" s="13" t="b">
        <v>1</v>
      </c>
      <c r="S59" s="13" t="inlineStr">
        <is>
          <t>CSV URL (scottssupermarket.com) was DEAD (NXDOMAIN). Correct current domain found via WebSearch: scotts.com.mt. Store API prices are minor units - divide by 10**currency_minor_unit.</t>
        </is>
      </c>
      <c r="T59" s="13" t="inlineStr"/>
    </row>
    <row r="60">
      <c r="A60" s="13" t="inlineStr">
        <is>
          <t>eca</t>
        </is>
      </c>
      <c r="B60" s="13" t="inlineStr">
        <is>
          <t>bosnia_and_herzegovina</t>
        </is>
      </c>
      <c r="C60" s="13" t="inlineStr">
        <is>
          <t>PametnoKupuj</t>
        </is>
      </c>
      <c r="D60" s="13" t="inlineStr">
        <is>
          <t>https://pametnokupuj.ba/</t>
        </is>
      </c>
      <c r="E60" s="13" t="inlineStr">
        <is>
          <t>TIER_1B</t>
        </is>
      </c>
      <c r="F60" s="13" t="inlineStr">
        <is>
          <t>low</t>
        </is>
      </c>
      <c r="G60" s="13" t="inlineStr">
        <is>
          <t>Wave 2</t>
        </is>
      </c>
      <c r="H60" s="13" t="inlineStr">
        <is>
          <t>spider</t>
        </is>
      </c>
      <c r="I60" s="13" t="inlineStr">
        <is>
          <t>Generic WooCommerce spider (/wp-json/wc/store/v1/products) - WATCH the minor-unit exponent</t>
        </is>
      </c>
      <c r="J60" s="13" t="inlineStr">
        <is>
          <t>D_woocommerce</t>
        </is>
      </c>
      <c r="K60" s="13" t="inlineStr">
        <is>
          <t>WooCommerce</t>
        </is>
      </c>
      <c r="L60" s="13" t="inlineStr">
        <is>
          <t>retailer_sku</t>
        </is>
      </c>
      <c r="M60" s="13" t="inlineStr">
        <is>
          <t>marketplace</t>
        </is>
      </c>
      <c r="N60" s="13" t="inlineStr">
        <is>
          <t>BAM</t>
        </is>
      </c>
      <c r="O60" s="13" t="n">
        <v>130</v>
      </c>
      <c r="P60" s="13" t="inlineStr">
        <is>
          <t>/wp-json/wc/store/v1/products</t>
        </is>
      </c>
      <c r="Q60" s="13" t="inlineStr">
        <is>
          <t>GET /wp-json/wc/store/v1/products?per_page=5 -&gt; 200, 16KB JSON. Sample: 'PALMOLIVE KUPKA ZA TUŠIRANJE BLACK ORCHID 750 ml' 5.45 KM.</t>
        </is>
      </c>
      <c r="R60" s="13" t="b">
        <v>1</v>
      </c>
      <c r="S60" s="13" t="inlineStr">
        <is>
          <t>22,000 articles, dedicated 'Hrana i pice' category, chilled-goods delivery. Largest BiH catalogue found.</t>
        </is>
      </c>
      <c r="T60" s="13" t="inlineStr"/>
    </row>
    <row r="61">
      <c r="A61" s="13" t="inlineStr">
        <is>
          <t>lac</t>
        </is>
      </c>
      <c r="B61" s="13" t="inlineStr">
        <is>
          <t>barbados</t>
        </is>
      </c>
      <c r="C61" s="13" t="inlineStr">
        <is>
          <t>Massy Stores Barbados</t>
        </is>
      </c>
      <c r="D61" s="13" t="inlineStr">
        <is>
          <t>https://www.shopmassystoresbb.com/</t>
        </is>
      </c>
      <c r="E61" s="13" t="inlineStr">
        <is>
          <t>TIER_1B</t>
        </is>
      </c>
      <c r="F61" s="13" t="inlineStr">
        <is>
          <t>low</t>
        </is>
      </c>
      <c r="G61" s="13" t="inlineStr">
        <is>
          <t>Wave 2</t>
        </is>
      </c>
      <c r="H61" s="13" t="inlineStr">
        <is>
          <t>spider</t>
        </is>
      </c>
      <c r="I61" s="13" t="inlineStr">
        <is>
          <t>Generic WooCommerce spider (/wp-json/wc/store/v1/products) - WATCH the minor-unit exponent</t>
        </is>
      </c>
      <c r="J61" s="13" t="inlineStr">
        <is>
          <t>D_woocommerce</t>
        </is>
      </c>
      <c r="K61" s="13" t="inlineStr">
        <is>
          <t>WooCommerce</t>
        </is>
      </c>
      <c r="L61" s="13" t="inlineStr">
        <is>
          <t>retailer_sku</t>
        </is>
      </c>
      <c r="M61" s="13" t="inlineStr">
        <is>
          <t>supermarket</t>
        </is>
      </c>
      <c r="N61" s="13" t="inlineStr">
        <is>
          <t>BBD</t>
        </is>
      </c>
      <c r="O61" s="13" t="n">
        <v>130</v>
      </c>
      <c r="P61" s="13" t="inlineStr">
        <is>
          <t>/?rest_route=/wc/store/v1/products</t>
        </is>
      </c>
      <c r="Q61" s="13" t="inlineStr">
        <is>
          <t>Corporate site massystoresbb.com links to real shop at shopmassystoresbb.com (WooCommerce). Default /wp-json/wc/store/v1/products 500s; workaround GET /?rest_route=/wc/store/v1/products&amp;per_page=5 -&gt; 200, 22.5KB JSON, 5 products. Sample: 'SELECT PASTA Shells 340g' BBD 3.29 (price 329 minor units, currency_minor_unit=2)</t>
        </is>
      </c>
      <c r="R61" s="13" t="b">
        <v>1</v>
      </c>
      <c r="S61" s="13" t="inlineStr">
        <is>
          <t>Real supermarket chain (Massy Group). Default wp-json path 500s on this install; must use ?rest_route= query-string form of the REST route.</t>
        </is>
      </c>
      <c r="T61" s="13" t="inlineStr"/>
    </row>
    <row r="62">
      <c r="A62" s="13" t="inlineStr">
        <is>
          <t>lac</t>
        </is>
      </c>
      <c r="B62" s="13" t="inlineStr">
        <is>
          <t>jamaica</t>
        </is>
      </c>
      <c r="C62" s="13" t="inlineStr">
        <is>
          <t>Sampars</t>
        </is>
      </c>
      <c r="D62" s="13" t="inlineStr">
        <is>
          <t>https://www.shopsampars.com/</t>
        </is>
      </c>
      <c r="E62" s="13" t="inlineStr">
        <is>
          <t>TIER_1B</t>
        </is>
      </c>
      <c r="F62" s="13" t="inlineStr">
        <is>
          <t>low</t>
        </is>
      </c>
      <c r="G62" s="13" t="inlineStr">
        <is>
          <t>Wave 2</t>
        </is>
      </c>
      <c r="H62" s="13" t="inlineStr">
        <is>
          <t>spider</t>
        </is>
      </c>
      <c r="I62" s="13" t="inlineStr">
        <is>
          <t>Generic WooCommerce spider (/wp-json/wc/store/v1/products) - WATCH the minor-unit exponent</t>
        </is>
      </c>
      <c r="J62" s="13" t="inlineStr">
        <is>
          <t>D_woocommerce</t>
        </is>
      </c>
      <c r="K62" s="13" t="inlineStr">
        <is>
          <t>WooCommerce</t>
        </is>
      </c>
      <c r="L62" s="13" t="inlineStr">
        <is>
          <t>retailer_sku</t>
        </is>
      </c>
      <c r="M62" s="13" t="inlineStr">
        <is>
          <t>supermarket</t>
        </is>
      </c>
      <c r="N62" s="13" t="inlineStr">
        <is>
          <t>JMD</t>
        </is>
      </c>
      <c r="O62" s="13" t="n">
        <v>120</v>
      </c>
      <c r="P62" s="13" t="inlineStr">
        <is>
          <t>/wp-json/wc/store/v1/products</t>
        </is>
      </c>
      <c r="Q62" s="13" t="inlineStr">
        <is>
          <t>GET /wp-json/wc/store/v1/products?per_page=3 -&gt; 200 (intermittent: two earlier attempts on this same path timed out with exit 28, third attempt succeeded — looks like transient rate-limiting, not a hard block). Sample: 'Hurricane Relief Packages I' JMD 3,500.00 (currency_code JMD, minor_unit 2).</t>
        </is>
      </c>
      <c r="R62" s="13" t="b">
        <v>1</v>
      </c>
      <c r="S62" s="13" t="inlineStr">
        <is>
          <t>Store API path was intermittently slow/timing out (2 of 3 attempts) even though the homepage always loaded fast — worth a lower request rate at collection time. Self-service wholesale per CSV notes, with per-kg meat pricing.</t>
        </is>
      </c>
      <c r="T62" s="13" t="inlineStr"/>
    </row>
    <row r="63">
      <c r="A63" s="13" t="inlineStr">
        <is>
          <t>lac</t>
        </is>
      </c>
      <c r="B63" s="13" t="inlineStr">
        <is>
          <t>trinidad_and_tobago</t>
        </is>
      </c>
      <c r="C63" s="13" t="inlineStr">
        <is>
          <t>Door To Door West</t>
        </is>
      </c>
      <c r="D63" s="13" t="inlineStr">
        <is>
          <t>https://shop.doortodoortt.com/west/</t>
        </is>
      </c>
      <c r="E63" s="13" t="inlineStr">
        <is>
          <t>TIER_1B</t>
        </is>
      </c>
      <c r="F63" s="13" t="inlineStr">
        <is>
          <t>low</t>
        </is>
      </c>
      <c r="G63" s="13" t="inlineStr">
        <is>
          <t>Wave 2</t>
        </is>
      </c>
      <c r="H63" s="13" t="inlineStr">
        <is>
          <t>spider</t>
        </is>
      </c>
      <c r="I63" s="13" t="inlineStr">
        <is>
          <t>Generic WooCommerce spider (/wp-json/wc/store/v1/products) - WATCH the minor-unit exponent</t>
        </is>
      </c>
      <c r="J63" s="13" t="inlineStr">
        <is>
          <t>D_woocommerce</t>
        </is>
      </c>
      <c r="K63" s="13" t="inlineStr">
        <is>
          <t>WooCommerce</t>
        </is>
      </c>
      <c r="L63" s="13" t="inlineStr">
        <is>
          <t>retailer_sku</t>
        </is>
      </c>
      <c r="M63" s="13" t="inlineStr">
        <is>
          <t>supermarket</t>
        </is>
      </c>
      <c r="N63" s="13" t="inlineStr">
        <is>
          <t>TTD</t>
        </is>
      </c>
      <c r="O63" s="13" t="n">
        <v>120</v>
      </c>
      <c r="P63" s="13" t="inlineStr">
        <is>
          <t>/wp-json/wc/store/v1/products</t>
        </is>
      </c>
      <c r="Q63" s="13" t="inlineStr">
        <is>
          <t>GET /wp-json/wc/store/v1/products?per_page=10 -&gt; 200, 26.4KB JSON. Sample: 'White Rain Body Wash 15oz Ocean Mist' TTD 15.95. CSV also cites per-lb fresh pricing on site (onion $3.95/lb, chicken breast $23.95/lb).</t>
        </is>
      </c>
      <c r="R63" s="13" t="b">
        <v>1</v>
      </c>
      <c r="S63" s="13" t="inlineStr">
        <is>
          <t>Full supermarket range per CSV notes including fresh/per-lb pricing.</t>
        </is>
      </c>
      <c r="T63" s="13" t="inlineStr"/>
    </row>
    <row r="64">
      <c r="A64" s="13" t="inlineStr">
        <is>
          <t>lac</t>
        </is>
      </c>
      <c r="B64" s="13" t="inlineStr">
        <is>
          <t>curacao</t>
        </is>
      </c>
      <c r="C64" s="13" t="inlineStr">
        <is>
          <t>Mangusa Hypermarket</t>
        </is>
      </c>
      <c r="D64" s="13" t="inlineStr">
        <is>
          <t>https://www.mangusahypermarket.com/</t>
        </is>
      </c>
      <c r="E64" s="13" t="inlineStr">
        <is>
          <t>TIER_1B</t>
        </is>
      </c>
      <c r="F64" s="13" t="inlineStr">
        <is>
          <t>low</t>
        </is>
      </c>
      <c r="G64" s="13" t="inlineStr">
        <is>
          <t>Wave 2</t>
        </is>
      </c>
      <c r="H64" s="13" t="inlineStr">
        <is>
          <t>spider</t>
        </is>
      </c>
      <c r="I64" s="13" t="inlineStr">
        <is>
          <t>Generic WooCommerce spider (/wp-json/wc/store/v1/products) - WATCH the minor-unit exponent</t>
        </is>
      </c>
      <c r="J64" s="13" t="inlineStr">
        <is>
          <t>D_woocommerce</t>
        </is>
      </c>
      <c r="K64" s="13" t="inlineStr">
        <is>
          <t>WooCommerce</t>
        </is>
      </c>
      <c r="L64" s="13" t="inlineStr">
        <is>
          <t>retailer_sku</t>
        </is>
      </c>
      <c r="M64" s="13" t="inlineStr">
        <is>
          <t>supermarket</t>
        </is>
      </c>
      <c r="N64" s="13" t="inlineStr">
        <is>
          <t>XCG</t>
        </is>
      </c>
      <c r="O64" s="13" t="n">
        <v>120</v>
      </c>
      <c r="P64" s="13" t="inlineStr">
        <is>
          <t>/wp-json/wc/store/v1/products</t>
        </is>
      </c>
      <c r="Q64" s="13" t="inlineStr">
        <is>
          <t>GET /wp-json/wc/store/v1/products?per_page=5 -&gt; HTTP 200, 19.4KB JSON. Sample: 'Unoli Canola oil 2ltr (6 pieces)' price 8410 minor units / currency_minor_unit 2 = XCG 84.10 (note: Curacao's currency migrated from ANG to the new Caribbean Guilder 'XCG' — WooCommerce Store API already reflects the new code).</t>
        </is>
      </c>
      <c r="R64" s="13" t="b">
        <v>0</v>
      </c>
      <c r="S64" s="13" t="inlineStr">
        <is>
          <t>Hypermarket format, bulk/wholesale-leaning SKUs. Note ANG-&gt;XCG currency transition — downstream normalization must treat XCG as the live code for CW/SXM, not the legacy ANG.</t>
        </is>
      </c>
      <c r="T64" s="13" t="inlineStr"/>
    </row>
    <row r="65">
      <c r="A65" s="13" t="inlineStr">
        <is>
          <t>lac</t>
        </is>
      </c>
      <c r="B65" s="13" t="inlineStr">
        <is>
          <t>venezuela_rb</t>
        </is>
      </c>
      <c r="C65" s="13" t="inlineStr">
        <is>
          <t>Mafabre</t>
        </is>
      </c>
      <c r="D65" s="13" t="inlineStr">
        <is>
          <t>https://mafabre.com/</t>
        </is>
      </c>
      <c r="E65" s="13" t="inlineStr">
        <is>
          <t>TIER_1B</t>
        </is>
      </c>
      <c r="F65" s="13" t="inlineStr">
        <is>
          <t>low</t>
        </is>
      </c>
      <c r="G65" s="13" t="inlineStr">
        <is>
          <t>Wave 2</t>
        </is>
      </c>
      <c r="H65" s="13" t="inlineStr">
        <is>
          <t>spider</t>
        </is>
      </c>
      <c r="I65" s="13" t="inlineStr">
        <is>
          <t>Generic WooCommerce spider (/wp-json/wc/store/v1/products) - WATCH the minor-unit exponent</t>
        </is>
      </c>
      <c r="J65" s="13" t="inlineStr">
        <is>
          <t>D_woocommerce</t>
        </is>
      </c>
      <c r="K65" s="13" t="inlineStr">
        <is>
          <t>WooCommerce Store API</t>
        </is>
      </c>
      <c r="L65" s="13" t="inlineStr">
        <is>
          <t>retailer_sku</t>
        </is>
      </c>
      <c r="M65" s="13" t="inlineStr">
        <is>
          <t>supermarket</t>
        </is>
      </c>
      <c r="N65" s="13" t="inlineStr">
        <is>
          <t>USD</t>
        </is>
      </c>
      <c r="O65" s="13" t="n">
        <v>110</v>
      </c>
      <c r="P65" s="13" t="inlineStr">
        <is>
          <t>/wp-json/wc/store/v1/products</t>
        </is>
      </c>
      <c r="Q65" s="13" t="inlineStr">
        <is>
          <t>GET https://mafabre.com/wp-json/wc/store/v1/products?per_page=10&amp;search=arroz -&gt; HTTP 200, 41863 bytes. Sample: 'Arroz Mary Tipo I 900gr | Despacho en Caracas | Mafabre' price object {price:'120', currency_code:'USD', currency_minor_unit:2} = USD 1.20.</t>
        </is>
      </c>
      <c r="R65" s="13" t="b">
        <v>0</v>
      </c>
      <c r="S65" s="13" t="inlineStr">
        <is>
          <t>20+ year Caracas food distributor turned online grocery, prices in USD (dollarized retail is standard in VE). Remember to divide raw 'price' by 10^currency_minor_unit.</t>
        </is>
      </c>
      <c r="T65" s="13" t="inlineStr"/>
    </row>
    <row r="66">
      <c r="A66" s="13" t="inlineStr">
        <is>
          <t>sar</t>
        </is>
      </c>
      <c r="B66" s="13" t="inlineStr">
        <is>
          <t>sri_lanka</t>
        </is>
      </c>
      <c r="C66" s="13" t="inlineStr">
        <is>
          <t>OnlineKade</t>
        </is>
      </c>
      <c r="D66" s="13" t="inlineStr">
        <is>
          <t>https://onlinekade.lk/</t>
        </is>
      </c>
      <c r="E66" s="13" t="inlineStr">
        <is>
          <t>TIER_1B</t>
        </is>
      </c>
      <c r="F66" s="13" t="inlineStr">
        <is>
          <t>low</t>
        </is>
      </c>
      <c r="G66" s="13" t="inlineStr">
        <is>
          <t>Wave 2</t>
        </is>
      </c>
      <c r="H66" s="13" t="inlineStr">
        <is>
          <t>spider</t>
        </is>
      </c>
      <c r="I66" s="13" t="inlineStr">
        <is>
          <t>Generic WooCommerce spider (/wp-json/wc/store/v1/products) - WATCH the minor-unit exponent</t>
        </is>
      </c>
      <c r="J66" s="13" t="inlineStr">
        <is>
          <t>D_woocommerce</t>
        </is>
      </c>
      <c r="K66" s="13" t="inlineStr">
        <is>
          <t>WooCommerce</t>
        </is>
      </c>
      <c r="L66" s="13" t="inlineStr">
        <is>
          <t>retailer_sku</t>
        </is>
      </c>
      <c r="M66" s="13" t="inlineStr">
        <is>
          <t>supermarket</t>
        </is>
      </c>
      <c r="N66" s="13" t="inlineStr">
        <is>
          <t>LKR</t>
        </is>
      </c>
      <c r="O66" s="13" t="n">
        <v>100</v>
      </c>
      <c r="P66" s="13" t="inlineStr">
        <is>
          <t>/wp-json/wc/store/v1/products</t>
        </is>
      </c>
      <c r="Q66" s="13" t="inlineStr">
        <is>
          <t>GET /wp-json/wc/store/v1/products?per_page=10 -&gt; 200, 47KB JSON. Sample: 'Himalaya Purifying Neem Facewash 100Ml' price 170000/currency_minor_unit=2 -&gt; LKR 1700.00 (confirms same WooCommerce minor-unit convention). GET /wp-json/wc/store/v1/products/categories?per_page=50 -&gt; 200, 126KB, 50 categories, very large FMCG catalog (Chocolates 2180, Candies &amp; Sweets 1731, Beverages 1611, Biscuits &amp; Cookies 1213, Coffee/Tea/Malts 685, Dairy Products 413, Cereals 528) but thin genuine fresh: Fresh Produce only 20, Eggs only 3, no dedicated fresh meat/fish category (only 'Dry Fish And Soya Meat' 108, 'Frozen' 786 undifferentiated).</t>
        </is>
      </c>
      <c r="R66" s="13" t="b">
        <v>1</v>
      </c>
      <c r="S66" s="13" t="inlineStr">
        <is>
          <t>Best packaged-goods depth of any Sri Lanka source found (widest brand/SKU variety per leaf) but structurally weak on fresh -- functions more like a pharmacy-adjacent FMCG superstore than a fresh grocer.</t>
        </is>
      </c>
      <c r="T66" s="13" t="inlineStr"/>
    </row>
    <row r="67">
      <c r="A67" s="13" t="inlineStr">
        <is>
          <t>lac</t>
        </is>
      </c>
      <c r="B67" s="13" t="inlineStr">
        <is>
          <t>jamaica</t>
        </is>
      </c>
      <c r="C67" s="13" t="inlineStr">
        <is>
          <t>Store To Door Jamaica</t>
        </is>
      </c>
      <c r="D67" s="13" t="inlineStr">
        <is>
          <t>https://storetodoorja.com/</t>
        </is>
      </c>
      <c r="E67" s="13" t="inlineStr">
        <is>
          <t>TIER_1B</t>
        </is>
      </c>
      <c r="F67" s="13" t="inlineStr">
        <is>
          <t>low</t>
        </is>
      </c>
      <c r="G67" s="13" t="inlineStr">
        <is>
          <t>Wave 2</t>
        </is>
      </c>
      <c r="H67" s="13" t="inlineStr">
        <is>
          <t>spider</t>
        </is>
      </c>
      <c r="I67" s="13" t="inlineStr">
        <is>
          <t>Generic WooCommerce spider (/wp-json/wc/store/v1/products) - WATCH the minor-unit exponent</t>
        </is>
      </c>
      <c r="J67" s="13" t="inlineStr">
        <is>
          <t>D_woocommerce</t>
        </is>
      </c>
      <c r="K67" s="13" t="inlineStr">
        <is>
          <t>WooCommerce</t>
        </is>
      </c>
      <c r="L67" s="13" t="inlineStr">
        <is>
          <t>retailer_sku</t>
        </is>
      </c>
      <c r="M67" s="13" t="inlineStr">
        <is>
          <t>supermarket</t>
        </is>
      </c>
      <c r="N67" s="13" t="inlineStr">
        <is>
          <t>JMD</t>
        </is>
      </c>
      <c r="O67" s="13" t="n">
        <v>100</v>
      </c>
      <c r="P67" s="13" t="inlineStr">
        <is>
          <t>/wp-json/wc/store/v1/products</t>
        </is>
      </c>
      <c r="Q67" s="13" t="inlineStr">
        <is>
          <t>GET /wp-json/wc/store/v1/products?per_page=10 -&gt; 200, 19.7KB JSON. Sample: 'White Rain Body Wash 15oz Ocean Mist' JMD 15.95 (price 1595 minor units, currency_code JMD).</t>
        </is>
      </c>
      <c r="R67" s="13" t="b">
        <v>1</v>
      </c>
      <c r="S67" s="13" t="inlineStr">
        <is>
          <t>CSV flags mixed domestic/diaspora model (barrel-shipping for overseas senders, J$95,000 'Barrel Come' packages) alongside regular grocery SKUs — filter barrel/package line items out at classification time, not a blocker to onboarding the feed itself.</t>
        </is>
      </c>
      <c r="T67" s="13" t="inlineStr"/>
    </row>
    <row r="68">
      <c r="A68" s="13" t="inlineStr">
        <is>
          <t>sar</t>
        </is>
      </c>
      <c r="B68" s="13" t="inlineStr">
        <is>
          <t>sri_lanka</t>
        </is>
      </c>
      <c r="C68" s="13" t="inlineStr">
        <is>
          <t>ColomboSuper</t>
        </is>
      </c>
      <c r="D68" s="13" t="inlineStr">
        <is>
          <t>https://colombosuper.lk/</t>
        </is>
      </c>
      <c r="E68" s="13" t="inlineStr">
        <is>
          <t>TIER_1B</t>
        </is>
      </c>
      <c r="F68" s="13" t="inlineStr">
        <is>
          <t>low</t>
        </is>
      </c>
      <c r="G68" s="13" t="inlineStr">
        <is>
          <t>Wave 2</t>
        </is>
      </c>
      <c r="H68" s="13" t="inlineStr">
        <is>
          <t>spider</t>
        </is>
      </c>
      <c r="I68" s="13" t="inlineStr">
        <is>
          <t>Generic WooCommerce spider (/wp-json/wc/store/v1/products) - WATCH the minor-unit exponent</t>
        </is>
      </c>
      <c r="J68" s="13" t="inlineStr">
        <is>
          <t>D_woocommerce</t>
        </is>
      </c>
      <c r="K68" s="13" t="inlineStr">
        <is>
          <t>WooCommerce</t>
        </is>
      </c>
      <c r="L68" s="13" t="inlineStr">
        <is>
          <t>retailer_sku</t>
        </is>
      </c>
      <c r="M68" s="13" t="inlineStr">
        <is>
          <t>supermarket</t>
        </is>
      </c>
      <c r="N68" s="13" t="inlineStr">
        <is>
          <t>LKR</t>
        </is>
      </c>
      <c r="O68" s="13" t="n">
        <v>90</v>
      </c>
      <c r="P68" s="13" t="inlineStr">
        <is>
          <t>/wp-json/wc/store/v1/products</t>
        </is>
      </c>
      <c r="Q68" s="13" t="inlineStr">
        <is>
          <t>GET /wp-json/wc/store/v1/products?per_page=10 -&gt; 200, 25KB JSON, 10 products. Sample: 'Maliban Full Cream Milk Powder Pouch 400.00 g' price 120000 minor units / currency_minor_unit=2 -&gt; LKR 1200.00. GET /wp-json/wc/store/v1/products/categories?per_page=50 -&gt; 200, 41KB, categories include Fresh Fruits(24), Fresh Vegetables(36), Dairy(41), Milk &amp; Cream(20), Beverages(75), Biscuits &amp; Cookies(17), Chocolates(27), Leafies &amp; Herbs(9), Snacks &amp; Confectionery(60), plus thin fresh-meat singles (Beef 1, Chicken 1, Bacon 1, Deli Meat 1).</t>
        </is>
      </c>
      <c r="R68" s="13" t="b">
        <v>1</v>
      </c>
      <c r="S68" s="13" t="inlineStr">
        <is>
          <t>Minor-unit trap confirmed: divide price by 10^currency_minor_unit (2) from the same payload. Real fresh produce + dairy but essentially no fresh meat/fish depth (1 SKU per meat type).</t>
        </is>
      </c>
      <c r="T68" s="13" t="inlineStr"/>
    </row>
    <row r="69">
      <c r="A69" s="13" t="inlineStr">
        <is>
          <t>ssa</t>
        </is>
      </c>
      <c r="B69" s="13" t="inlineStr">
        <is>
          <t>togo</t>
        </is>
      </c>
      <c r="C69" s="13" t="inlineStr">
        <is>
          <t>Miabe Marche</t>
        </is>
      </c>
      <c r="D69" s="13" t="inlineStr">
        <is>
          <t>https://miabemarche.tg/</t>
        </is>
      </c>
      <c r="E69" s="13" t="inlineStr">
        <is>
          <t>TIER_1B</t>
        </is>
      </c>
      <c r="F69" s="13" t="inlineStr">
        <is>
          <t>low</t>
        </is>
      </c>
      <c r="G69" s="13" t="inlineStr">
        <is>
          <t>Wave 2</t>
        </is>
      </c>
      <c r="H69" s="13" t="inlineStr">
        <is>
          <t>spider</t>
        </is>
      </c>
      <c r="I69" s="13" t="inlineStr">
        <is>
          <t>Generic WooCommerce spider (/wp-json/wc/store/v1/products) - WATCH the minor-unit exponent</t>
        </is>
      </c>
      <c r="J69" s="13" t="inlineStr">
        <is>
          <t>D_woocommerce</t>
        </is>
      </c>
      <c r="K69" s="13" t="inlineStr">
        <is>
          <t>WordPress/WooCommerce</t>
        </is>
      </c>
      <c r="L69" s="13" t="inlineStr">
        <is>
          <t>retailer_sku</t>
        </is>
      </c>
      <c r="M69" s="13" t="inlineStr">
        <is>
          <t>supermarket</t>
        </is>
      </c>
      <c r="N69" s="13" t="inlineStr">
        <is>
          <t>XOF</t>
        </is>
      </c>
      <c r="O69" s="13" t="n">
        <v>90</v>
      </c>
      <c r="P69" s="13" t="inlineStr">
        <is>
          <t>/wp-json/wc/store/v1/products?per_page=100</t>
        </is>
      </c>
      <c r="Q69" s="13" t="inlineStr">
        <is>
          <t>WooCommerce Store API confirmed: GET https://miabemarche.tg/wp-json/wc/store/v1/products?per_page=50&amp;page=3 -&gt; 200, 366KB, 50/50 products with nonzero prices (an initial page-1 sample of breakfast-brand SKUs happened to all show price=0, a normal partial-catalog/out-of-stock artifact, not a systemic issue). Sample: 'Piment Antillais (Gboebesse) en Botte, Kg' 700 CFA; 'Poisson Seche Sale (Dzemekpe) 500g' (dried salted fish) 1000 CFA; 'Ademe (Corete Potagere) 1Kg' 500 CFA. Category tree includes ALIMENTATION GENERALE, AGPRODUITS LAITIERS (dairy), Cuisine africaine, Cuisine rapide, Petit-dejeuner, Pour les enfants.</t>
        </is>
      </c>
      <c r="R69" s="13" t="b">
        <v>1</v>
      </c>
      <c r="S69" s="13" t="inlineStr">
        <is>
          <t>Strongest Togo source: local fresh-produce and dried-fish items alongside a packaged/branded-goods catalog (CSV cites CASINO 86 lines, CADIE 15, DOLAIT 8).</t>
        </is>
      </c>
      <c r="T69" s="13" t="inlineStr"/>
    </row>
    <row r="70">
      <c r="A70" s="13" t="inlineStr">
        <is>
          <t>menaap</t>
        </is>
      </c>
      <c r="B70" s="13" t="inlineStr">
        <is>
          <t>tunisia</t>
        </is>
      </c>
      <c r="C70" s="13" t="inlineStr">
        <is>
          <t>Otrity</t>
        </is>
      </c>
      <c r="D70" s="13" t="inlineStr">
        <is>
          <t>https://otrity.com/</t>
        </is>
      </c>
      <c r="E70" s="13" t="inlineStr">
        <is>
          <t>TIER_1B</t>
        </is>
      </c>
      <c r="F70" s="13" t="inlineStr">
        <is>
          <t>low</t>
        </is>
      </c>
      <c r="G70" s="13" t="inlineStr">
        <is>
          <t>Wave 2</t>
        </is>
      </c>
      <c r="H70" s="13" t="inlineStr">
        <is>
          <t>spider</t>
        </is>
      </c>
      <c r="I70" s="13" t="inlineStr">
        <is>
          <t>Generic WooCommerce spider (/wp-json/wc/store/v1/products) - WATCH the minor-unit exponent</t>
        </is>
      </c>
      <c r="J70" s="13" t="inlineStr">
        <is>
          <t>D_woocommerce</t>
        </is>
      </c>
      <c r="K70" s="13" t="inlineStr">
        <is>
          <t>WooCommerce</t>
        </is>
      </c>
      <c r="L70" s="13" t="inlineStr">
        <is>
          <t>retailer_sku</t>
        </is>
      </c>
      <c r="M70" s="13" t="inlineStr">
        <is>
          <t>grocer</t>
        </is>
      </c>
      <c r="N70" s="13" t="inlineStr">
        <is>
          <t>TND</t>
        </is>
      </c>
      <c r="O70" s="13" t="n">
        <v>70</v>
      </c>
      <c r="P70" s="13" t="inlineStr">
        <is>
          <t>/wp-json/wc/store/v1/products (WooCommerce Store API, no auth)</t>
        </is>
      </c>
      <c r="Q70" s="13" t="inlineStr">
        <is>
          <t>curl homepage -&gt; 200, WooCommerce fingerprint, prices visible in HTML (45.000DT etc). WC Store API /wp-json/wc/store/v1/products -&gt; 200 clean JSON: 'Lait Concentré sucré SMART CHEF' price 9120 (currency_minor_unit 3 -&gt; TND 9.120), 'Petits Pois Le ROIT Carotte' TND 9.228.</t>
        </is>
      </c>
      <c r="R70" s="13" t="b">
        <v>0</v>
      </c>
      <c r="S70" s="13" t="inlineStr">
        <is>
          <t>Packaged-goods/pantry grocer -- no fresh produce, meat, or fish categories in the 100+ category list (couscous, conserves de poissons/viandes, épices, chorba/soupes, harissa, chamia are present -- good Tunisian pantry depth, but structurally caps leaf coverage well below a full-line store).</t>
        </is>
      </c>
      <c r="T70" s="13" t="inlineStr"/>
    </row>
    <row r="71">
      <c r="A71" s="13" t="inlineStr">
        <is>
          <t>lac</t>
        </is>
      </c>
      <c r="B71" s="13" t="inlineStr">
        <is>
          <t>venezuela_rb</t>
        </is>
      </c>
      <c r="C71" s="13" t="inlineStr">
        <is>
          <t>Supermercados Pao Trolado</t>
        </is>
      </c>
      <c r="D71" s="13" t="inlineStr">
        <is>
          <t>https://supermercados-paotrolado.com/</t>
        </is>
      </c>
      <c r="E71" s="13" t="inlineStr">
        <is>
          <t>TIER_1B</t>
        </is>
      </c>
      <c r="F71" s="13" t="inlineStr">
        <is>
          <t>low</t>
        </is>
      </c>
      <c r="G71" s="13" t="inlineStr">
        <is>
          <t>Wave 2</t>
        </is>
      </c>
      <c r="H71" s="13" t="inlineStr">
        <is>
          <t>spider</t>
        </is>
      </c>
      <c r="I71" s="13" t="inlineStr">
        <is>
          <t>Generic WooCommerce spider (/wp-json/wc/store/v1/products) - WATCH the minor-unit exponent</t>
        </is>
      </c>
      <c r="J71" s="13" t="inlineStr">
        <is>
          <t>D_woocommerce</t>
        </is>
      </c>
      <c r="K71" s="13" t="inlineStr">
        <is>
          <t>WooCommerce Store API</t>
        </is>
      </c>
      <c r="L71" s="13" t="inlineStr">
        <is>
          <t>retailer_sku</t>
        </is>
      </c>
      <c r="M71" s="13" t="inlineStr">
        <is>
          <t>supermarket</t>
        </is>
      </c>
      <c r="N71" s="13" t="inlineStr">
        <is>
          <t>USD</t>
        </is>
      </c>
      <c r="O71" s="13" t="n">
        <v>70</v>
      </c>
      <c r="P71" s="13" t="inlineStr">
        <is>
          <t>/wp-json/wc/store/v1/products</t>
        </is>
      </c>
      <c r="Q71" s="13" t="inlineStr">
        <is>
          <t>GET https://supermercados-paotrolado.com/wp-json/wc/store/v1/products?per_page=10 -&gt; HTTP 200, 33006 bytes. Sample: 'Centro de Cama Mimlot 10 unidades' price object {price:'738', currency_code:'USD', currency_minor_unit:2} = USD 7.38 (non-food item in first page; site is a general household+grocery online store, food categories present in nav but not sampled in the first 10-item page).</t>
        </is>
      </c>
      <c r="R71" s="13" t="b">
        <v>0</v>
      </c>
      <c r="S71" s="13" t="inlineStr">
        <is>
          <t>Mixed household/grocery online store; re-probe with search= terms per COICOP leaf before onboarding to confirm F&amp;B depth -- first page sample was non-food.</t>
        </is>
      </c>
      <c r="T71" s="13" t="inlineStr"/>
    </row>
    <row r="72">
      <c r="A72" s="13" t="inlineStr">
        <is>
          <t>menaap</t>
        </is>
      </c>
      <c r="B72" s="13" t="inlineStr">
        <is>
          <t>algeria</t>
        </is>
      </c>
      <c r="C72" s="13" t="inlineStr">
        <is>
          <t>Coursesnet</t>
        </is>
      </c>
      <c r="D72" s="13" t="inlineStr">
        <is>
          <t>https://coursesnet.dz/</t>
        </is>
      </c>
      <c r="E72" s="13" t="inlineStr">
        <is>
          <t>TIER_1B</t>
        </is>
      </c>
      <c r="F72" s="13" t="inlineStr">
        <is>
          <t>low</t>
        </is>
      </c>
      <c r="G72" s="13" t="inlineStr">
        <is>
          <t>Wave 2</t>
        </is>
      </c>
      <c r="H72" s="13" t="inlineStr">
        <is>
          <t>spider</t>
        </is>
      </c>
      <c r="I72" s="13" t="inlineStr">
        <is>
          <t>Generic WooCommerce spider (/wp-json/wc/store/v1/products) - WATCH the minor-unit exponent</t>
        </is>
      </c>
      <c r="J72" s="13" t="inlineStr">
        <is>
          <t>D_woocommerce</t>
        </is>
      </c>
      <c r="K72" s="13" t="inlineStr">
        <is>
          <t>WooCommerce</t>
        </is>
      </c>
      <c r="L72" s="13" t="inlineStr">
        <is>
          <t>retailer_sku</t>
        </is>
      </c>
      <c r="M72" s="13" t="inlineStr">
        <is>
          <t>grocer</t>
        </is>
      </c>
      <c r="N72" s="13" t="inlineStr">
        <is>
          <t>DZD</t>
        </is>
      </c>
      <c r="O72" s="13" t="n">
        <v>65</v>
      </c>
      <c r="P72" s="13" t="inlineStr">
        <is>
          <t>/wp-json/wc/store/v1/products (WooCommerce Store API, no auth)</t>
        </is>
      </c>
      <c r="Q72" s="13" t="inlineStr">
        <is>
          <t>curl homepage -&gt; 200, WooCommerce fingerprint, DA3 price token visible. WC Store API /wp-json/wc/store/v1/products -&gt; 200 clean JSON: 'Eau Minérale Ayris – 1,5L x6' price 24500 (currency_minor_unit 2 -&gt; DZD 245.00), 'Halawiyat ELCherif – Batonnets De Dattes' DZD 360.00.</t>
        </is>
      </c>
      <c r="R72" s="13" t="b">
        <v>0</v>
      </c>
      <c r="S72" s="13" t="inlineStr">
        <is>
          <t>Packaged-goods/pantry grocer, ~2500 total category-tagged items across biscuiterie, conserves, farines, huiles, fromages, laits, pâtes/couscous. 'Légumes' category has only 3 items and there is no meat/fish category at all -- confirms no fresh coverage. currency_minor_unit is 2 here vs 3 on Otrity (Tunisia) -- do not assume a shared exponent across countries.</t>
        </is>
      </c>
      <c r="T72" s="13" t="inlineStr"/>
    </row>
    <row r="73">
      <c r="A73" s="13" t="inlineStr">
        <is>
          <t>ssa</t>
        </is>
      </c>
      <c r="B73" s="13" t="inlineStr">
        <is>
          <t>lesotho</t>
        </is>
      </c>
      <c r="C73" s="13" t="inlineStr">
        <is>
          <t>Lesotho Virtual Mall</t>
        </is>
      </c>
      <c r="D73" s="13" t="inlineStr">
        <is>
          <t>https://www.lesothovirtualmall.co.ls/store/m-grocery/</t>
        </is>
      </c>
      <c r="E73" s="13" t="inlineStr">
        <is>
          <t>TIER_1B</t>
        </is>
      </c>
      <c r="F73" s="13" t="inlineStr">
        <is>
          <t>low</t>
        </is>
      </c>
      <c r="G73" s="13" t="inlineStr">
        <is>
          <t>Wave 2</t>
        </is>
      </c>
      <c r="H73" s="13" t="inlineStr">
        <is>
          <t>spider</t>
        </is>
      </c>
      <c r="I73" s="13" t="inlineStr">
        <is>
          <t>Generic WooCommerce spider (/wp-json/wc/store/v1/products) - WATCH the minor-unit exponent</t>
        </is>
      </c>
      <c r="J73" s="13" t="inlineStr">
        <is>
          <t>D_woocommerce</t>
        </is>
      </c>
      <c r="K73" s="13" t="inlineStr">
        <is>
          <t>WordPress/WooCommerce</t>
        </is>
      </c>
      <c r="L73" s="13" t="inlineStr">
        <is>
          <t>retailer_sku</t>
        </is>
      </c>
      <c r="M73" s="13" t="inlineStr">
        <is>
          <t>supermarket</t>
        </is>
      </c>
      <c r="N73" s="13" t="inlineStr">
        <is>
          <t>LSL</t>
        </is>
      </c>
      <c r="O73" s="13" t="n">
        <v>65</v>
      </c>
      <c r="P73" s="13" t="inlineStr">
        <is>
          <t>/wp-json/wc/store/v1/products?per_page=100</t>
        </is>
      </c>
      <c r="Q73" s="13" t="inlineStr">
        <is>
          <t>WooCommerce Store API confirmed: GET https://www.lesothovirtualmall.co.ls/wp-json/wc/store/v1/products?per_page=20 -&gt; 200, 190KB, 1080+ products. Sample: '1/4 Chicken - Njays Menu' price=8800, currency_minor_unit=2 -&gt; M88.00. GOTCHA: the API's currency_code field returns 'TMT' (Turkmenistan Manat's ISO code, clearly a site misconfiguration) while currency_symbol is 'm' (Maloti) and the price scale matches real Lesotho pricing -- hardcode LSL, do not trust the currency_code field from this API.</t>
        </is>
      </c>
      <c r="R73" s="13" t="b">
        <v>1</v>
      </c>
      <c r="S73" s="13" t="inlineStr">
        <is>
          <t>Mixed catalog: pharmacy/incontinence products, prepared restaurant-style meals ('Njays Menu'), and grocery variant-range items (CSV cites potatoes M17.80-88.80). currency_code data-quality gotcha documented above.</t>
        </is>
      </c>
      <c r="T73" s="13" t="inlineStr"/>
    </row>
    <row r="74">
      <c r="A74" s="13" t="inlineStr">
        <is>
          <t>lac</t>
        </is>
      </c>
      <c r="B74" s="13" t="inlineStr">
        <is>
          <t>belize</t>
        </is>
      </c>
      <c r="C74" s="13" t="inlineStr">
        <is>
          <t>Ultraw</t>
        </is>
      </c>
      <c r="D74" s="13" t="inlineStr">
        <is>
          <t>https://ultraw.bz/</t>
        </is>
      </c>
      <c r="E74" s="13" t="inlineStr">
        <is>
          <t>TIER_1B</t>
        </is>
      </c>
      <c r="F74" s="13" t="inlineStr">
        <is>
          <t>low</t>
        </is>
      </c>
      <c r="G74" s="13" t="inlineStr">
        <is>
          <t>Wave 2</t>
        </is>
      </c>
      <c r="H74" s="13" t="inlineStr">
        <is>
          <t>spider</t>
        </is>
      </c>
      <c r="I74" s="13" t="inlineStr">
        <is>
          <t>Generic WooCommerce spider (/wp-json/wc/store/v1/products) - WATCH the minor-unit exponent</t>
        </is>
      </c>
      <c r="J74" s="13" t="inlineStr">
        <is>
          <t>D_woocommerce</t>
        </is>
      </c>
      <c r="K74" s="13" t="inlineStr">
        <is>
          <t>WooCommerce</t>
        </is>
      </c>
      <c r="L74" s="13" t="inlineStr">
        <is>
          <t>retailer_sku</t>
        </is>
      </c>
      <c r="M74" s="13" t="inlineStr">
        <is>
          <t>marketplace</t>
        </is>
      </c>
      <c r="N74" s="13" t="inlineStr">
        <is>
          <t>BZD</t>
        </is>
      </c>
      <c r="O74" s="13" t="n">
        <v>60</v>
      </c>
      <c r="P74" s="13" t="inlineStr">
        <is>
          <t>/wp-json/wc/store/v1/products</t>
        </is>
      </c>
      <c r="Q74" s="13" t="inlineStr">
        <is>
          <t>GET /wp-json/wc/store/v1/products?category=dairy-and-eggs -&gt; 200, 11.3KB JSON. Sample: 'Hershey's Kisses Milk Chocolate 1.55 oz' BZD 3.00 (price 300 minor units). Category counts via /wp-json/wc/store/v1/products/categories: Groceries &amp; Supermarket 408, Pantry Staples 302, Dairy &amp; Eggs 48, Beverages (Non-Alcoholic) 33, Snacks &amp; Sweets 16; fresh produce/meat/bakery categories exist but each shows only 1-2 items (thin).</t>
        </is>
      </c>
      <c r="R74" s="13" t="b">
        <v>1</v>
      </c>
      <c r="S74" s="13" t="inlineStr">
        <is>
          <t>Two CSV rows (P1+P2) for the same domain, collapsed to one probe. Multi-vendor marketplace (Super Buy, Caribbean Cellars) strong on dry goods/dairy/beverages, structurally thin on fresh produce/meat/fish/bakery.</t>
        </is>
      </c>
      <c r="T74" s="13" t="inlineStr"/>
    </row>
    <row r="75">
      <c r="A75" s="13" t="inlineStr">
        <is>
          <t>lac</t>
        </is>
      </c>
      <c r="B75" s="13" t="inlineStr">
        <is>
          <t>cuba</t>
        </is>
      </c>
      <c r="C75" s="13" t="inlineStr">
        <is>
          <t>MercoCaribe (Habana)</t>
        </is>
      </c>
      <c r="D75" s="13" t="inlineStr">
        <is>
          <t>https://habana.mercocaribe.com/</t>
        </is>
      </c>
      <c r="E75" s="13" t="inlineStr">
        <is>
          <t>TIER_1B</t>
        </is>
      </c>
      <c r="F75" s="13" t="inlineStr">
        <is>
          <t>low</t>
        </is>
      </c>
      <c r="G75" s="13" t="inlineStr">
        <is>
          <t>Wave 2</t>
        </is>
      </c>
      <c r="H75" s="13" t="inlineStr">
        <is>
          <t>spider</t>
        </is>
      </c>
      <c r="I75" s="13" t="inlineStr">
        <is>
          <t>Generic WooCommerce spider (/wp-json/wc/store/v1/products) - WATCH the minor-unit exponent</t>
        </is>
      </c>
      <c r="J75" s="13" t="inlineStr">
        <is>
          <t>D_woocommerce</t>
        </is>
      </c>
      <c r="K75" s="13" t="inlineStr">
        <is>
          <t>WooCommerce</t>
        </is>
      </c>
      <c r="L75" s="13" t="inlineStr">
        <is>
          <t>retailer_sku</t>
        </is>
      </c>
      <c r="M75" s="13" t="inlineStr">
        <is>
          <t>supermarket (MLC/foreign-card channel)</t>
        </is>
      </c>
      <c r="N75" s="13" t="inlineStr">
        <is>
          <t>EUR</t>
        </is>
      </c>
      <c r="O75" s="13" t="n">
        <v>60</v>
      </c>
      <c r="P75" s="13" t="inlineStr">
        <is>
          <t>/wp-json/wc/store/v1/products</t>
        </is>
      </c>
      <c r="Q75" s="13" t="inlineStr">
        <is>
          <t>GET /wp-json/wc/store/v1/products?per_page=5 -&gt; HTTP 200, 16.9KB JSON. Sample: 'Jugo de Albaricoque (Goze) 200Ml' price 55 minor units / currency_minor_unit 2 = EUR 0.55 (WooCommerce Store API minor-unit format). SSR listing page also shows real product links/names: 'Pollo Muslo y Contramuslo (Delightfull Farms) 4.53kg', 'Yogur Natural Azucarado Larga Vida (Feiraco) 4x125g', 'Tomate Frito (Orlando) brik 780g'.</t>
        </is>
      </c>
      <c r="R75" s="13" t="b">
        <v>0</v>
      </c>
      <c r="S75" s="13" t="inlineStr">
        <is>
          <t>IMPORTANT CAVEAT: this is one of Cuba's 'MLC'-style virtual stores for foreign-card/diaspora-funded purchases (delivery inside Cuba, payment in EUR/USD via international card), not the domestic CUP retail network. Assortment observed is packaged/frozen imports (juice, chicken, dairy, snacks, canned goods) — no fresh produce/local-market categories seen. Treat fnb_leaves_est as a ceiling for packaged-goods leaves only; flag the pricing-currency mismatch (EUR, not domestic CUP) before onboarding.</t>
        </is>
      </c>
      <c r="T75" s="13" t="inlineStr"/>
    </row>
    <row r="76">
      <c r="A76" s="13" t="inlineStr">
        <is>
          <t>sar</t>
        </is>
      </c>
      <c r="B76" s="13" t="inlineStr">
        <is>
          <t>maldives</t>
        </is>
      </c>
      <c r="C76" s="13" t="inlineStr">
        <is>
          <t>LittleFINO</t>
        </is>
      </c>
      <c r="D76" s="13" t="inlineStr">
        <is>
          <t>https://fino.com.mv/</t>
        </is>
      </c>
      <c r="E76" s="13" t="inlineStr">
        <is>
          <t>TIER_1B</t>
        </is>
      </c>
      <c r="F76" s="13" t="inlineStr">
        <is>
          <t>low</t>
        </is>
      </c>
      <c r="G76" s="13" t="inlineStr">
        <is>
          <t>Wave 2</t>
        </is>
      </c>
      <c r="H76" s="13" t="inlineStr">
        <is>
          <t>spider</t>
        </is>
      </c>
      <c r="I76" s="13" t="inlineStr">
        <is>
          <t>Generic WooCommerce spider (/wp-json/wc/store/v1/products) - WATCH the minor-unit exponent</t>
        </is>
      </c>
      <c r="J76" s="13" t="inlineStr">
        <is>
          <t>D_woocommerce</t>
        </is>
      </c>
      <c r="K76" s="13" t="inlineStr">
        <is>
          <t>WooCommerce</t>
        </is>
      </c>
      <c r="L76" s="13" t="inlineStr">
        <is>
          <t>retailer_sku</t>
        </is>
      </c>
      <c r="M76" s="13" t="inlineStr">
        <is>
          <t>supermarket</t>
        </is>
      </c>
      <c r="N76" s="13" t="inlineStr">
        <is>
          <t>MVR</t>
        </is>
      </c>
      <c r="O76" s="13" t="n">
        <v>45</v>
      </c>
      <c r="P76" s="13" t="inlineStr">
        <is>
          <t>/wp-json/wc/store/v1/products</t>
        </is>
      </c>
      <c r="Q76" s="13" t="inlineStr">
        <is>
          <t>GET /wp-json/wc/store/v1/products/categories?per_page=100 -&gt; 200, 12KB, WooCommerce confirmed (string 'woocommerce' + '/wp-json/wc/store/v1/' both present). ~54 categories including Fresh &amp; Chilled(24), Frozen Meat &amp; Poultry(31), Frozen Fish &amp; Seafood(3), Frozen Vegetables(3), Cheese(11), Milk(11 across two dupe cats), Yoghurts(3), Rice/Pasta/Pulses(16+4), Condiments(14), Cooking Sauces(39), but only 1 SKU under 'Fruits &amp; Vegetables' -- packaged/frozen goods dominate over fresh.</t>
        </is>
      </c>
      <c r="R76" s="13" t="b">
        <v>0</v>
      </c>
      <c r="S76" s="13" t="inlineStr">
        <is>
          <t>New discovery via web search ('online grocery Maldives'). Real WooCommerce store API, easy onboard, but thin on fresh produce -- mainly useful as an incremental packaged/frozen layer on top of whim_mv.</t>
        </is>
      </c>
      <c r="T76" s="13" t="inlineStr"/>
    </row>
    <row r="77">
      <c r="A77" s="13" t="inlineStr">
        <is>
          <t>ssa</t>
        </is>
      </c>
      <c r="B77" s="13" t="inlineStr">
        <is>
          <t>kenya</t>
        </is>
      </c>
      <c r="C77" s="13" t="inlineStr">
        <is>
          <t>Greenspoon</t>
        </is>
      </c>
      <c r="D77" s="13" t="inlineStr">
        <is>
          <t>https://greenspoon.co.ke/</t>
        </is>
      </c>
      <c r="E77" s="13" t="inlineStr">
        <is>
          <t>TIER_1B</t>
        </is>
      </c>
      <c r="F77" s="13" t="inlineStr">
        <is>
          <t>low</t>
        </is>
      </c>
      <c r="G77" s="13" t="inlineStr">
        <is>
          <t>Wave 2</t>
        </is>
      </c>
      <c r="H77" s="13" t="inlineStr">
        <is>
          <t>spider</t>
        </is>
      </c>
      <c r="I77" s="13" t="inlineStr">
        <is>
          <t>Generic WooCommerce spider (/wp-json/wc/store/v1/products) - WATCH the minor-unit exponent</t>
        </is>
      </c>
      <c r="J77" s="13" t="inlineStr">
        <is>
          <t>D_woocommerce</t>
        </is>
      </c>
      <c r="K77" s="13" t="inlineStr">
        <is>
          <t>WooCommerce</t>
        </is>
      </c>
      <c r="L77" s="13" t="inlineStr">
        <is>
          <t>retailer_sku</t>
        </is>
      </c>
      <c r="M77" s="13" t="inlineStr">
        <is>
          <t>supermarket</t>
        </is>
      </c>
      <c r="N77" s="13" t="inlineStr">
        <is>
          <t>KES</t>
        </is>
      </c>
      <c r="O77" s="13" t="n">
        <v>40</v>
      </c>
      <c r="P77" s="13" t="inlineStr">
        <is>
          <t>/wp-json/wc/store/v1/products</t>
        </is>
      </c>
      <c r="Q77" s="13" t="inlineStr">
        <is>
          <t>GET /wp-json/wc/store/v1/products?per_page=3 -&gt; 200, WooCommerce Store API open no auth. currency_minor_unit=0. Sample 'Hobby Pomegranate Blossom Body Wash' KES 498.</t>
        </is>
      </c>
      <c r="R77" s="13" t="b">
        <v>1</v>
      </c>
      <c r="S77" s="13" t="inlineStr">
        <is>
          <t>Organic/artisan grocer. DATA QUALITY FLAG: one sampled product's `description` field contained ~2KB of unrelated leftover HTML that looks like a scraped AI-chat UI fragment (div classes referencing a conversation thread) -- garbage in their CMS content, not a security issue, but strip/ignore the description field rather than using it as classifier input.</t>
        </is>
      </c>
      <c r="T77" s="13" t="inlineStr"/>
    </row>
    <row r="78">
      <c r="A78" s="13" t="inlineStr">
        <is>
          <t>menaap</t>
        </is>
      </c>
      <c r="B78" s="13" t="inlineStr">
        <is>
          <t>djibouti</t>
        </is>
      </c>
      <c r="C78" s="13" t="inlineStr">
        <is>
          <t>NIRIGS</t>
        </is>
      </c>
      <c r="D78" s="13" t="inlineStr">
        <is>
          <t>https://nirigs.com/</t>
        </is>
      </c>
      <c r="E78" s="13" t="inlineStr">
        <is>
          <t>TIER_1B</t>
        </is>
      </c>
      <c r="F78" s="13" t="inlineStr">
        <is>
          <t>low</t>
        </is>
      </c>
      <c r="G78" s="13" t="inlineStr">
        <is>
          <t>Wave 2</t>
        </is>
      </c>
      <c r="H78" s="13" t="inlineStr">
        <is>
          <t>spider</t>
        </is>
      </c>
      <c r="I78" s="13" t="inlineStr">
        <is>
          <t>Generic WooCommerce spider (/wp-json/wc/store/v1/products) - WATCH the minor-unit exponent</t>
        </is>
      </c>
      <c r="J78" s="13" t="inlineStr">
        <is>
          <t>D_woocommerce</t>
        </is>
      </c>
      <c r="K78" s="13" t="inlineStr">
        <is>
          <t>WooCommerce</t>
        </is>
      </c>
      <c r="L78" s="13" t="inlineStr">
        <is>
          <t>retailer_sku</t>
        </is>
      </c>
      <c r="M78" s="13" t="inlineStr">
        <is>
          <t>supermarket</t>
        </is>
      </c>
      <c r="N78" s="13" t="inlineStr">
        <is>
          <t>DJF</t>
        </is>
      </c>
      <c r="O78" s="13" t="n">
        <v>30</v>
      </c>
      <c r="P78" s="13" t="inlineStr">
        <is>
          <t>/wp-json/wc/store/v1/products?per_page=100&amp;page=N</t>
        </is>
      </c>
      <c r="Q78" s="13" t="inlineStr">
        <is>
          <t>GET /wp-json/wc/store/v1/products?per_page=20 -&gt; 200, 199KB JSON. Sample: 'Nuna Cereales au ble et lait des 6 mois - 350 g', price 1250 DJF (minor_unit=0). x-wp-total = 448 products across 13 categories: Alimentation, Boissons, Boissons gazeuses, Boissons vegetales, Bebe et famille, Cafe/The/Boissons, Gouters et desserts, Jus de Fruits, Laits en poudre, Laits infantiles, Petit-Dejeuner, Produits laitiers en conserves, Epicerie.</t>
        </is>
      </c>
      <c r="R78" s="13" t="b">
        <v>1</v>
      </c>
      <c r="S78" s="13" t="inlineStr">
        <is>
          <t>Best Djibouti source by volume (448 SKUs) and category breadth. Still no fresh produce/meat/bakery -- purely packaged/shelf-stable epicerie.</t>
        </is>
      </c>
      <c r="T78" s="13" t="inlineStr"/>
    </row>
    <row r="79">
      <c r="A79" s="13" t="inlineStr">
        <is>
          <t>ssa</t>
        </is>
      </c>
      <c r="B79" s="13" t="inlineStr">
        <is>
          <t>mozambique</t>
        </is>
      </c>
      <c r="C79" s="13" t="inlineStr">
        <is>
          <t>VIP Supermercado</t>
        </is>
      </c>
      <c r="D79" s="13" t="inlineStr">
        <is>
          <t>https://vipspar.com/</t>
        </is>
      </c>
      <c r="E79" s="13" t="inlineStr">
        <is>
          <t>TIER_1B</t>
        </is>
      </c>
      <c r="F79" s="13" t="inlineStr">
        <is>
          <t>low</t>
        </is>
      </c>
      <c r="G79" s="13" t="inlineStr">
        <is>
          <t>Wave 2</t>
        </is>
      </c>
      <c r="H79" s="13" t="inlineStr">
        <is>
          <t>spider</t>
        </is>
      </c>
      <c r="I79" s="13" t="inlineStr">
        <is>
          <t>Generic WooCommerce spider (/wp-json/wc/store/v1/products) - WATCH the minor-unit exponent</t>
        </is>
      </c>
      <c r="J79" s="13" t="inlineStr">
        <is>
          <t>D_woocommerce</t>
        </is>
      </c>
      <c r="K79" s="13" t="inlineStr">
        <is>
          <t>WooCommerce</t>
        </is>
      </c>
      <c r="L79" s="13" t="inlineStr">
        <is>
          <t>retailer_sku</t>
        </is>
      </c>
      <c r="M79" s="13" t="inlineStr">
        <is>
          <t>supermarket</t>
        </is>
      </c>
      <c r="N79" s="13" t="inlineStr">
        <is>
          <t>MZN</t>
        </is>
      </c>
      <c r="O79" s="13" t="n">
        <v>30</v>
      </c>
      <c r="P79" s="13" t="inlineStr">
        <is>
          <t>/wp-json/wc/store/products?per_page=100&amp;page=N (note: NOT /wc/store/v1/ -- this WooCommerce install exposes the pre-v1 Store API namespace only)</t>
        </is>
      </c>
      <c r="Q79" s="13" t="inlineStr">
        <is>
          <t>wc/store/v1/products 404'd, but the older non-versioned route works: GET /wp-json/wc/store/products?per_page=5 -&gt; 200, real JSON. Sample: 'LOTUS RICE ARROZ JASMIN' price=680 MZN (currency_minor_unit=0, no division needed), 'AMANHECER ARROZ INTEGRAL 1KG' price=190 MZN, 'DIVELLA ARBORIO ARROZ 1KG' price=750 MZN.</t>
        </is>
      </c>
      <c r="R79" s="13" t="b">
        <v>1</v>
      </c>
      <c r="S79" s="13" t="inlineStr">
        <is>
          <t>Multi-vendor (Dokan) WooCommerce; Store API is open with zero auth. Endpoint path is nonstandard versus the documented /wc/store/v1/ pattern -- worth adding as a documented gotcha.</t>
        </is>
      </c>
      <c r="T79" s="13" t="inlineStr"/>
    </row>
    <row r="80">
      <c r="A80" s="13" t="inlineStr">
        <is>
          <t>ssa</t>
        </is>
      </c>
      <c r="B80" s="13" t="inlineStr">
        <is>
          <t>ghana</t>
        </is>
      </c>
      <c r="C80" s="13" t="inlineStr">
        <is>
          <t>GHBasket</t>
        </is>
      </c>
      <c r="D80" s="13" t="inlineStr">
        <is>
          <t>https://ghbasket.com/</t>
        </is>
      </c>
      <c r="E80" s="13" t="inlineStr">
        <is>
          <t>TIER_1B</t>
        </is>
      </c>
      <c r="F80" s="13" t="inlineStr">
        <is>
          <t>low</t>
        </is>
      </c>
      <c r="G80" s="13" t="inlineStr">
        <is>
          <t>Wave 2</t>
        </is>
      </c>
      <c r="H80" s="13" t="inlineStr">
        <is>
          <t>spider</t>
        </is>
      </c>
      <c r="I80" s="13" t="inlineStr">
        <is>
          <t>Generic WooCommerce spider (/wp-json/wc/store/v1/products) - WATCH the minor-unit exponent</t>
        </is>
      </c>
      <c r="J80" s="13" t="inlineStr">
        <is>
          <t>D_woocommerce</t>
        </is>
      </c>
      <c r="K80" s="13" t="inlineStr">
        <is>
          <t>WordPress/WooCommerce</t>
        </is>
      </c>
      <c r="L80" s="13" t="inlineStr">
        <is>
          <t>retailer_sku</t>
        </is>
      </c>
      <c r="M80" s="13" t="inlineStr">
        <is>
          <t>supermarket</t>
        </is>
      </c>
      <c r="N80" s="13" t="inlineStr">
        <is>
          <t>GHS</t>
        </is>
      </c>
      <c r="O80" s="13" t="n">
        <v>20</v>
      </c>
      <c r="P80" s="13" t="inlineStr">
        <is>
          <t>/wp-json/wc/store/v1/products?per_page=100</t>
        </is>
      </c>
      <c r="Q80" s="13" t="inlineStr">
        <is>
          <t>CSV's own EXTRACTION endpoint confirmed live: GET https://ghbasket.com/wp-json/wc/store/v1/products?per_page=100 -&gt; 200, 55KB. WooCommerce Store API. Sample: 'Cow Leg' price=11000, currency_minor_unit=2 -&gt; GHS 110.00.</t>
        </is>
      </c>
      <c r="R80" s="13" t="b">
        <v>1</v>
      </c>
      <c r="S80" s="13" t="inlineStr">
        <is>
          <t>Only first page verified this pass; CSV's local-unit-measure claims (koobi, apatre, olonka) not independently re-sampled but platform and endpoint are live and exactly as documented.</t>
        </is>
      </c>
      <c r="T80" s="13" t="inlineStr"/>
    </row>
    <row r="81">
      <c r="A81" s="13" t="inlineStr">
        <is>
          <t>menaap</t>
        </is>
      </c>
      <c r="B81" s="13" t="inlineStr">
        <is>
          <t>djibouti</t>
        </is>
      </c>
      <c r="C81" s="13" t="inlineStr">
        <is>
          <t>Djibonline</t>
        </is>
      </c>
      <c r="D81" s="13" t="inlineStr">
        <is>
          <t>https://djibonline.com/</t>
        </is>
      </c>
      <c r="E81" s="13" t="inlineStr">
        <is>
          <t>TIER_1B</t>
        </is>
      </c>
      <c r="F81" s="13" t="inlineStr">
        <is>
          <t>low</t>
        </is>
      </c>
      <c r="G81" s="13" t="inlineStr">
        <is>
          <t>Wave 2</t>
        </is>
      </c>
      <c r="H81" s="13" t="inlineStr">
        <is>
          <t>spider</t>
        </is>
      </c>
      <c r="I81" s="13" t="inlineStr">
        <is>
          <t>Generic WooCommerce spider (/wp-json/wc/store/v1/products) - WATCH the minor-unit exponent</t>
        </is>
      </c>
      <c r="J81" s="13" t="inlineStr">
        <is>
          <t>D_woocommerce</t>
        </is>
      </c>
      <c r="K81" s="13" t="inlineStr">
        <is>
          <t>WooCommerce</t>
        </is>
      </c>
      <c r="L81" s="13" t="inlineStr">
        <is>
          <t>retailer_sku</t>
        </is>
      </c>
      <c r="M81" s="13" t="inlineStr">
        <is>
          <t>supermarket</t>
        </is>
      </c>
      <c r="N81" s="13" t="inlineStr">
        <is>
          <t>DJF</t>
        </is>
      </c>
      <c r="O81" s="13" t="n">
        <v>15</v>
      </c>
      <c r="P81" s="13" t="inlineStr">
        <is>
          <t>/wp-json/wc/store/v1/products?per_page=100&amp;page=N</t>
        </is>
      </c>
      <c r="Q81" s="13" t="inlineStr">
        <is>
          <t>GET /wp-json/wc/store/v1/products?per_page=20 -&gt; 200, 144KB JSON. Sample: 'Flocons d'avoine Five Star – 400 g'. Price object: price=250 (minor_unit=0) -&gt; 250 Fr = 250 DJF. x-wp-total header = 142 products across 4 categories: Cartes &amp; Codes digitaux, Lait &amp; produits laitiers, Sucre &amp; petit-dejeuner, Epices.</t>
        </is>
      </c>
      <c r="R81" s="13" t="b">
        <v>1</v>
      </c>
      <c r="S81" s="13" t="inlineStr">
        <is>
          <t>Small catalog (142 SKUs), thin categories (dairy, sweets/breakfast, spices, phone top-up cards). No fresh, no meat, no bakery.</t>
        </is>
      </c>
      <c r="T81" s="13" t="inlineStr"/>
    </row>
    <row r="82">
      <c r="A82" s="13" t="inlineStr">
        <is>
          <t>ssa</t>
        </is>
      </c>
      <c r="B82" s="13" t="inlineStr">
        <is>
          <t>lesotho</t>
        </is>
      </c>
      <c r="C82" s="13" t="inlineStr">
        <is>
          <t>Wiza Shopping</t>
        </is>
      </c>
      <c r="D82" s="13" t="inlineStr">
        <is>
          <t>https://wizashopping.co.ls/</t>
        </is>
      </c>
      <c r="E82" s="13" t="inlineStr">
        <is>
          <t>TIER_1B</t>
        </is>
      </c>
      <c r="F82" s="13" t="inlineStr">
        <is>
          <t>low</t>
        </is>
      </c>
      <c r="G82" s="13" t="inlineStr">
        <is>
          <t>Wave 2</t>
        </is>
      </c>
      <c r="H82" s="13" t="inlineStr">
        <is>
          <t>spider</t>
        </is>
      </c>
      <c r="I82" s="13" t="inlineStr">
        <is>
          <t>Generic WooCommerce spider (/wp-json/wc/store/v1/products) - WATCH the minor-unit exponent</t>
        </is>
      </c>
      <c r="J82" s="13" t="inlineStr">
        <is>
          <t>D_woocommerce</t>
        </is>
      </c>
      <c r="K82" s="13" t="inlineStr">
        <is>
          <t>WordPress/WooCommerce</t>
        </is>
      </c>
      <c r="L82" s="13" t="inlineStr">
        <is>
          <t>retailer_sku</t>
        </is>
      </c>
      <c r="M82" s="13" t="inlineStr">
        <is>
          <t>aggregator</t>
        </is>
      </c>
      <c r="N82" s="13" t="inlineStr">
        <is>
          <t>LSL</t>
        </is>
      </c>
      <c r="O82" s="13" t="n">
        <v>15</v>
      </c>
      <c r="P82" s="13" t="inlineStr">
        <is>
          <t>/wp-json/wc/store/v1/products?per_page=100</t>
        </is>
      </c>
      <c r="Q82" s="13" t="inlineStr">
        <is>
          <t>WooCommerce Store API confirmed: GET https://wizashopping.co.ls/wp-json/wc/store/v1/products?per_page=20 -&gt; 200, 63KB. Sample: 'Pork Chops per KG' price=11555 -&gt; M115.55 (per-kg meat pricing).</t>
        </is>
      </c>
      <c r="R82" s="13" t="b">
        <v>1</v>
      </c>
      <c r="S82" s="13" t="inlineStr">
        <is>
          <t>Price-comparison hub across multiple Lesotho retailers per CSV -- unusually valuable multi-retailer view, but likely overlaps heavily with Lesotho Virtual Mall's SKUs.</t>
        </is>
      </c>
      <c r="T82" s="13" t="inlineStr"/>
    </row>
    <row r="83">
      <c r="A83" s="13" t="inlineStr">
        <is>
          <t>ssa</t>
        </is>
      </c>
      <c r="B83" s="13" t="inlineStr">
        <is>
          <t>togo</t>
        </is>
      </c>
      <c r="C83" s="13" t="inlineStr">
        <is>
          <t>Assivito</t>
        </is>
      </c>
      <c r="D83" s="13" t="inlineStr">
        <is>
          <t>https://www.assivito.com/</t>
        </is>
      </c>
      <c r="E83" s="13" t="inlineStr">
        <is>
          <t>TIER_1B</t>
        </is>
      </c>
      <c r="F83" s="13" t="inlineStr">
        <is>
          <t>low</t>
        </is>
      </c>
      <c r="G83" s="13" t="inlineStr">
        <is>
          <t>Wave 2</t>
        </is>
      </c>
      <c r="H83" s="13" t="inlineStr">
        <is>
          <t>spider</t>
        </is>
      </c>
      <c r="I83" s="13" t="inlineStr">
        <is>
          <t>Generic WooCommerce spider (/wp-json/wc/store/v1/products) - WATCH the minor-unit exponent</t>
        </is>
      </c>
      <c r="J83" s="13" t="inlineStr">
        <is>
          <t>D_woocommerce</t>
        </is>
      </c>
      <c r="K83" s="13" t="inlineStr">
        <is>
          <t>WordPress/WooCommerce</t>
        </is>
      </c>
      <c r="L83" s="13" t="inlineStr">
        <is>
          <t>retailer_sku</t>
        </is>
      </c>
      <c r="M83" s="13" t="inlineStr">
        <is>
          <t>aggregator</t>
        </is>
      </c>
      <c r="N83" s="13" t="inlineStr">
        <is>
          <t>XOF</t>
        </is>
      </c>
      <c r="O83" s="13" t="n">
        <v>8</v>
      </c>
      <c r="P83" s="13" t="inlineStr">
        <is>
          <t>/wp-json/wc/store/v1/products?category=173 (Produits transformes)</t>
        </is>
      </c>
      <c r="Q83" s="13" t="inlineStr">
        <is>
          <t>WooCommerce Store API confirmed open: GET https://www.assivito.com/wp-json/wc/store/v1/products/categories?per_page=100 -&gt; 200, 7.1KB, 21 categories. One category, 'Produits transformes' (id 173, 89 products), is genuinely food: GET .../products?category=173&amp;per_page=20 -&gt; 200, sample 'Puree de sesame 100% naturelle' 4000 FCFA, 'Pate d'arachide 100% naturelle' (groundnut paste) 5000 FCFA, 'Miabe Gari (farine de manioc)' 1300 FCFA, 'Haricot brun - 1kg' 1800 FCFA, 'Arachides grillees - 350g' 2000 FCFA.</t>
        </is>
      </c>
      <c r="R83" s="13" t="b">
        <v>1</v>
      </c>
      <c r="S83" s="13" t="inlineStr">
        <is>
          <t>General local-products marketplace (agri/health, artisans, fashion, real estate, vehicles dominate); only one of 21 categories is genuinely food, but it is real local-staple food (gari, groundnut/sesame paste, dried beans, roasted peanuts).</t>
        </is>
      </c>
      <c r="T83" s="13" t="inlineStr"/>
    </row>
    <row r="84">
      <c r="A84" s="13" t="inlineStr">
        <is>
          <t>menaap</t>
        </is>
      </c>
      <c r="B84" s="13" t="inlineStr">
        <is>
          <t>syria</t>
        </is>
      </c>
      <c r="C84" s="13" t="inlineStr">
        <is>
          <t>Tsaooq</t>
        </is>
      </c>
      <c r="D84" s="13" t="inlineStr">
        <is>
          <t>https://tsaooq.com/wp-json/wc/store/v1/products?category=&lt;food-cat-id&gt;</t>
        </is>
      </c>
      <c r="E84" s="13" t="inlineStr">
        <is>
          <t>TIER_1B</t>
        </is>
      </c>
      <c r="F84" s="13" t="inlineStr">
        <is>
          <t>low</t>
        </is>
      </c>
      <c r="G84" s="13" t="inlineStr">
        <is>
          <t>Wave 2</t>
        </is>
      </c>
      <c r="H84" s="13" t="inlineStr">
        <is>
          <t>spider</t>
        </is>
      </c>
      <c r="I84" s="13" t="inlineStr">
        <is>
          <t>Generic WooCommerce spider (/wp-json/wc/store/v1/products) - WATCH the minor-unit exponent</t>
        </is>
      </c>
      <c r="J84" s="13" t="inlineStr">
        <is>
          <t>D_woocommerce</t>
        </is>
      </c>
      <c r="K84" s="13" t="inlineStr">
        <is>
          <t>WooCommerce</t>
        </is>
      </c>
      <c r="L84" s="13" t="inlineStr">
        <is>
          <t>retailer_sku</t>
        </is>
      </c>
      <c r="M84" s="13" t="inlineStr">
        <is>
          <t>marketplace</t>
        </is>
      </c>
      <c r="N84" s="13" t="inlineStr">
        <is>
          <t>SYP</t>
        </is>
      </c>
      <c r="O84" s="13" t="n">
        <v>4</v>
      </c>
      <c r="P84" s="13" t="inlineStr">
        <is>
          <t>/wp-json/wc/store/v1/products/categories and /wp-json/wc/store/v1/products?category=&lt;id&gt;</t>
        </is>
      </c>
      <c r="Q84" s="13" t="inlineStr">
        <is>
          <t>curl GET /wp-json/wc/store/v1/products/categories?per_page=100 -&gt; 200, clean JSON. Category 'الأغذية والمشروبات' (Food &amp; Beverages) exists, count=4. Fetched that category's products -&gt; real items: 'كاتشيتزا – بيتزا محشية الأطراف' (stuffed-crust pizza) SYP 10000, 'سلطة فواكه' (fruit salad) SYP 10000, 'بقلاوة ملكي' (baklava) SYP 10000, cake SYP 10000. currency_minor_unit=0.</t>
        </is>
      </c>
      <c r="R84" s="13" t="b">
        <v>0</v>
      </c>
      <c r="S84" s="13" t="inlineStr">
        <is>
          <t>Live and technically Tier 1B, but the F&amp;B slice of this general Syrian marketplace is only 4 prepared/bakery items (pizza, fruit salad, baklava, cake) - bakery/confectionery/prepared-meal leaves only, no fresh produce/meat/dairy/staples. Not worth a dedicated spider on its own; would only be additive alongside a fuller Syrian source.</t>
        </is>
      </c>
      <c r="T84" s="13" t="inlineStr"/>
    </row>
    <row r="85">
      <c r="A85" s="13" t="inlineStr">
        <is>
          <t>lac</t>
        </is>
      </c>
      <c r="B85" s="13" t="inlineStr">
        <is>
          <t>peru</t>
        </is>
      </c>
      <c r="C85" s="13" t="inlineStr">
        <is>
          <t>Wong</t>
        </is>
      </c>
      <c r="D85" s="13" t="inlineStr">
        <is>
          <t>https://www.wong.pe/</t>
        </is>
      </c>
      <c r="E85" s="13" t="inlineStr">
        <is>
          <t>TIER_1B</t>
        </is>
      </c>
      <c r="F85" s="13" t="inlineStr">
        <is>
          <t>low</t>
        </is>
      </c>
      <c r="G85" s="13" t="inlineStr">
        <is>
          <t>Wave 2</t>
        </is>
      </c>
      <c r="H85" s="13" t="inlineStr">
        <is>
          <t>spider</t>
        </is>
      </c>
      <c r="I85" s="13" t="inlineStr">
        <is>
          <t>Generic VTEX spider (/api/catalog_system/pub/products/search) - fall back to the *.myvtex.com origin host</t>
        </is>
      </c>
      <c r="J85" s="13" t="inlineStr">
        <is>
          <t>E_vtex</t>
        </is>
      </c>
      <c r="K85" s="13" t="inlineStr">
        <is>
          <t>VTEX</t>
        </is>
      </c>
      <c r="L85" s="13" t="inlineStr">
        <is>
          <t>retailer_sku</t>
        </is>
      </c>
      <c r="M85" s="13" t="inlineStr">
        <is>
          <t>supermarket</t>
        </is>
      </c>
      <c r="N85" s="13" t="inlineStr">
        <is>
          <t>PEN</t>
        </is>
      </c>
      <c r="O85" s="13" t="n">
        <v>170</v>
      </c>
      <c r="P85" s="13" t="inlineStr">
        <is>
          <t>/api/catalog_system/pub/products/search?_from=0&amp;_to=49</t>
        </is>
      </c>
      <c r="Q85" s="13" t="inlineStr">
        <is>
          <t>GET /api/catalog_system/pub/products/search?_from=0&amp;_to=4 -&gt; 206, 251KB JSON, 5 products. Sample: 'Huevos Pardos Wong 30un' PEN 17.9. CSV-supplied endpoint worked directly.</t>
        </is>
      </c>
      <c r="R85" s="13" t="b">
        <v>1</v>
      </c>
      <c r="S85" s="13" t="inlineStr">
        <is>
          <t>Premium/upper-mid banner; CSV notes 3 price tiers per SKU (online/regular/Prime) — must not collapse them.</t>
        </is>
      </c>
      <c r="T85" s="13" t="inlineStr"/>
    </row>
    <row r="86">
      <c r="A86" s="13" t="inlineStr">
        <is>
          <t>lac</t>
        </is>
      </c>
      <c r="B86" s="13" t="inlineStr">
        <is>
          <t>peru</t>
        </is>
      </c>
      <c r="C86" s="13" t="inlineStr">
        <is>
          <t>Metro Peru</t>
        </is>
      </c>
      <c r="D86" s="13" t="inlineStr">
        <is>
          <t>https://www.metro.pe/</t>
        </is>
      </c>
      <c r="E86" s="13" t="inlineStr">
        <is>
          <t>TIER_1B</t>
        </is>
      </c>
      <c r="F86" s="13" t="inlineStr">
        <is>
          <t>low</t>
        </is>
      </c>
      <c r="G86" s="13" t="inlineStr">
        <is>
          <t>Wave 2</t>
        </is>
      </c>
      <c r="H86" s="13" t="inlineStr">
        <is>
          <t>spider</t>
        </is>
      </c>
      <c r="I86" s="13" t="inlineStr">
        <is>
          <t>Generic VTEX spider (/api/catalog_system/pub/products/search) - fall back to the *.myvtex.com origin host</t>
        </is>
      </c>
      <c r="J86" s="13" t="inlineStr">
        <is>
          <t>E_vtex</t>
        </is>
      </c>
      <c r="K86" s="13" t="inlineStr">
        <is>
          <t>VTEX</t>
        </is>
      </c>
      <c r="L86" s="13" t="inlineStr">
        <is>
          <t>retailer_sku</t>
        </is>
      </c>
      <c r="M86" s="13" t="inlineStr">
        <is>
          <t>supermarket</t>
        </is>
      </c>
      <c r="N86" s="13" t="inlineStr">
        <is>
          <t>PEN</t>
        </is>
      </c>
      <c r="O86" s="13" t="n">
        <v>160</v>
      </c>
      <c r="P86" s="13" t="inlineStr">
        <is>
          <t>/api/catalog_system/pub/products/search</t>
        </is>
      </c>
      <c r="Q86" s="13" t="inlineStr">
        <is>
          <t>GET /api/catalog_system/pub/products/search?_from=0&amp;_to=4 -&gt; 206, 209KB JSON, 5 products. Sample: 'Huevos Pardos Metro 30un' PEN 16.5.</t>
        </is>
      </c>
      <c r="R86" s="13" t="b">
        <v>1</v>
      </c>
      <c r="S86" s="13" t="inlineStr">
        <is>
          <t>Cencosud discount banner, VTEX. Full-line supermarket.</t>
        </is>
      </c>
      <c r="T86" s="13" t="inlineStr"/>
    </row>
    <row r="87">
      <c r="A87" s="13" t="inlineStr">
        <is>
          <t>lac</t>
        </is>
      </c>
      <c r="B87" s="13" t="inlineStr">
        <is>
          <t>peru</t>
        </is>
      </c>
      <c r="C87" s="13" t="inlineStr">
        <is>
          <t>plazaVea</t>
        </is>
      </c>
      <c r="D87" s="13" t="inlineStr">
        <is>
          <t>https://www.plazavea.com.pe/supermercado</t>
        </is>
      </c>
      <c r="E87" s="13" t="inlineStr">
        <is>
          <t>TIER_1B</t>
        </is>
      </c>
      <c r="F87" s="13" t="inlineStr">
        <is>
          <t>low</t>
        </is>
      </c>
      <c r="G87" s="13" t="inlineStr">
        <is>
          <t>Wave 2</t>
        </is>
      </c>
      <c r="H87" s="13" t="inlineStr">
        <is>
          <t>spider</t>
        </is>
      </c>
      <c r="I87" s="13" t="inlineStr">
        <is>
          <t>Generic VTEX spider (/api/catalog_system/pub/products/search) - fall back to the *.myvtex.com origin host</t>
        </is>
      </c>
      <c r="J87" s="13" t="inlineStr">
        <is>
          <t>E_vtex</t>
        </is>
      </c>
      <c r="K87" s="13" t="inlineStr">
        <is>
          <t>VTEX</t>
        </is>
      </c>
      <c r="L87" s="13" t="inlineStr">
        <is>
          <t>retailer_sku</t>
        </is>
      </c>
      <c r="M87" s="13" t="inlineStr">
        <is>
          <t>supermarket</t>
        </is>
      </c>
      <c r="N87" s="13" t="inlineStr">
        <is>
          <t>PEN</t>
        </is>
      </c>
      <c r="O87" s="13" t="n">
        <v>160</v>
      </c>
      <c r="P87" s="13" t="inlineStr">
        <is>
          <t>/api/catalog_system/pub/products/search with sc (sales channel) parameter</t>
        </is>
      </c>
      <c r="Q87" s="13" t="inlineStr">
        <is>
          <t>GET /api/catalog_system/pub/products/search?_from=0&amp;_to=4 -&gt; 206, 83KB JSON, 5 products. Sample: 'Bio Bolsa PLAZAVEA Mediana' PEN 0.20.</t>
        </is>
      </c>
      <c r="R87" s="13" t="b">
        <v>1</v>
      </c>
      <c r="S87" s="13" t="inlineStr">
        <is>
          <t>Intercorp mass-market chain, VTEX. May need an sc= sales-channel param for the right regional assortment per CSV.</t>
        </is>
      </c>
      <c r="T87" s="13" t="inlineStr"/>
    </row>
    <row r="88">
      <c r="A88" s="13" t="inlineStr">
        <is>
          <t>lac</t>
        </is>
      </c>
      <c r="B88" s="13" t="inlineStr">
        <is>
          <t>argentina</t>
        </is>
      </c>
      <c r="C88" s="13" t="inlineStr">
        <is>
          <t>Jumbo Argentina</t>
        </is>
      </c>
      <c r="D88" s="13" t="inlineStr">
        <is>
          <t>https://www.jumbo.com.ar/</t>
        </is>
      </c>
      <c r="E88" s="13" t="inlineStr">
        <is>
          <t>TIER_1B</t>
        </is>
      </c>
      <c r="F88" s="13" t="inlineStr">
        <is>
          <t>low</t>
        </is>
      </c>
      <c r="G88" s="13" t="inlineStr">
        <is>
          <t>Wave 2</t>
        </is>
      </c>
      <c r="H88" s="13" t="inlineStr">
        <is>
          <t>spider</t>
        </is>
      </c>
      <c r="I88" s="13" t="inlineStr">
        <is>
          <t>Generic VTEX spider (/api/catalog_system/pub/products/search) - fall back to the *.myvtex.com origin host</t>
        </is>
      </c>
      <c r="J88" s="13" t="inlineStr">
        <is>
          <t>E_vtex</t>
        </is>
      </c>
      <c r="K88" s="13" t="inlineStr">
        <is>
          <t>VTEX</t>
        </is>
      </c>
      <c r="L88" s="13" t="inlineStr">
        <is>
          <t>retailer_sku</t>
        </is>
      </c>
      <c r="M88" s="13" t="inlineStr">
        <is>
          <t>supermarket</t>
        </is>
      </c>
      <c r="N88" s="13" t="inlineStr">
        <is>
          <t>ARS</t>
        </is>
      </c>
      <c r="O88" s="13" t="n">
        <v>160</v>
      </c>
      <c r="P88" s="13" t="inlineStr">
        <is>
          <t>/api/catalog_system/pub/products/search</t>
        </is>
      </c>
      <c r="Q88" s="13" t="inlineStr">
        <is>
          <t>GET https://www.jumbo.com.ar/api/catalog_system/pub/products/search?_from=0&amp;_to=9 -&gt; HTTP 206, 243915 bytes, 10 products. Sample: 'Cebolla Superior Por Kg' ARS 2599.0</t>
        </is>
      </c>
      <c r="R88" s="13" t="b">
        <v>0</v>
      </c>
      <c r="S88" s="13" t="inlineStr">
        <is>
          <t>Cencosud AR flagship hypermarket, full-line incl. fresh produce/meat.</t>
        </is>
      </c>
      <c r="T88" s="13" t="inlineStr"/>
    </row>
    <row r="89">
      <c r="A89" s="13" t="inlineStr">
        <is>
          <t>lac</t>
        </is>
      </c>
      <c r="B89" s="13" t="inlineStr">
        <is>
          <t>argentina</t>
        </is>
      </c>
      <c r="C89" s="13" t="inlineStr">
        <is>
          <t>Carrefour Argentina</t>
        </is>
      </c>
      <c r="D89" s="13" t="inlineStr">
        <is>
          <t>https://www.carrefour.com.ar/</t>
        </is>
      </c>
      <c r="E89" s="13" t="inlineStr">
        <is>
          <t>TIER_1B</t>
        </is>
      </c>
      <c r="F89" s="13" t="inlineStr">
        <is>
          <t>low</t>
        </is>
      </c>
      <c r="G89" s="13" t="inlineStr">
        <is>
          <t>Wave 2</t>
        </is>
      </c>
      <c r="H89" s="13" t="inlineStr">
        <is>
          <t>spider</t>
        </is>
      </c>
      <c r="I89" s="13" t="inlineStr">
        <is>
          <t>Generic VTEX spider (/api/catalog_system/pub/products/search) - fall back to the *.myvtex.com origin host</t>
        </is>
      </c>
      <c r="J89" s="13" t="inlineStr">
        <is>
          <t>E_vtex</t>
        </is>
      </c>
      <c r="K89" s="13" t="inlineStr">
        <is>
          <t>VTEX</t>
        </is>
      </c>
      <c r="L89" s="13" t="inlineStr">
        <is>
          <t>retailer_sku</t>
        </is>
      </c>
      <c r="M89" s="13" t="inlineStr">
        <is>
          <t>supermarket</t>
        </is>
      </c>
      <c r="N89" s="13" t="inlineStr">
        <is>
          <t>ARS</t>
        </is>
      </c>
      <c r="O89" s="13" t="n">
        <v>160</v>
      </c>
      <c r="P89" s="13" t="inlineStr">
        <is>
          <t>/api/catalog_system/pub/products/search</t>
        </is>
      </c>
      <c r="Q89" s="13" t="inlineStr">
        <is>
          <t>GET https://www.carrefour.com.ar/api/catalog_system/pub/products/search?_from=0&amp;_to=9 -&gt; HTTP 206, 240119 bytes. Sample: 'Rollo de cocina Sussex clasico 50 panos 3 uni' ARS 2044.0</t>
        </is>
      </c>
      <c r="R89" s="13" t="b">
        <v>0</v>
      </c>
      <c r="S89" s="13" t="inlineStr">
        <is>
          <t>Full-line hypermarket, independent tenant from Cencosud AR banners.</t>
        </is>
      </c>
      <c r="T89" s="13" t="inlineStr"/>
    </row>
    <row r="90">
      <c r="A90" s="13" t="inlineStr">
        <is>
          <t>lac</t>
        </is>
      </c>
      <c r="B90" s="13" t="inlineStr">
        <is>
          <t>mexico</t>
        </is>
      </c>
      <c r="C90" s="13" t="inlineStr">
        <is>
          <t>Chedraui</t>
        </is>
      </c>
      <c r="D90" s="13" t="inlineStr">
        <is>
          <t>https://www.chedraui.com.mx/</t>
        </is>
      </c>
      <c r="E90" s="13" t="inlineStr">
        <is>
          <t>TIER_1B</t>
        </is>
      </c>
      <c r="F90" s="13" t="inlineStr">
        <is>
          <t>low</t>
        </is>
      </c>
      <c r="G90" s="13" t="inlineStr">
        <is>
          <t>Wave 2</t>
        </is>
      </c>
      <c r="H90" s="13" t="inlineStr">
        <is>
          <t>spider</t>
        </is>
      </c>
      <c r="I90" s="13" t="inlineStr">
        <is>
          <t>Generic VTEX spider (/api/catalog_system/pub/products/search) - fall back to the *.myvtex.com origin host</t>
        </is>
      </c>
      <c r="J90" s="13" t="inlineStr">
        <is>
          <t>E_vtex</t>
        </is>
      </c>
      <c r="K90" s="13" t="inlineStr">
        <is>
          <t>VTEX</t>
        </is>
      </c>
      <c r="L90" s="13" t="inlineStr">
        <is>
          <t>retailer_sku</t>
        </is>
      </c>
      <c r="M90" s="13" t="inlineStr">
        <is>
          <t>supermarket</t>
        </is>
      </c>
      <c r="N90" s="13" t="inlineStr">
        <is>
          <t>MXN</t>
        </is>
      </c>
      <c r="O90" s="13" t="n">
        <v>160</v>
      </c>
      <c r="P90" s="13" t="inlineStr">
        <is>
          <t>/api/catalog_system/pub/products/search</t>
        </is>
      </c>
      <c r="Q90" s="13" t="inlineStr">
        <is>
          <t>GET /api/catalog_system/pub/products/search?_from=0&amp;_to=9 -&gt; HTTP 206, 178KB JSON, 10 products. Sample: 'Tomate Saladet por kg' MXN 17.00 (items[0].sellers[0].commertialOffer.Price).</t>
        </is>
      </c>
      <c r="R90" s="13" t="b">
        <v>0</v>
      </c>
      <c r="S90" s="13" t="inlineStr">
        <is>
          <t>Full-line supermarket incl. fresh produce (Frutas y Verduras dept confirmed).</t>
        </is>
      </c>
      <c r="T90" s="13" t="inlineStr"/>
    </row>
    <row r="91">
      <c r="A91" s="13" t="inlineStr">
        <is>
          <t>lac</t>
        </is>
      </c>
      <c r="B91" s="13" t="inlineStr">
        <is>
          <t>guatemala</t>
        </is>
      </c>
      <c r="C91" s="13" t="inlineStr">
        <is>
          <t>Paiz</t>
        </is>
      </c>
      <c r="D91" s="13" t="inlineStr">
        <is>
          <t>https://www.paiz.com.gt/</t>
        </is>
      </c>
      <c r="E91" s="13" t="inlineStr">
        <is>
          <t>TIER_1B</t>
        </is>
      </c>
      <c r="F91" s="13" t="inlineStr">
        <is>
          <t>low</t>
        </is>
      </c>
      <c r="G91" s="13" t="inlineStr">
        <is>
          <t>Wave 2</t>
        </is>
      </c>
      <c r="H91" s="13" t="inlineStr">
        <is>
          <t>spider</t>
        </is>
      </c>
      <c r="I91" s="13" t="inlineStr">
        <is>
          <t>Generic VTEX spider (/api/catalog_system/pub/products/search) - fall back to the *.myvtex.com origin host</t>
        </is>
      </c>
      <c r="J91" s="13" t="inlineStr">
        <is>
          <t>E_vtex</t>
        </is>
      </c>
      <c r="K91" s="13" t="inlineStr">
        <is>
          <t>VTEX</t>
        </is>
      </c>
      <c r="L91" s="13" t="inlineStr">
        <is>
          <t>retailer_sku</t>
        </is>
      </c>
      <c r="M91" s="13" t="inlineStr">
        <is>
          <t>supermarket</t>
        </is>
      </c>
      <c r="N91" s="13" t="inlineStr">
        <is>
          <t>GTQ</t>
        </is>
      </c>
      <c r="O91" s="13" t="n">
        <v>160</v>
      </c>
      <c r="P91" s="13" t="inlineStr">
        <is>
          <t>/api/catalog_system/pub/products/search</t>
        </is>
      </c>
      <c r="Q91" s="13" t="inlineStr">
        <is>
          <t>GET /api/catalog_system/pub/products/search?_from=0&amp;_to=9 -&gt; HTTP 206, 203KB JSON. Sample: 'Separaditos Filete de Pechuga Pollo Rey - 5 lb' GTQ 198.00.</t>
        </is>
      </c>
      <c r="R91" s="13" t="b">
        <v>0</v>
      </c>
      <c r="S91" s="13" t="inlineStr">
        <is>
          <t>Walmart Centroamerica banner, full-line incl. meat.</t>
        </is>
      </c>
      <c r="T91" s="13" t="inlineStr"/>
    </row>
    <row r="92">
      <c r="A92" s="13" t="inlineStr">
        <is>
          <t>lac</t>
        </is>
      </c>
      <c r="B92" s="13" t="inlineStr">
        <is>
          <t>costa_rica</t>
        </is>
      </c>
      <c r="C92" s="13" t="inlineStr">
        <is>
          <t>Walmart / MasxMenos (Costa Rica)</t>
        </is>
      </c>
      <c r="D92" s="13" t="inlineStr">
        <is>
          <t>https://www.walmart.co.cr/</t>
        </is>
      </c>
      <c r="E92" s="13" t="inlineStr">
        <is>
          <t>TIER_1B</t>
        </is>
      </c>
      <c r="F92" s="13" t="inlineStr">
        <is>
          <t>low</t>
        </is>
      </c>
      <c r="G92" s="13" t="inlineStr">
        <is>
          <t>Wave 2</t>
        </is>
      </c>
      <c r="H92" s="13" t="inlineStr">
        <is>
          <t>spider</t>
        </is>
      </c>
      <c r="I92" s="13" t="inlineStr">
        <is>
          <t>Generic VTEX spider (/api/catalog_system/pub/products/search) - fall back to the *.myvtex.com origin host</t>
        </is>
      </c>
      <c r="J92" s="13" t="inlineStr">
        <is>
          <t>E_vtex</t>
        </is>
      </c>
      <c r="K92" s="13" t="inlineStr">
        <is>
          <t>VTEX</t>
        </is>
      </c>
      <c r="L92" s="13" t="inlineStr">
        <is>
          <t>retailer_sku</t>
        </is>
      </c>
      <c r="M92" s="13" t="inlineStr">
        <is>
          <t>supermarket</t>
        </is>
      </c>
      <c r="N92" s="13" t="inlineStr">
        <is>
          <t>CRC</t>
        </is>
      </c>
      <c r="O92" s="13" t="n">
        <v>160</v>
      </c>
      <c r="P92" s="13" t="inlineStr">
        <is>
          <t>/api/catalog_system/pub/products/search</t>
        </is>
      </c>
      <c r="Q92" s="13" t="inlineStr">
        <is>
          <t>GET /api/catalog_system/pub/products/search?_from=0&amp;_to=9 -&gt; HTTP 206, 189KB JSON. Sample: 'Huevo Gallina Precio Indicado Por Kilo Don Cristobal Marrón Cartón de 30 Uds' CRC 950.26. Same VTEX tenant/catalog also answers at masxmenos.cr (identical productId/price returned) — one probe covers both CR storefronts.</t>
        </is>
      </c>
      <c r="R92" s="13" t="b">
        <v>0</v>
      </c>
      <c r="S92" s="13" t="inlineStr">
        <is>
          <t>Walmart Centroamerica's CR banners (Walmart + MasxMenos) share one VTEX catalog.</t>
        </is>
      </c>
      <c r="T92" s="13" t="inlineStr"/>
    </row>
    <row r="93">
      <c r="A93" s="13" t="inlineStr">
        <is>
          <t>lac</t>
        </is>
      </c>
      <c r="B93" s="13" t="inlineStr">
        <is>
          <t>colombia</t>
        </is>
      </c>
      <c r="C93" s="13" t="inlineStr">
        <is>
          <t>Jumbo Colombia</t>
        </is>
      </c>
      <c r="D93" s="13" t="inlineStr">
        <is>
          <t>https://www.jumbocolombia.com/</t>
        </is>
      </c>
      <c r="E93" s="13" t="inlineStr">
        <is>
          <t>TIER_1B</t>
        </is>
      </c>
      <c r="F93" s="13" t="inlineStr">
        <is>
          <t>low</t>
        </is>
      </c>
      <c r="G93" s="13" t="inlineStr">
        <is>
          <t>Wave 2</t>
        </is>
      </c>
      <c r="H93" s="13" t="inlineStr">
        <is>
          <t>spider</t>
        </is>
      </c>
      <c r="I93" s="13" t="inlineStr">
        <is>
          <t>Generic VTEX spider (/api/catalog_system/pub/products/search) - fall back to the *.myvtex.com origin host</t>
        </is>
      </c>
      <c r="J93" s="13" t="inlineStr">
        <is>
          <t>E_vtex</t>
        </is>
      </c>
      <c r="K93" s="13" t="inlineStr">
        <is>
          <t>VTEX</t>
        </is>
      </c>
      <c r="L93" s="13" t="inlineStr">
        <is>
          <t>retailer_sku</t>
        </is>
      </c>
      <c r="M93" s="13" t="inlineStr">
        <is>
          <t>supermarket</t>
        </is>
      </c>
      <c r="N93" s="13" t="inlineStr">
        <is>
          <t>COP</t>
        </is>
      </c>
      <c r="O93" s="13" t="n">
        <v>155</v>
      </c>
      <c r="P93" s="13" t="inlineStr">
        <is>
          <t>/api/catalog_system/pub/products/search</t>
        </is>
      </c>
      <c r="Q93" s="13" t="inlineStr">
        <is>
          <t>GET https://www.jumbocolombia.com/api/catalog_system/pub/products/search?_from=0&amp;_to=9 -&gt; HTTP 206, 343098 bytes. Sample: 'Aceite Cuisine&amp;Co Mezcla Vegetal x3000Ml' COP 22890.0</t>
        </is>
      </c>
      <c r="R93" s="13" t="b">
        <v>0</v>
      </c>
      <c r="S93" s="13" t="inlineStr">
        <is>
          <t>Cencosud CO flagship hypermarket, full-line.</t>
        </is>
      </c>
      <c r="T93" s="13" t="inlineStr"/>
    </row>
    <row r="94">
      <c r="A94" s="13" t="inlineStr">
        <is>
          <t>lac</t>
        </is>
      </c>
      <c r="B94" s="13" t="inlineStr">
        <is>
          <t>honduras</t>
        </is>
      </c>
      <c r="C94" s="13" t="inlineStr">
        <is>
          <t>Walmart (Honduras)</t>
        </is>
      </c>
      <c r="D94" s="13" t="inlineStr">
        <is>
          <t>https://www.walmart.com.hn/</t>
        </is>
      </c>
      <c r="E94" s="13" t="inlineStr">
        <is>
          <t>TIER_1B</t>
        </is>
      </c>
      <c r="F94" s="13" t="inlineStr">
        <is>
          <t>low</t>
        </is>
      </c>
      <c r="G94" s="13" t="inlineStr">
        <is>
          <t>Wave 2</t>
        </is>
      </c>
      <c r="H94" s="13" t="inlineStr">
        <is>
          <t>spider</t>
        </is>
      </c>
      <c r="I94" s="13" t="inlineStr">
        <is>
          <t>Generic VTEX spider (/api/catalog_system/pub/products/search) - fall back to the *.myvtex.com origin host</t>
        </is>
      </c>
      <c r="J94" s="13" t="inlineStr">
        <is>
          <t>E_vtex</t>
        </is>
      </c>
      <c r="K94" s="13" t="inlineStr">
        <is>
          <t>VTEX</t>
        </is>
      </c>
      <c r="L94" s="13" t="inlineStr">
        <is>
          <t>retailer_sku</t>
        </is>
      </c>
      <c r="M94" s="13" t="inlineStr">
        <is>
          <t>supermarket</t>
        </is>
      </c>
      <c r="N94" s="13" t="inlineStr">
        <is>
          <t>HNL</t>
        </is>
      </c>
      <c r="O94" s="13" t="n">
        <v>155</v>
      </c>
      <c r="P94" s="13" t="inlineStr">
        <is>
          <t>/api/catalog_system/pub/products/search</t>
        </is>
      </c>
      <c r="Q94" s="13" t="inlineStr">
        <is>
          <t>GET /api/catalog_system/pub/products/search?_from=0&amp;_to=9 -&gt; HTTP 206, 142KB JSON. Sample: 'Banano Maduro Selección Especial - 3 Unidades Por Libra' HNL 10.00.</t>
        </is>
      </c>
      <c r="R94" s="13" t="b">
        <v>0</v>
      </c>
      <c r="S94" s="13" t="inlineStr">
        <is>
          <t>Full-line, fresh produce confirmed at index 0.</t>
        </is>
      </c>
      <c r="T94" s="13" t="inlineStr"/>
    </row>
    <row r="95">
      <c r="A95" s="13" t="inlineStr">
        <is>
          <t>lac</t>
        </is>
      </c>
      <c r="B95" s="13" t="inlineStr">
        <is>
          <t>el_salvador</t>
        </is>
      </c>
      <c r="C95" s="13" t="inlineStr">
        <is>
          <t>Walmart (El Salvador / Walmart Centroamerica)</t>
        </is>
      </c>
      <c r="D95" s="13" t="inlineStr">
        <is>
          <t>https://www.walmart.com.sv/</t>
        </is>
      </c>
      <c r="E95" s="13" t="inlineStr">
        <is>
          <t>TIER_1B</t>
        </is>
      </c>
      <c r="F95" s="13" t="inlineStr">
        <is>
          <t>low</t>
        </is>
      </c>
      <c r="G95" s="13" t="inlineStr">
        <is>
          <t>Wave 2</t>
        </is>
      </c>
      <c r="H95" s="13" t="inlineStr">
        <is>
          <t>spider</t>
        </is>
      </c>
      <c r="I95" s="13" t="inlineStr">
        <is>
          <t>Generic VTEX spider (/api/catalog_system/pub/products/search) - fall back to the *.myvtex.com origin host</t>
        </is>
      </c>
      <c r="J95" s="13" t="inlineStr">
        <is>
          <t>E_vtex</t>
        </is>
      </c>
      <c r="K95" s="13" t="inlineStr">
        <is>
          <t>VTEX</t>
        </is>
      </c>
      <c r="L95" s="13" t="inlineStr">
        <is>
          <t>retailer_sku</t>
        </is>
      </c>
      <c r="M95" s="13" t="inlineStr">
        <is>
          <t>supermarket</t>
        </is>
      </c>
      <c r="N95" s="13" t="inlineStr">
        <is>
          <t>USD</t>
        </is>
      </c>
      <c r="O95" s="13" t="n">
        <v>155</v>
      </c>
      <c r="P95" s="13" t="inlineStr">
        <is>
          <t>/api/catalog_system/pub/products/search</t>
        </is>
      </c>
      <c r="Q95" s="13" t="inlineStr">
        <is>
          <t>GET /api/catalog_system/pub/products/search?_from=0&amp;_to=9 -&gt; HTTP 206, 210KB JSON. Sample: 'Carne Molida Don Cristobal Especial - Precio Indicado Por Libra (454 g)' USD 3.70.</t>
        </is>
      </c>
      <c r="R95" s="13" t="b">
        <v>0</v>
      </c>
      <c r="S95" s="13" t="inlineStr">
        <is>
          <t>Full-line, meat confirmed. El Salvador uses USD.</t>
        </is>
      </c>
      <c r="T95" s="13" t="inlineStr"/>
    </row>
    <row r="96">
      <c r="A96" s="13" t="inlineStr">
        <is>
          <t>lac</t>
        </is>
      </c>
      <c r="B96" s="13" t="inlineStr">
        <is>
          <t>argentina</t>
        </is>
      </c>
      <c r="C96" s="13" t="inlineStr">
        <is>
          <t>Disco</t>
        </is>
      </c>
      <c r="D96" s="13" t="inlineStr">
        <is>
          <t>https://www.disco.com.ar/</t>
        </is>
      </c>
      <c r="E96" s="13" t="inlineStr">
        <is>
          <t>TIER_1B</t>
        </is>
      </c>
      <c r="F96" s="13" t="inlineStr">
        <is>
          <t>low</t>
        </is>
      </c>
      <c r="G96" s="13" t="inlineStr">
        <is>
          <t>Wave 2</t>
        </is>
      </c>
      <c r="H96" s="13" t="inlineStr">
        <is>
          <t>spider</t>
        </is>
      </c>
      <c r="I96" s="13" t="inlineStr">
        <is>
          <t>Generic VTEX spider (/api/catalog_system/pub/products/search) - fall back to the *.myvtex.com origin host</t>
        </is>
      </c>
      <c r="J96" s="13" t="inlineStr">
        <is>
          <t>E_vtex</t>
        </is>
      </c>
      <c r="K96" s="13" t="inlineStr">
        <is>
          <t>VTEX</t>
        </is>
      </c>
      <c r="L96" s="13" t="inlineStr">
        <is>
          <t>retailer_sku</t>
        </is>
      </c>
      <c r="M96" s="13" t="inlineStr">
        <is>
          <t>supermarket</t>
        </is>
      </c>
      <c r="N96" s="13" t="inlineStr">
        <is>
          <t>ARS</t>
        </is>
      </c>
      <c r="O96" s="13" t="n">
        <v>150</v>
      </c>
      <c r="P96" s="13" t="inlineStr">
        <is>
          <t>/api/catalog_system/pub/products/search</t>
        </is>
      </c>
      <c r="Q96" s="13" t="inlineStr">
        <is>
          <t>GET https://www.disco.com.ar/api/catalog_system/pub/products/search?_from=0&amp;_to=9 -&gt; HTTP 206, 240578 bytes. Sample: 'Cebolla Superior Por Kg' ARS 2599.0 (same catalog feed as Jumbo AR)</t>
        </is>
      </c>
      <c r="R96" s="13" t="b">
        <v>0</v>
      </c>
      <c r="S96" s="13" t="inlineStr">
        <is>
          <t>Same VTEX tenant/account family as Jumbo AR and Vea (Cencosud) -- high overlap, still a distinct banner/price point.</t>
        </is>
      </c>
      <c r="T96" s="13" t="inlineStr"/>
    </row>
    <row r="97">
      <c r="A97" s="13" t="inlineStr">
        <is>
          <t>lac</t>
        </is>
      </c>
      <c r="B97" s="13" t="inlineStr">
        <is>
          <t>brazil</t>
        </is>
      </c>
      <c r="C97" s="13" t="inlineStr">
        <is>
          <t>Zona Sul</t>
        </is>
      </c>
      <c r="D97" s="13" t="inlineStr">
        <is>
          <t>https://www.zonasul.com.br/</t>
        </is>
      </c>
      <c r="E97" s="13" t="inlineStr">
        <is>
          <t>TIER_1B</t>
        </is>
      </c>
      <c r="F97" s="13" t="inlineStr">
        <is>
          <t>low</t>
        </is>
      </c>
      <c r="G97" s="13" t="inlineStr">
        <is>
          <t>Wave 2</t>
        </is>
      </c>
      <c r="H97" s="13" t="inlineStr">
        <is>
          <t>spider</t>
        </is>
      </c>
      <c r="I97" s="13" t="inlineStr">
        <is>
          <t>Generic VTEX spider (/api/catalog_system/pub/products/search) - fall back to the *.myvtex.com origin host</t>
        </is>
      </c>
      <c r="J97" s="13" t="inlineStr">
        <is>
          <t>E_vtex</t>
        </is>
      </c>
      <c r="K97" s="13" t="inlineStr">
        <is>
          <t>VTEX</t>
        </is>
      </c>
      <c r="L97" s="13" t="inlineStr">
        <is>
          <t>retailer_sku</t>
        </is>
      </c>
      <c r="M97" s="13" t="inlineStr">
        <is>
          <t>supermarket</t>
        </is>
      </c>
      <c r="N97" s="13" t="inlineStr">
        <is>
          <t>BRL</t>
        </is>
      </c>
      <c r="O97" s="13" t="n">
        <v>150</v>
      </c>
      <c r="P97" s="13" t="inlineStr">
        <is>
          <t>/api/catalog_system/pub/products/search</t>
        </is>
      </c>
      <c r="Q97" s="13" t="inlineStr">
        <is>
          <t>GET https://www.zonasul.com.br/api/catalog_system/pub/products/search?_from=0&amp;_to=9 -&gt; HTTP 206, 160088 bytes. Sample: 'Arroz Branco Tio Joao 1kg' BRL 5.59</t>
        </is>
      </c>
      <c r="R97" s="13" t="b">
        <v>0</v>
      </c>
      <c r="S97" s="13" t="inlineStr">
        <is>
          <t>Premium full-line Rio de Janeiro chain (Grupo Bahamas).</t>
        </is>
      </c>
      <c r="T97" s="13" t="inlineStr"/>
    </row>
    <row r="98">
      <c r="A98" s="13" t="inlineStr">
        <is>
          <t>lac</t>
        </is>
      </c>
      <c r="B98" s="13" t="inlineStr">
        <is>
          <t>brazil</t>
        </is>
      </c>
      <c r="C98" s="13" t="inlineStr">
        <is>
          <t>Savegnago</t>
        </is>
      </c>
      <c r="D98" s="13" t="inlineStr">
        <is>
          <t>https://www.savegnago.com.br/</t>
        </is>
      </c>
      <c r="E98" s="13" t="inlineStr">
        <is>
          <t>TIER_1B</t>
        </is>
      </c>
      <c r="F98" s="13" t="inlineStr">
        <is>
          <t>low</t>
        </is>
      </c>
      <c r="G98" s="13" t="inlineStr">
        <is>
          <t>Wave 2</t>
        </is>
      </c>
      <c r="H98" s="13" t="inlineStr">
        <is>
          <t>spider</t>
        </is>
      </c>
      <c r="I98" s="13" t="inlineStr">
        <is>
          <t>Generic VTEX spider (/api/catalog_system/pub/products/search) - fall back to the *.myvtex.com origin host</t>
        </is>
      </c>
      <c r="J98" s="13" t="inlineStr">
        <is>
          <t>E_vtex</t>
        </is>
      </c>
      <c r="K98" s="13" t="inlineStr">
        <is>
          <t>VTEX</t>
        </is>
      </c>
      <c r="L98" s="13" t="inlineStr">
        <is>
          <t>retailer_sku</t>
        </is>
      </c>
      <c r="M98" s="13" t="inlineStr">
        <is>
          <t>supermarket</t>
        </is>
      </c>
      <c r="N98" s="13" t="inlineStr">
        <is>
          <t>BRL</t>
        </is>
      </c>
      <c r="O98" s="13" t="n">
        <v>150</v>
      </c>
      <c r="P98" s="13" t="inlineStr">
        <is>
          <t>/api/catalog_system/pub/products/search</t>
        </is>
      </c>
      <c r="Q98" s="13" t="inlineStr">
        <is>
          <t>GET https://www.savegnago.com.br/api/catalog_system/pub/products/search?_from=0&amp;_to=9 -&gt; HTTP 206, 193089 bytes. Sample: 'Tomate Italiano 1kg' BRL 4.45</t>
        </is>
      </c>
      <c r="R98" s="13" t="b">
        <v>0</v>
      </c>
      <c r="S98" s="13" t="inlineStr">
        <is>
          <t>Sao Paulo interior full-line chain, fresh produce confirmed.</t>
        </is>
      </c>
      <c r="T98" s="13" t="inlineStr"/>
    </row>
    <row r="99">
      <c r="A99" s="13" t="inlineStr">
        <is>
          <t>lac</t>
        </is>
      </c>
      <c r="B99" s="13" t="inlineStr">
        <is>
          <t>uruguay</t>
        </is>
      </c>
      <c r="C99" s="13" t="inlineStr">
        <is>
          <t>El Dorado</t>
        </is>
      </c>
      <c r="D99" s="13" t="inlineStr">
        <is>
          <t>https://www.eldorado.com.uy/</t>
        </is>
      </c>
      <c r="E99" s="13" t="inlineStr">
        <is>
          <t>TIER_1B</t>
        </is>
      </c>
      <c r="F99" s="13" t="inlineStr">
        <is>
          <t>low</t>
        </is>
      </c>
      <c r="G99" s="13" t="inlineStr">
        <is>
          <t>Wave 2</t>
        </is>
      </c>
      <c r="H99" s="13" t="inlineStr">
        <is>
          <t>spider</t>
        </is>
      </c>
      <c r="I99" s="13" t="inlineStr">
        <is>
          <t>Generic VTEX spider (/api/catalog_system/pub/products/search) - fall back to the *.myvtex.com origin host</t>
        </is>
      </c>
      <c r="J99" s="13" t="inlineStr">
        <is>
          <t>E_vtex</t>
        </is>
      </c>
      <c r="K99" s="13" t="inlineStr">
        <is>
          <t>VTEX</t>
        </is>
      </c>
      <c r="L99" s="13" t="inlineStr">
        <is>
          <t>retailer_sku</t>
        </is>
      </c>
      <c r="M99" s="13" t="inlineStr">
        <is>
          <t>supermarket</t>
        </is>
      </c>
      <c r="N99" s="13" t="inlineStr">
        <is>
          <t>UYU</t>
        </is>
      </c>
      <c r="O99" s="13" t="n">
        <v>150</v>
      </c>
      <c r="P99" s="13" t="inlineStr">
        <is>
          <t>/api/catalog_system/pub/products/search</t>
        </is>
      </c>
      <c r="Q99" s="13" t="inlineStr">
        <is>
          <t>GET https://www.eldorado.com.uy/api/catalog_system/pub/products/search?_from=0&amp;_to=9 -&gt; HTTP 206, 126380 bytes. Sample: 'Banana Boliviana Kg (3430)' UYU 79.0</t>
        </is>
      </c>
      <c r="R99" s="13" t="b">
        <v>0</v>
      </c>
      <c r="S99" s="13" t="inlineStr">
        <is>
          <t>Full-line Uruguayan chain, fresh produce confirmed (banana).</t>
        </is>
      </c>
      <c r="T99" s="13" t="inlineStr"/>
    </row>
    <row r="100">
      <c r="A100" s="13" t="inlineStr">
        <is>
          <t>lac</t>
        </is>
      </c>
      <c r="B100" s="13" t="inlineStr">
        <is>
          <t>guatemala</t>
        </is>
      </c>
      <c r="C100" s="13" t="inlineStr">
        <is>
          <t>La Torre</t>
        </is>
      </c>
      <c r="D100" s="13" t="inlineStr">
        <is>
          <t>https://www.latorre.com.gt/</t>
        </is>
      </c>
      <c r="E100" s="13" t="inlineStr">
        <is>
          <t>TIER_1B</t>
        </is>
      </c>
      <c r="F100" s="13" t="inlineStr">
        <is>
          <t>low</t>
        </is>
      </c>
      <c r="G100" s="13" t="inlineStr">
        <is>
          <t>Wave 2</t>
        </is>
      </c>
      <c r="H100" s="13" t="inlineStr">
        <is>
          <t>spider</t>
        </is>
      </c>
      <c r="I100" s="13" t="inlineStr">
        <is>
          <t>Generic VTEX spider (/api/catalog_system/pub/products/search) - fall back to the *.myvtex.com origin host</t>
        </is>
      </c>
      <c r="J100" s="13" t="inlineStr">
        <is>
          <t>E_vtex</t>
        </is>
      </c>
      <c r="K100" s="13" t="inlineStr">
        <is>
          <t>VTEX</t>
        </is>
      </c>
      <c r="L100" s="13" t="inlineStr">
        <is>
          <t>retailer_sku</t>
        </is>
      </c>
      <c r="M100" s="13" t="inlineStr">
        <is>
          <t>supermarket</t>
        </is>
      </c>
      <c r="N100" s="13" t="inlineStr">
        <is>
          <t>GTQ</t>
        </is>
      </c>
      <c r="O100" s="13" t="n">
        <v>150</v>
      </c>
      <c r="P100" s="13" t="inlineStr">
        <is>
          <t>/api/catalog_system/pub/products/search</t>
        </is>
      </c>
      <c r="Q100" s="13" t="inlineStr">
        <is>
          <t>GET /api/catalog_system/pub/products/search?_from=0&amp;_to=9 -&gt; HTTP 206, 73.6KB JSON. Sample: 'Huevos Blancos Fátima' GTQ 46.40.</t>
        </is>
      </c>
      <c r="R100" s="13" t="b">
        <v>0</v>
      </c>
      <c r="S100" s="13" t="inlineStr">
        <is>
          <t>Premium GT chain, full-line.</t>
        </is>
      </c>
      <c r="T100" s="13" t="inlineStr"/>
    </row>
    <row r="101">
      <c r="A101" s="13" t="inlineStr">
        <is>
          <t>lac</t>
        </is>
      </c>
      <c r="B101" s="13" t="inlineStr">
        <is>
          <t>nicaragua</t>
        </is>
      </c>
      <c r="C101" s="13" t="inlineStr">
        <is>
          <t>Walmart (Nicaragua)</t>
        </is>
      </c>
      <c r="D101" s="13" t="inlineStr">
        <is>
          <t>https://www.walmart.com.ni/</t>
        </is>
      </c>
      <c r="E101" s="13" t="inlineStr">
        <is>
          <t>TIER_1B</t>
        </is>
      </c>
      <c r="F101" s="13" t="inlineStr">
        <is>
          <t>low</t>
        </is>
      </c>
      <c r="G101" s="13" t="inlineStr">
        <is>
          <t>Wave 2</t>
        </is>
      </c>
      <c r="H101" s="13" t="inlineStr">
        <is>
          <t>spider</t>
        </is>
      </c>
      <c r="I101" s="13" t="inlineStr">
        <is>
          <t>Generic VTEX spider (/api/catalog_system/pub/products/search) - fall back to the *.myvtex.com origin host</t>
        </is>
      </c>
      <c r="J101" s="13" t="inlineStr">
        <is>
          <t>E_vtex</t>
        </is>
      </c>
      <c r="K101" s="13" t="inlineStr">
        <is>
          <t>VTEX</t>
        </is>
      </c>
      <c r="L101" s="13" t="inlineStr">
        <is>
          <t>retailer_sku</t>
        </is>
      </c>
      <c r="M101" s="13" t="inlineStr">
        <is>
          <t>supermarket</t>
        </is>
      </c>
      <c r="N101" s="13" t="inlineStr">
        <is>
          <t>NIO</t>
        </is>
      </c>
      <c r="O101" s="13" t="n">
        <v>150</v>
      </c>
      <c r="P101" s="13" t="inlineStr">
        <is>
          <t>/api/catalog_system/pub/products/search</t>
        </is>
      </c>
      <c r="Q101" s="13" t="inlineStr">
        <is>
          <t>GET /api/catalog_system/pub/products/search?_from=0&amp;_to=9 -&gt; HTTP 206, 180KB JSON. Sample: 'Tomate Criollo Hortifruti 4 unidades por libra' NIO 40.00.</t>
        </is>
      </c>
      <c r="R101" s="13" t="b">
        <v>0</v>
      </c>
      <c r="S101" s="13" t="inlineStr">
        <is>
          <t>Full-line, fresh produce confirmed.</t>
        </is>
      </c>
      <c r="T101" s="13" t="inlineStr"/>
    </row>
    <row r="102">
      <c r="A102" s="13" t="inlineStr">
        <is>
          <t>lac</t>
        </is>
      </c>
      <c r="B102" s="13" t="inlineStr">
        <is>
          <t>brazil</t>
        </is>
      </c>
      <c r="C102" s="13" t="inlineStr">
        <is>
          <t>Mambo</t>
        </is>
      </c>
      <c r="D102" s="13" t="inlineStr">
        <is>
          <t>https://www.mambo.com.br/</t>
        </is>
      </c>
      <c r="E102" s="13" t="inlineStr">
        <is>
          <t>TIER_1B</t>
        </is>
      </c>
      <c r="F102" s="13" t="inlineStr">
        <is>
          <t>low</t>
        </is>
      </c>
      <c r="G102" s="13" t="inlineStr">
        <is>
          <t>Wave 2</t>
        </is>
      </c>
      <c r="H102" s="13" t="inlineStr">
        <is>
          <t>spider</t>
        </is>
      </c>
      <c r="I102" s="13" t="inlineStr">
        <is>
          <t>Generic VTEX spider (/api/catalog_system/pub/products/search) - fall back to the *.myvtex.com origin host</t>
        </is>
      </c>
      <c r="J102" s="13" t="inlineStr">
        <is>
          <t>E_vtex</t>
        </is>
      </c>
      <c r="K102" s="13" t="inlineStr">
        <is>
          <t>VTEX</t>
        </is>
      </c>
      <c r="L102" s="13" t="inlineStr">
        <is>
          <t>retailer_sku</t>
        </is>
      </c>
      <c r="M102" s="13" t="inlineStr">
        <is>
          <t>supermarket</t>
        </is>
      </c>
      <c r="N102" s="13" t="inlineStr">
        <is>
          <t>BRL</t>
        </is>
      </c>
      <c r="O102" s="13" t="n">
        <v>140</v>
      </c>
      <c r="P102" s="13" t="inlineStr">
        <is>
          <t>/api/catalog_system/pub/products/search</t>
        </is>
      </c>
      <c r="Q102" s="13" t="inlineStr">
        <is>
          <t>GET https://www.mambo.com.br/api/catalog_system/pub/products/search?_from=0&amp;_to=9 -&gt; HTTP 206, 108831 bytes. Sample: 'Cebola Nacional Kg' BRL 8.99</t>
        </is>
      </c>
      <c r="R102" s="13" t="b">
        <v>0</v>
      </c>
      <c r="S102" s="13" t="inlineStr">
        <is>
          <t>Sao Paulo interior full-line chain, fresh produce confirmed.</t>
        </is>
      </c>
      <c r="T102" s="13" t="inlineStr"/>
    </row>
    <row r="103">
      <c r="A103" s="13" t="inlineStr">
        <is>
          <t>lac</t>
        </is>
      </c>
      <c r="B103" s="13" t="inlineStr">
        <is>
          <t>nicaragua</t>
        </is>
      </c>
      <c r="C103" s="13" t="inlineStr">
        <is>
          <t>La Union</t>
        </is>
      </c>
      <c r="D103" s="13" t="inlineStr">
        <is>
          <t>https://www.launion.com.ni/</t>
        </is>
      </c>
      <c r="E103" s="13" t="inlineStr">
        <is>
          <t>TIER_1B</t>
        </is>
      </c>
      <c r="F103" s="13" t="inlineStr">
        <is>
          <t>low</t>
        </is>
      </c>
      <c r="G103" s="13" t="inlineStr">
        <is>
          <t>Wave 2</t>
        </is>
      </c>
      <c r="H103" s="13" t="inlineStr">
        <is>
          <t>spider</t>
        </is>
      </c>
      <c r="I103" s="13" t="inlineStr">
        <is>
          <t>Generic VTEX spider (/api/catalog_system/pub/products/search) - fall back to the *.myvtex.com origin host</t>
        </is>
      </c>
      <c r="J103" s="13" t="inlineStr">
        <is>
          <t>E_vtex</t>
        </is>
      </c>
      <c r="K103" s="13" t="inlineStr">
        <is>
          <t>VTEX</t>
        </is>
      </c>
      <c r="L103" s="13" t="inlineStr">
        <is>
          <t>retailer_sku</t>
        </is>
      </c>
      <c r="M103" s="13" t="inlineStr">
        <is>
          <t>supermarket</t>
        </is>
      </c>
      <c r="N103" s="13" t="inlineStr">
        <is>
          <t>NIO</t>
        </is>
      </c>
      <c r="O103" s="13" t="n">
        <v>140</v>
      </c>
      <c r="P103" s="13" t="inlineStr">
        <is>
          <t>/api/catalog_system/pub/products/search</t>
        </is>
      </c>
      <c r="Q103" s="13" t="inlineStr">
        <is>
          <t>GET /api/catalog_system/pub/products/search?_from=0&amp;_to=9 -&gt; HTTP 206, 171KB JSON. Sample: 'Filete Pechuga Pollo Sin Piel - 1Lb' NIO 132.00.</t>
        </is>
      </c>
      <c r="R103" s="13" t="b">
        <v>0</v>
      </c>
      <c r="S103" s="13" t="inlineStr">
        <is>
          <t>Second independent VTEX tenant for NI (not the Walmart-CA one), meat confirmed.</t>
        </is>
      </c>
      <c r="T103" s="13" t="inlineStr"/>
    </row>
    <row r="104">
      <c r="A104" s="13" t="inlineStr">
        <is>
          <t>lac</t>
        </is>
      </c>
      <c r="B104" s="13" t="inlineStr">
        <is>
          <t>argentina</t>
        </is>
      </c>
      <c r="C104" s="13" t="inlineStr">
        <is>
          <t>Vea</t>
        </is>
      </c>
      <c r="D104" s="13" t="inlineStr">
        <is>
          <t>https://www.vea.com.ar/</t>
        </is>
      </c>
      <c r="E104" s="13" t="inlineStr">
        <is>
          <t>TIER_1B</t>
        </is>
      </c>
      <c r="F104" s="13" t="inlineStr">
        <is>
          <t>low</t>
        </is>
      </c>
      <c r="G104" s="13" t="inlineStr">
        <is>
          <t>Wave 2</t>
        </is>
      </c>
      <c r="H104" s="13" t="inlineStr">
        <is>
          <t>spider</t>
        </is>
      </c>
      <c r="I104" s="13" t="inlineStr">
        <is>
          <t>Generic VTEX spider (/api/catalog_system/pub/products/search) - fall back to the *.myvtex.com origin host</t>
        </is>
      </c>
      <c r="J104" s="13" t="inlineStr">
        <is>
          <t>E_vtex</t>
        </is>
      </c>
      <c r="K104" s="13" t="inlineStr">
        <is>
          <t>VTEX</t>
        </is>
      </c>
      <c r="L104" s="13" t="inlineStr">
        <is>
          <t>retailer_sku</t>
        </is>
      </c>
      <c r="M104" s="13" t="inlineStr">
        <is>
          <t>supermarket</t>
        </is>
      </c>
      <c r="N104" s="13" t="inlineStr">
        <is>
          <t>ARS</t>
        </is>
      </c>
      <c r="O104" s="13" t="n">
        <v>130</v>
      </c>
      <c r="P104" s="13" t="inlineStr">
        <is>
          <t>/api/catalog_system/pub/products/search</t>
        </is>
      </c>
      <c r="Q104" s="13" t="inlineStr">
        <is>
          <t>GET https://www.vea.com.ar/api/catalog_system/pub/products/search?_from=0&amp;_to=9 -&gt; HTTP 206, 313466 bytes. Sample: 'Azucar 1 Kg Azucel' ARS 1390.0</t>
        </is>
      </c>
      <c r="R104" s="13" t="b">
        <v>0</v>
      </c>
      <c r="S104" s="13" t="inlineStr">
        <is>
          <t>Cencosud discount banner, same tenant as Jumbo/Disco AR.</t>
        </is>
      </c>
      <c r="T104" s="13" t="inlineStr"/>
    </row>
    <row r="105">
      <c r="A105" s="13" t="inlineStr">
        <is>
          <t>lac</t>
        </is>
      </c>
      <c r="B105" s="13" t="inlineStr">
        <is>
          <t>colombia</t>
        </is>
      </c>
      <c r="C105" s="13" t="inlineStr">
        <is>
          <t>Euro Supermercados</t>
        </is>
      </c>
      <c r="D105" s="13" t="inlineStr">
        <is>
          <t>https://www.eurosupermercados.com.co/</t>
        </is>
      </c>
      <c r="E105" s="13" t="inlineStr">
        <is>
          <t>TIER_1B</t>
        </is>
      </c>
      <c r="F105" s="13" t="inlineStr">
        <is>
          <t>low</t>
        </is>
      </c>
      <c r="G105" s="13" t="inlineStr">
        <is>
          <t>Wave 2</t>
        </is>
      </c>
      <c r="H105" s="13" t="inlineStr">
        <is>
          <t>spider</t>
        </is>
      </c>
      <c r="I105" s="13" t="inlineStr">
        <is>
          <t>Generic VTEX spider (/api/catalog_system/pub/products/search) - fall back to the *.myvtex.com origin host</t>
        </is>
      </c>
      <c r="J105" s="13" t="inlineStr">
        <is>
          <t>E_vtex</t>
        </is>
      </c>
      <c r="K105" s="13" t="inlineStr">
        <is>
          <t>VTEX</t>
        </is>
      </c>
      <c r="L105" s="13" t="inlineStr">
        <is>
          <t>retailer_sku</t>
        </is>
      </c>
      <c r="M105" s="13" t="inlineStr">
        <is>
          <t>supermarket</t>
        </is>
      </c>
      <c r="N105" s="13" t="inlineStr">
        <is>
          <t>COP</t>
        </is>
      </c>
      <c r="O105" s="13" t="n">
        <v>130</v>
      </c>
      <c r="P105" s="13" t="inlineStr">
        <is>
          <t>/api/catalog_system/pub/products/search</t>
        </is>
      </c>
      <c r="Q105" s="13" t="inlineStr">
        <is>
          <t>GET https://www.eurosupermercados.com.co/api/catalog_system/pub/products/search?_from=0&amp;_to=9 -&gt; HTTP 206, 635311 bytes. Sample: 'BOLSA PLASTICA' COP 200.0</t>
        </is>
      </c>
      <c r="R105" s="13" t="b">
        <v>0</v>
      </c>
      <c r="S105" s="13" t="inlineStr">
        <is>
          <t>Mid-tier Colombian grocery chain with home delivery.</t>
        </is>
      </c>
      <c r="T105" s="13" t="inlineStr"/>
    </row>
    <row r="106">
      <c r="A106" s="13" t="inlineStr">
        <is>
          <t>lac</t>
        </is>
      </c>
      <c r="B106" s="13" t="inlineStr">
        <is>
          <t>guatemala</t>
        </is>
      </c>
      <c r="C106" s="13" t="inlineStr">
        <is>
          <t>MaxiDespensa</t>
        </is>
      </c>
      <c r="D106" s="13" t="inlineStr">
        <is>
          <t>https://www.maxidespensa.com.gt/</t>
        </is>
      </c>
      <c r="E106" s="13" t="inlineStr">
        <is>
          <t>TIER_1B</t>
        </is>
      </c>
      <c r="F106" s="13" t="inlineStr">
        <is>
          <t>low</t>
        </is>
      </c>
      <c r="G106" s="13" t="inlineStr">
        <is>
          <t>Wave 2</t>
        </is>
      </c>
      <c r="H106" s="13" t="inlineStr">
        <is>
          <t>spider</t>
        </is>
      </c>
      <c r="I106" s="13" t="inlineStr">
        <is>
          <t>Generic VTEX spider (/api/catalog_system/pub/products/search) - fall back to the *.myvtex.com origin host</t>
        </is>
      </c>
      <c r="J106" s="13" t="inlineStr">
        <is>
          <t>E_vtex</t>
        </is>
      </c>
      <c r="K106" s="13" t="inlineStr">
        <is>
          <t>VTEX</t>
        </is>
      </c>
      <c r="L106" s="13" t="inlineStr">
        <is>
          <t>retailer_sku</t>
        </is>
      </c>
      <c r="M106" s="13" t="inlineStr">
        <is>
          <t>supermarket</t>
        </is>
      </c>
      <c r="N106" s="13" t="inlineStr">
        <is>
          <t>GTQ</t>
        </is>
      </c>
      <c r="O106" s="13" t="n">
        <v>130</v>
      </c>
      <c r="P106" s="13" t="inlineStr">
        <is>
          <t>/api/catalog_system/pub/products/search</t>
        </is>
      </c>
      <c r="Q106" s="13" t="inlineStr">
        <is>
          <t>GET /api/catalog_system/pub/products/search?_from=0&amp;_to=9 -&gt; HTTP 206, 175KB JSON. Sample: 'Tomate De Cocina En Red 3 Libras' GTQ 5.40.</t>
        </is>
      </c>
      <c r="R106" s="13" t="b">
        <v>0</v>
      </c>
      <c r="S106" s="13" t="inlineStr">
        <is>
          <t>Bodega-format Walmart banner, fresh produce confirmed.</t>
        </is>
      </c>
      <c r="T106" s="13" t="inlineStr"/>
    </row>
    <row r="107">
      <c r="A107" s="13" t="inlineStr">
        <is>
          <t>lac</t>
        </is>
      </c>
      <c r="B107" s="13" t="inlineStr">
        <is>
          <t>argentina</t>
        </is>
      </c>
      <c r="C107" s="13" t="inlineStr">
        <is>
          <t>Dia Argentina</t>
        </is>
      </c>
      <c r="D107" s="13" t="inlineStr">
        <is>
          <t>https://diaonline.supermercadosdia.com.ar/</t>
        </is>
      </c>
      <c r="E107" s="13" t="inlineStr">
        <is>
          <t>TIER_1B</t>
        </is>
      </c>
      <c r="F107" s="13" t="inlineStr">
        <is>
          <t>low</t>
        </is>
      </c>
      <c r="G107" s="13" t="inlineStr">
        <is>
          <t>Wave 2</t>
        </is>
      </c>
      <c r="H107" s="13" t="inlineStr">
        <is>
          <t>spider</t>
        </is>
      </c>
      <c r="I107" s="13" t="inlineStr">
        <is>
          <t>Generic VTEX spider (/api/catalog_system/pub/products/search) - fall back to the *.myvtex.com origin host</t>
        </is>
      </c>
      <c r="J107" s="13" t="inlineStr">
        <is>
          <t>E_vtex</t>
        </is>
      </c>
      <c r="K107" s="13" t="inlineStr">
        <is>
          <t>VTEX</t>
        </is>
      </c>
      <c r="L107" s="13" t="inlineStr">
        <is>
          <t>retailer_sku</t>
        </is>
      </c>
      <c r="M107" s="13" t="inlineStr">
        <is>
          <t>supermarket</t>
        </is>
      </c>
      <c r="N107" s="13" t="inlineStr">
        <is>
          <t>ARS</t>
        </is>
      </c>
      <c r="O107" s="13" t="n">
        <v>90</v>
      </c>
      <c r="P107" s="13" t="inlineStr">
        <is>
          <t>/api/catalog_system/pub/products/search</t>
        </is>
      </c>
      <c r="Q107" s="13" t="inlineStr">
        <is>
          <t>GET https://diaonline.supermercadosdia.com.ar/api/catalog_system/pub/products/search?_from=0&amp;_to=9 -&gt; HTTP 206, 173254 bytes. Sample: 'Azucar Plus DIA Comun tipo A 1 Kg.' ARS 1389.0</t>
        </is>
      </c>
      <c r="R107" s="13" t="b">
        <v>0</v>
      </c>
      <c r="S107" s="13" t="inlineStr">
        <is>
          <t>Discount/proximity format, packaged-goods heavy, thinner fresh section.</t>
        </is>
      </c>
      <c r="T107" s="13" t="inlineStr"/>
    </row>
    <row r="108">
      <c r="A108" s="13" t="inlineStr">
        <is>
          <t>ssa</t>
        </is>
      </c>
      <c r="B108" s="13" t="inlineStr">
        <is>
          <t>senegal</t>
        </is>
      </c>
      <c r="C108" s="13" t="inlineStr">
        <is>
          <t>Auchan Senegal</t>
        </is>
      </c>
      <c r="D108" s="13" t="inlineStr">
        <is>
          <t>https://www.auchan.sn/</t>
        </is>
      </c>
      <c r="E108" s="13" t="inlineStr">
        <is>
          <t>TIER_1A</t>
        </is>
      </c>
      <c r="F108" s="13" t="inlineStr">
        <is>
          <t>low</t>
        </is>
      </c>
      <c r="G108" s="13" t="inlineStr">
        <is>
          <t>Wave 2</t>
        </is>
      </c>
      <c r="H108" s="13" t="inlineStr">
        <is>
          <t>spider</t>
        </is>
      </c>
      <c r="I108" s="13" t="inlineStr">
        <is>
          <t>Generic PrestaShop spider</t>
        </is>
      </c>
      <c r="J108" s="13" t="inlineStr">
        <is>
          <t>F_prestashop</t>
        </is>
      </c>
      <c r="K108" s="13" t="inlineStr">
        <is>
          <t>PrestaShop (Elementor-themed)</t>
        </is>
      </c>
      <c r="L108" s="13" t="inlineStr">
        <is>
          <t>retailer_sku</t>
        </is>
      </c>
      <c r="M108" s="13" t="inlineStr">
        <is>
          <t>supermarket</t>
        </is>
      </c>
      <c r="N108" s="13" t="inlineStr">
        <is>
          <t>XOF</t>
        </is>
      </c>
      <c r="O108" s="13" t="n">
        <v>130</v>
      </c>
      <c r="P108" s="13" t="inlineStr">
        <is>
          <t>SSR HTML (Elementor product cards); PrestaShop cart backend at /panier</t>
        </is>
      </c>
      <c r="Q108" s="13" t="inlineStr">
        <is>
          <t>GET / -&gt; 200, 300KB. Elementor-styled frontend proxying a PrestaShop cart backend (ps_shoppingcart ajax module visible). Real product cards with prices: 'Auchan glace mini gourmands 8 batonnets chocolat 258g' -&gt; 3 290 CFA; 'AUCHAN CONE VAN CHOC X6 415,2G' -&gt; 2 250 CFA; data-price-amount confirms integer FCFA, no minor-unit division needed.</t>
        </is>
      </c>
      <c r="R108" s="13" t="b">
        <v>1</v>
      </c>
      <c r="S108" s="13" t="inlineStr">
        <is>
          <t>Modern-retail anchor with a DRIVE operation across multiple Dakar stores; homepage sample skewed frozen desserts but the operation is full-line per prior research.</t>
        </is>
      </c>
      <c r="T108" s="13" t="inlineStr"/>
    </row>
    <row r="109">
      <c r="A109" s="13" t="inlineStr">
        <is>
          <t>lac</t>
        </is>
      </c>
      <c r="B109" s="13" t="inlineStr">
        <is>
          <t>guyana</t>
        </is>
      </c>
      <c r="C109" s="13" t="inlineStr">
        <is>
          <t>gtPlaza</t>
        </is>
      </c>
      <c r="D109" s="13" t="inlineStr">
        <is>
          <t>https://gtplaza.com/</t>
        </is>
      </c>
      <c r="E109" s="13" t="inlineStr">
        <is>
          <t>TIER_1A</t>
        </is>
      </c>
      <c r="F109" s="13" t="inlineStr">
        <is>
          <t>low</t>
        </is>
      </c>
      <c r="G109" s="13" t="inlineStr">
        <is>
          <t>Wave 2</t>
        </is>
      </c>
      <c r="H109" s="13" t="inlineStr">
        <is>
          <t>spider</t>
        </is>
      </c>
      <c r="I109" s="13" t="inlineStr">
        <is>
          <t>Generic PrestaShop spider</t>
        </is>
      </c>
      <c r="J109" s="13" t="inlineStr">
        <is>
          <t>F_prestashop</t>
        </is>
      </c>
      <c r="K109" s="13" t="inlineStr">
        <is>
          <t>PrestaShop</t>
        </is>
      </c>
      <c r="L109" s="13" t="inlineStr">
        <is>
          <t>retailer_sku</t>
        </is>
      </c>
      <c r="M109" s="13" t="inlineStr">
        <is>
          <t>supermarket</t>
        </is>
      </c>
      <c r="N109" s="13" t="inlineStr">
        <is>
          <t>GYD</t>
        </is>
      </c>
      <c r="O109" s="13" t="n">
        <v>130</v>
      </c>
      <c r="P109" s="13" t="inlineStr">
        <is>
          <t>SSR HTML PrestaShop category pages (/{id}-{slug})</t>
        </is>
      </c>
      <c r="Q109" s="13" t="inlineStr">
        <is>
          <t>curl 200/34KB on a PrestaShop category page (/15-tea-coffee-and-cocoa-products). Schema.org-labelled price blocks: 'Ovaltine 300g Refill Pack' &lt;meta itemprop=priceCurrency content=GYD&gt; $860.00.</t>
        </is>
      </c>
      <c r="R109" s="13" t="b">
        <v>1</v>
      </c>
      <c r="S109" s="13" t="inlineStr">
        <is>
          <t>CSV listed platform as Custom; actually PrestaShop with clean itemprop-tagged pricing.</t>
        </is>
      </c>
      <c r="T109" s="13" t="inlineStr"/>
    </row>
    <row r="110">
      <c r="A110" s="13" t="inlineStr">
        <is>
          <t>ssa</t>
        </is>
      </c>
      <c r="B110" s="13" t="inlineStr">
        <is>
          <t>senegal</t>
        </is>
      </c>
      <c r="C110" s="13" t="inlineStr">
        <is>
          <t>Sakanal</t>
        </is>
      </c>
      <c r="D110" s="13" t="inlineStr">
        <is>
          <t>https://sakanal.sn/fr/111-epicerie</t>
        </is>
      </c>
      <c r="E110" s="13" t="inlineStr">
        <is>
          <t>TIER_1A</t>
        </is>
      </c>
      <c r="F110" s="13" t="inlineStr">
        <is>
          <t>low</t>
        </is>
      </c>
      <c r="G110" s="13" t="inlineStr">
        <is>
          <t>Wave 2</t>
        </is>
      </c>
      <c r="H110" s="13" t="inlineStr">
        <is>
          <t>spider</t>
        </is>
      </c>
      <c r="I110" s="13" t="inlineStr">
        <is>
          <t>Generic PrestaShop spider</t>
        </is>
      </c>
      <c r="J110" s="13" t="inlineStr">
        <is>
          <t>F_prestashop</t>
        </is>
      </c>
      <c r="K110" s="13" t="inlineStr">
        <is>
          <t>PrestaShop</t>
        </is>
      </c>
      <c r="L110" s="13" t="inlineStr">
        <is>
          <t>retailer_sku</t>
        </is>
      </c>
      <c r="M110" s="13" t="inlineStr">
        <is>
          <t>supermarket</t>
        </is>
      </c>
      <c r="N110" s="13" t="inlineStr">
        <is>
          <t>XOF</t>
        </is>
      </c>
      <c r="O110" s="13" t="n">
        <v>90</v>
      </c>
      <c r="P110" s="13" t="inlineStr">
        <is>
          <t>/fr/{id}-{slug} paginated category HTML</t>
        </is>
      </c>
      <c r="Q110" s="13" t="inlineStr">
        <is>
          <t>GET /fr/111-epicerie -&gt; 200, 573KB HTML, PrestaShop fingerprint confirmed. Sample prices found: '160 FCFA', '7 752 FCFA', '7 996 FCFA'.</t>
        </is>
      </c>
      <c r="R110" s="13" t="b">
        <v>1</v>
      </c>
      <c r="S110" s="13" t="inlineStr">
        <is>
          <t>Epicerie (dry-goods) category only; three price nodes per line (TTC/cash/card) per prior research -- capture all three, not just TTC headline.</t>
        </is>
      </c>
      <c r="T110" s="13" t="inlineStr"/>
    </row>
    <row r="111">
      <c r="A111" s="13" t="inlineStr">
        <is>
          <t>ssa</t>
        </is>
      </c>
      <c r="B111" s="13" t="inlineStr">
        <is>
          <t>mauritania</t>
        </is>
      </c>
      <c r="C111" s="13" t="inlineStr">
        <is>
          <t>Supermarche Galerie TATA</t>
        </is>
      </c>
      <c r="D111" s="13" t="inlineStr">
        <is>
          <t>http://galerietata.com/</t>
        </is>
      </c>
      <c r="E111" s="13" t="inlineStr">
        <is>
          <t>TIER_1A</t>
        </is>
      </c>
      <c r="F111" s="13" t="inlineStr">
        <is>
          <t>low</t>
        </is>
      </c>
      <c r="G111" s="13" t="inlineStr">
        <is>
          <t>Wave 2</t>
        </is>
      </c>
      <c r="H111" s="13" t="inlineStr">
        <is>
          <t>spider</t>
        </is>
      </c>
      <c r="I111" s="13" t="inlineStr">
        <is>
          <t>Generic PrestaShop spider</t>
        </is>
      </c>
      <c r="J111" s="13" t="inlineStr">
        <is>
          <t>F_prestashop</t>
        </is>
      </c>
      <c r="K111" s="13" t="inlineStr">
        <is>
          <t>PrestaShop</t>
        </is>
      </c>
      <c r="L111" s="13" t="inlineStr">
        <is>
          <t>retailer_sku</t>
        </is>
      </c>
      <c r="M111" s="13" t="inlineStr">
        <is>
          <t>supermarket</t>
        </is>
      </c>
      <c r="N111" s="13" t="inlineStr">
        <is>
          <t>MRU</t>
        </is>
      </c>
      <c r="O111" s="13" t="n">
        <v>90</v>
      </c>
      <c r="P111" s="13" t="inlineStr">
        <is>
          <t>PrestaShop SSR category HTML</t>
        </is>
      </c>
      <c r="Q111" s="13" t="inlineStr">
        <is>
          <t>GET / -&gt; 200, 241KB, PrestaShop fingerprint confirmed + real MRU prices: '0,00MRU', '170,00MRU' x2 in raw HTML.</t>
        </is>
      </c>
      <c r="R111" s="13" t="b">
        <v>1</v>
      </c>
      <c r="S111" s="13" t="inlineStr">
        <is>
          <t>Full grocery catalogue per prior research.</t>
        </is>
      </c>
      <c r="T111" s="13" t="inlineStr"/>
    </row>
    <row r="112">
      <c r="A112" s="13" t="inlineStr">
        <is>
          <t>ssa</t>
        </is>
      </c>
      <c r="B112" s="13" t="inlineStr">
        <is>
          <t>madagascar</t>
        </is>
      </c>
      <c r="C112" s="13" t="inlineStr">
        <is>
          <t>Supermarche.mg (rebrand)</t>
        </is>
      </c>
      <c r="D112" s="13" t="inlineStr">
        <is>
          <t>https://supermarche.mg/</t>
        </is>
      </c>
      <c r="E112" s="13" t="inlineStr">
        <is>
          <t>TIER_1A</t>
        </is>
      </c>
      <c r="F112" s="13" t="inlineStr">
        <is>
          <t>low</t>
        </is>
      </c>
      <c r="G112" s="13" t="inlineStr">
        <is>
          <t>Wave 2</t>
        </is>
      </c>
      <c r="H112" s="13" t="inlineStr">
        <is>
          <t>spider</t>
        </is>
      </c>
      <c r="I112" s="13" t="inlineStr">
        <is>
          <t>Generic PrestaShop spider</t>
        </is>
      </c>
      <c r="J112" s="13" t="inlineStr">
        <is>
          <t>F_prestashop</t>
        </is>
      </c>
      <c r="K112" s="13" t="inlineStr">
        <is>
          <t>PrestaShop</t>
        </is>
      </c>
      <c r="L112" s="13" t="inlineStr">
        <is>
          <t>retailer_sku</t>
        </is>
      </c>
      <c r="M112" s="13" t="inlineStr">
        <is>
          <t>supermarket</t>
        </is>
      </c>
      <c r="N112" s="13" t="inlineStr">
        <is>
          <t>MGA</t>
        </is>
      </c>
      <c r="O112" s="13" t="n">
        <v>80</v>
      </c>
      <c r="P112" s="13" t="inlineStr">
        <is>
          <t>PrestaShop SSR category HTML at mescourses.mg</t>
        </is>
      </c>
      <c r="Q112" s="13" t="inlineStr">
        <is>
          <t>https://supermarche.mg/ 302-redirects to https://mescourses.mg/fr/ (HTTPS cert on the old domain doesn't match, hence a first probe returned curl error 60 -- resolved with -kL to follow the redirect). Landing page confirms PrestaShop fingerprint + real MGA prices ('300 Ar', '333 Ar', '923 Ar', '612 Ar') + class='price' / 'price_content' nodes.</t>
        </is>
      </c>
      <c r="R112" s="13" t="b">
        <v>1</v>
      </c>
      <c r="S112" s="13" t="inlineStr">
        <is>
          <t>REBRAND not in the CSV: supermarche.mg is now mescourses.mg (same investor-backed Antananarivo operator per domain continuity). Onboard under the new domain.</t>
        </is>
      </c>
      <c r="T112" s="13" t="inlineStr"/>
    </row>
    <row r="113">
      <c r="A113" s="13" t="inlineStr">
        <is>
          <t>ssa</t>
        </is>
      </c>
      <c r="B113" s="13" t="inlineStr">
        <is>
          <t>senegal</t>
        </is>
      </c>
      <c r="C113" s="13" t="inlineStr">
        <is>
          <t>Diarle</t>
        </is>
      </c>
      <c r="D113" s="13" t="inlineStr">
        <is>
          <t>https://diarle.sn/fr/</t>
        </is>
      </c>
      <c r="E113" s="13" t="inlineStr">
        <is>
          <t>TIER_1B</t>
        </is>
      </c>
      <c r="F113" s="13" t="inlineStr">
        <is>
          <t>low</t>
        </is>
      </c>
      <c r="G113" s="13" t="inlineStr">
        <is>
          <t>Wave 2</t>
        </is>
      </c>
      <c r="H113" s="13" t="inlineStr">
        <is>
          <t>spider</t>
        </is>
      </c>
      <c r="I113" s="13" t="inlineStr">
        <is>
          <t>Generic PrestaShop spider</t>
        </is>
      </c>
      <c r="J113" s="13" t="inlineStr">
        <is>
          <t>F_prestashop</t>
        </is>
      </c>
      <c r="K113" s="13" t="inlineStr">
        <is>
          <t>PrestaShop</t>
        </is>
      </c>
      <c r="L113" s="13" t="inlineStr">
        <is>
          <t>retailer_sku</t>
        </is>
      </c>
      <c r="M113" s="13" t="inlineStr">
        <is>
          <t>supermarket</t>
        </is>
      </c>
      <c r="N113" s="13" t="inlineStr">
        <is>
          <t>XOF</t>
        </is>
      </c>
      <c r="O113" s="13" t="n">
        <v>60</v>
      </c>
      <c r="P113" s="13" t="inlineStr">
        <is>
          <t>PrestaShop category HTML (exact category id not resolved this pass)</t>
        </is>
      </c>
      <c r="Q113" s="13" t="inlineStr">
        <is>
          <t>GET / -&gt; 200, 77KB, PrestaShop fingerprint confirmed. /fr/epicerie 404'd (wrong slug guess); same platform/operator pattern as Sakanal per prior research ('same parser as Sakanal') so treated as confirmed by platform analogy rather than re-derived from scratch.</t>
        </is>
      </c>
      <c r="R113" s="13" t="b">
        <v>1</v>
      </c>
      <c r="S113" s="13" t="inlineStr">
        <is>
          <t>Needs one pass to find the real category id (my /epicerie guess 404'd) before scaffolding.</t>
        </is>
      </c>
      <c r="T113" s="13" t="inlineStr"/>
    </row>
    <row r="114">
      <c r="A114" s="13" t="inlineStr">
        <is>
          <t>ssa</t>
        </is>
      </c>
      <c r="B114" s="13" t="inlineStr">
        <is>
          <t>madagascar</t>
        </is>
      </c>
      <c r="C114" s="13" t="inlineStr">
        <is>
          <t>KIBO Madagascar</t>
        </is>
      </c>
      <c r="D114" s="13" t="inlineStr">
        <is>
          <t>https://www.kibo.mg/</t>
        </is>
      </c>
      <c r="E114" s="13" t="inlineStr">
        <is>
          <t>TIER_2</t>
        </is>
      </c>
      <c r="F114" s="13" t="inlineStr">
        <is>
          <t>low</t>
        </is>
      </c>
      <c r="G114" s="13" t="inlineStr">
        <is>
          <t>Wave 2</t>
        </is>
      </c>
      <c r="H114" s="13" t="inlineStr">
        <is>
          <t>spider</t>
        </is>
      </c>
      <c r="I114" s="13" t="inlineStr">
        <is>
          <t>Generic PrestaShop spider</t>
        </is>
      </c>
      <c r="J114" s="13" t="inlineStr">
        <is>
          <t>F_prestashop</t>
        </is>
      </c>
      <c r="K114" s="13" t="inlineStr">
        <is>
          <t>PrestaShop</t>
        </is>
      </c>
      <c r="L114" s="13" t="inlineStr">
        <is>
          <t>retailer_sku</t>
        </is>
      </c>
      <c r="M114" s="13" t="inlineStr">
        <is>
          <t>supermarket</t>
        </is>
      </c>
      <c r="N114" s="13" t="inlineStr">
        <is>
          <t>MGA</t>
        </is>
      </c>
      <c r="O114" s="13" t="n">
        <v>20</v>
      </c>
      <c r="P114" s="13" t="inlineStr">
        <is>
          <t>unresolved -- PrestaShop platform confirmed but real category id not found this pass</t>
        </is>
      </c>
      <c r="Q114" s="13" t="inlineStr">
        <is>
          <t>GET / -&gt; 200, 64KB, PrestaShop fingerprint confirmed. Guessed category id /216-epicerie -&gt; 200 but no Ar/MGA price pattern matched either page.</t>
        </is>
      </c>
      <c r="R114" s="13" t="b">
        <v>1</v>
      </c>
      <c r="S114" s="13" t="inlineStr">
        <is>
          <t>Cash-and-carry with drive+delivery per prior research, 1,000+ own-brand Top Budget lines -- platform is the easiest in the whole shard to scaffold once the real category tree is mapped.</t>
        </is>
      </c>
      <c r="T114" s="13" t="inlineStr"/>
    </row>
    <row r="115">
      <c r="A115" s="13" t="inlineStr">
        <is>
          <t>eca</t>
        </is>
      </c>
      <c r="B115" s="13" t="inlineStr">
        <is>
          <t>bulgaria</t>
        </is>
      </c>
      <c r="C115" s="13" t="inlineStr">
        <is>
          <t>Ogi Market</t>
        </is>
      </c>
      <c r="D115" s="13" t="inlineStr">
        <is>
          <t>https://ogimarket.bg/</t>
        </is>
      </c>
      <c r="E115" s="13" t="inlineStr">
        <is>
          <t>TIER_1A</t>
        </is>
      </c>
      <c r="F115" s="13" t="inlineStr">
        <is>
          <t>low</t>
        </is>
      </c>
      <c r="G115" s="13" t="inlineStr">
        <is>
          <t>Wave 2</t>
        </is>
      </c>
      <c r="H115" s="13" t="inlineStr">
        <is>
          <t>spider</t>
        </is>
      </c>
      <c r="I115" s="13" t="inlineStr">
        <is>
          <t>Generic OpenCart spider</t>
        </is>
      </c>
      <c r="J115" s="13" t="inlineStr">
        <is>
          <t>G_opencart</t>
        </is>
      </c>
      <c r="K115" s="13" t="inlineStr">
        <is>
          <t>OpenCart</t>
        </is>
      </c>
      <c r="L115" s="13" t="inlineStr">
        <is>
          <t>retailer_sku</t>
        </is>
      </c>
      <c r="M115" s="13" t="inlineStr">
        <is>
          <t>supermarket</t>
        </is>
      </c>
      <c r="N115" s="13" t="inlineStr">
        <is>
          <t>EUR/BGN</t>
        </is>
      </c>
      <c r="O115" s="13" t="n">
        <v>130</v>
      </c>
      <c r="P115" s="13" t="inlineStr">
        <is>
          <t>SSR product pages, SEO slugs</t>
        </is>
      </c>
      <c r="Q115" s="13" t="inlineStr">
        <is>
          <t>GET /cedeno-kiselo-mlqko-900gr -&gt; 200, 462KB. og:title 'Cedeno kiselo mlyako - Eklekton - 10% - 900gr.' (strained yogurt), span.price-normal prices visible e.g. 0,21€ / 1,64€ / 3,05€. OpenCart-style SEO URLs, image/cache path pattern confirms OpenCart.</t>
        </is>
      </c>
      <c r="R115" s="13" t="b">
        <v>1</v>
      </c>
      <c r="S115" s="13" t="inlineStr">
        <is>
          <t>Personal-shopper model per CSV; dairy, confectionery, cured meat categories seen.</t>
        </is>
      </c>
      <c r="T115" s="13" t="inlineStr"/>
    </row>
    <row r="116">
      <c r="A116" s="13" t="inlineStr">
        <is>
          <t>eca</t>
        </is>
      </c>
      <c r="B116" s="13" t="inlineStr">
        <is>
          <t>hungary</t>
        </is>
      </c>
      <c r="C116" s="13" t="inlineStr">
        <is>
          <t>Coop Online</t>
        </is>
      </c>
      <c r="D116" s="13" t="inlineStr">
        <is>
          <t>https://www.coop.hu/</t>
        </is>
      </c>
      <c r="E116" s="13" t="inlineStr">
        <is>
          <t>TIER_1B</t>
        </is>
      </c>
      <c r="F116" s="13" t="inlineStr">
        <is>
          <t>low</t>
        </is>
      </c>
      <c r="G116" s="13" t="inlineStr">
        <is>
          <t>Wave 2</t>
        </is>
      </c>
      <c r="H116" s="13" t="inlineStr">
        <is>
          <t>spider</t>
        </is>
      </c>
      <c r="I116" s="13" t="inlineStr">
        <is>
          <t>Generic OpenCart spider</t>
        </is>
      </c>
      <c r="J116" s="13" t="inlineStr">
        <is>
          <t>G_opencart</t>
        </is>
      </c>
      <c r="K116" s="13" t="inlineStr">
        <is>
          <t>OpenCart</t>
        </is>
      </c>
      <c r="L116" s="13" t="inlineStr">
        <is>
          <t>retailer_sku</t>
        </is>
      </c>
      <c r="M116" s="13" t="inlineStr">
        <is>
          <t>supermarket</t>
        </is>
      </c>
      <c r="N116" s="13" t="inlineStr">
        <is>
          <t>HUF</t>
        </is>
      </c>
      <c r="O116" s="13" t="n">
        <v>70</v>
      </c>
      <c r="P116" s="13" t="inlineStr">
        <is>
          <t>vasarlas.coop.hu/index.php?route=product/list, route=product/product&amp;product_id=&lt;id&gt;</t>
        </is>
      </c>
      <c r="Q116" s="13" t="inlineStr">
        <is>
          <t>GET https://vasarlas.coop.hu/index.php?route=product/list&amp;special=1 -&gt; 200, 173KB. OpenCart URL pattern confirmed (route=product/list). 40 unique product_id links; HUF prices in raw HTML (669 Ft, 399 Ft, 599 Ft, ...).</t>
        </is>
      </c>
      <c r="R116" s="13" t="b">
        <v>1</v>
      </c>
      <c r="S116" s="13" t="inlineStr">
        <is>
          <t>Shelf-stable focus only per CSV (no fresh) -- reaches rural Hungary but the basket is not comparable to a full supermarket.</t>
        </is>
      </c>
      <c r="T116" s="13" t="inlineStr"/>
    </row>
    <row r="117">
      <c r="A117" s="13" t="inlineStr">
        <is>
          <t>eca</t>
        </is>
      </c>
      <c r="B117" s="13" t="inlineStr">
        <is>
          <t>kosovo</t>
        </is>
      </c>
      <c r="C117" s="13" t="inlineStr">
        <is>
          <t>Blejeseshkoj</t>
        </is>
      </c>
      <c r="D117" s="13" t="inlineStr">
        <is>
          <t>https://blejeseshkoj.com/</t>
        </is>
      </c>
      <c r="E117" s="13" t="inlineStr">
        <is>
          <t>TIER_1A</t>
        </is>
      </c>
      <c r="F117" s="13" t="inlineStr">
        <is>
          <t>low</t>
        </is>
      </c>
      <c r="G117" s="13" t="inlineStr">
        <is>
          <t>Wave 2</t>
        </is>
      </c>
      <c r="H117" s="13" t="inlineStr">
        <is>
          <t>spider</t>
        </is>
      </c>
      <c r="I117" s="13" t="inlineStr">
        <is>
          <t>Generic OpenCart spider</t>
        </is>
      </c>
      <c r="J117" s="13" t="inlineStr">
        <is>
          <t>G_opencart</t>
        </is>
      </c>
      <c r="K117" s="13" t="inlineStr">
        <is>
          <t>OpenCart</t>
        </is>
      </c>
      <c r="L117" s="13" t="inlineStr">
        <is>
          <t>retailer_sku</t>
        </is>
      </c>
      <c r="M117" s="13" t="inlineStr">
        <is>
          <t>supermarket</t>
        </is>
      </c>
      <c r="N117" s="13" t="inlineStr">
        <is>
          <t>EUR</t>
        </is>
      </c>
      <c r="O117" s="13" t="n">
        <v>70</v>
      </c>
      <c r="P117" s="13" t="inlineStr">
        <is>
          <t>index.php?route=product/product&amp;product_id=&lt;id&gt;</t>
        </is>
      </c>
      <c r="Q117" s="13" t="inlineStr">
        <is>
          <t>GET / -&gt; 200, 380KB. OpenCart route pattern confirmed (index.php?route=product/product&amp;product_id=3623). Real product+price: 'Torku helva kakao-500g', price-new 2.99€ (was 3.79€).</t>
        </is>
      </c>
      <c r="R117" s="13" t="b">
        <v>1</v>
      </c>
      <c r="S117" s="13" t="inlineStr">
        <is>
          <t>Prizren-only, 10 EUR minimum, small catalogue per CSV -- confirmed live but expect a limited SKU count.</t>
        </is>
      </c>
      <c r="T117" s="13" t="inlineStr"/>
    </row>
    <row r="118">
      <c r="A118" s="13" t="inlineStr">
        <is>
          <t>menaap</t>
        </is>
      </c>
      <c r="B118" s="13" t="inlineStr">
        <is>
          <t>libya</t>
        </is>
      </c>
      <c r="C118" s="13" t="inlineStr">
        <is>
          <t>Al Mustawda (big.ly)</t>
        </is>
      </c>
      <c r="D118" s="13" t="inlineStr">
        <is>
          <t>https://big.ly/food</t>
        </is>
      </c>
      <c r="E118" s="13" t="inlineStr">
        <is>
          <t>TIER_1A</t>
        </is>
      </c>
      <c r="F118" s="13" t="inlineStr">
        <is>
          <t>low</t>
        </is>
      </c>
      <c r="G118" s="13" t="inlineStr">
        <is>
          <t>Wave 2</t>
        </is>
      </c>
      <c r="H118" s="13" t="inlineStr">
        <is>
          <t>spider</t>
        </is>
      </c>
      <c r="I118" s="13" t="inlineStr">
        <is>
          <t>Generic OpenCart spider</t>
        </is>
      </c>
      <c r="J118" s="13" t="inlineStr">
        <is>
          <t>G_opencart</t>
        </is>
      </c>
      <c r="K118" s="13" t="inlineStr">
        <is>
          <t>OpenCart</t>
        </is>
      </c>
      <c r="L118" s="13" t="inlineStr">
        <is>
          <t>retailer_sku</t>
        </is>
      </c>
      <c r="M118" s="13" t="inlineStr">
        <is>
          <t>supermarket</t>
        </is>
      </c>
      <c r="N118" s="13" t="inlineStr">
        <is>
          <t>LYD</t>
        </is>
      </c>
      <c r="O118" s="13" t="n">
        <v>20</v>
      </c>
      <c r="P118" s="13" t="inlineStr">
        <is>
          <t>/food (OpenCart category route, SSR)</t>
        </is>
      </c>
      <c r="Q118" s="13" t="inlineStr">
        <is>
          <t>curl GET https://big.ly/food -&gt; 200, 208KB HTML. OpenCart platform (theme 'renoxa'). Dedicated /food category (h2 title 'طعام'). Product cards parse cleanly: 'باذنجان' (Eggplant) 6.00 د.ل, 'بازلاء خضراء' (Green peas) 6.00 د.ل, 'بصل أحمر جاف' (Dry red onion) 3.50 د.ل.</t>
        </is>
      </c>
      <c r="R118" s="13" t="b">
        <v>1</v>
      </c>
      <c r="S118" s="13" t="inlineStr">
        <is>
          <t>Sample was the fresh-produce subcategory only; '20,000+ completed orders' per CSV note suggests a larger catalog behind /food's 'subcategories' menu than what I paginated. Re-probe to enumerate all food subcategories before scaffolding.</t>
        </is>
      </c>
      <c r="T118" s="13" t="inlineStr"/>
    </row>
    <row r="119">
      <c r="A119" s="13" t="inlineStr">
        <is>
          <t>sar</t>
        </is>
      </c>
      <c r="B119" s="13" t="inlineStr">
        <is>
          <t>sri_lanka</t>
        </is>
      </c>
      <c r="C119" s="13" t="inlineStr">
        <is>
          <t>Carkeells</t>
        </is>
      </c>
      <c r="D119" s="13" t="inlineStr">
        <is>
          <t>https://carkeells.lk/en-gb/catalog/grocery</t>
        </is>
      </c>
      <c r="E119" s="13" t="inlineStr">
        <is>
          <t>TIER_1A</t>
        </is>
      </c>
      <c r="F119" s="13" t="inlineStr">
        <is>
          <t>low</t>
        </is>
      </c>
      <c r="G119" s="13" t="inlineStr">
        <is>
          <t>Wave 2</t>
        </is>
      </c>
      <c r="H119" s="13" t="inlineStr">
        <is>
          <t>spider</t>
        </is>
      </c>
      <c r="I119" s="13" t="inlineStr">
        <is>
          <t>Generic OpenCart spider</t>
        </is>
      </c>
      <c r="J119" s="13" t="inlineStr">
        <is>
          <t>G_opencart</t>
        </is>
      </c>
      <c r="K119" s="13" t="inlineStr">
        <is>
          <t>OpenCart</t>
        </is>
      </c>
      <c r="L119" s="13" t="inlineStr">
        <is>
          <t>retailer_sku</t>
        </is>
      </c>
      <c r="M119" s="13" t="inlineStr">
        <is>
          <t>pharmacy</t>
        </is>
      </c>
      <c r="N119" s="13" t="inlineStr">
        <is>
          <t>LKR</t>
        </is>
      </c>
      <c r="O119" s="13" t="n">
        <v>15</v>
      </c>
      <c r="P119" s="13" t="inlineStr"/>
      <c r="Q119" s="13" t="inlineStr">
        <is>
          <t>curl 200/21-64KB, plain OpenCart SSR HTML, `opencart` string present in body. GET /en-gb/catalog/grocery/food-products -&gt; 200/64KB with real prices: Rs.525.00, Rs.375.00, Rs.595.00, Rs.160.00 etc (excluding a Rs.0.00 placeholder row). Confirmed as shard's own AI_NOTES suggested: a small grocery/beverages tail (2 subcategories) bolted onto a cosmetics/health/haircare-dominant OpenCart store.</t>
        </is>
      </c>
      <c r="R119" s="13" t="b">
        <v>1</v>
      </c>
      <c r="S119" s="13" t="inlineStr">
        <is>
          <t>Real but tiny (~55 SKUs total across grocery+beverages per shard notes). Low priority -- everything it carries is already covered more deeply by Glomark/OnlineKade/SPAR2U.</t>
        </is>
      </c>
      <c r="T119" s="13" t="inlineStr"/>
    </row>
    <row r="120">
      <c r="A120" s="13" t="inlineStr">
        <is>
          <t>lac</t>
        </is>
      </c>
      <c r="B120" s="13" t="inlineStr">
        <is>
          <t>jamaica</t>
        </is>
      </c>
      <c r="C120" s="13" t="inlineStr">
        <is>
          <t>CoolMarket Groceries</t>
        </is>
      </c>
      <c r="D120" s="13" t="inlineStr">
        <is>
          <t>https://www.coolmarket.com/groceries.html</t>
        </is>
      </c>
      <c r="E120" s="13" t="inlineStr">
        <is>
          <t>TIER_1A</t>
        </is>
      </c>
      <c r="F120" s="13" t="inlineStr">
        <is>
          <t>low</t>
        </is>
      </c>
      <c r="G120" s="13" t="inlineStr">
        <is>
          <t>Wave 2</t>
        </is>
      </c>
      <c r="H120" s="13" t="inlineStr">
        <is>
          <t>spider</t>
        </is>
      </c>
      <c r="I120" s="13" t="inlineStr">
        <is>
          <t>Generic Magento/GraphQL spider (incl. the mcprod.&lt;domain&gt; pattern)</t>
        </is>
      </c>
      <c r="J120" s="13" t="inlineStr">
        <is>
          <t>H_magento</t>
        </is>
      </c>
      <c r="K120" s="13" t="inlineStr">
        <is>
          <t>Magento</t>
        </is>
      </c>
      <c r="L120" s="13" t="inlineStr">
        <is>
          <t>retailer_sku</t>
        </is>
      </c>
      <c r="M120" s="13" t="inlineStr">
        <is>
          <t>supermarket</t>
        </is>
      </c>
      <c r="N120" s="13" t="inlineStr">
        <is>
          <t>JMD</t>
        </is>
      </c>
      <c r="O120" s="13" t="n">
        <v>170</v>
      </c>
      <c r="P120" s="13" t="inlineStr">
        <is>
          <t>SSR HTML Magento listing/PDP (data-price-amount attrs)</t>
        </is>
      </c>
      <c r="Q120" s="13" t="inlineStr">
        <is>
          <t>curl 200/4.04MB (Magento). data-price-amount attributes throughout: 'NESTLÉ Kit Kat 4 Bar Milk Chocolate 45g' JMD 204.00. 591 product-item-link matches on this single paginated listing page, consistent with CSV's '1,386 grocery items' claim.</t>
        </is>
      </c>
      <c r="R120" s="13" t="b">
        <v>1</v>
      </c>
      <c r="S120" s="13" t="inlineStr">
        <is>
          <t>CSV called this the best Jamaica source; confirmed — deep grocery catalog with clean Magento price markup.</t>
        </is>
      </c>
      <c r="T120" s="13" t="inlineStr"/>
    </row>
    <row r="121">
      <c r="A121" s="13" t="inlineStr">
        <is>
          <t>menaap</t>
        </is>
      </c>
      <c r="B121" s="13" t="inlineStr">
        <is>
          <t>egypt</t>
        </is>
      </c>
      <c r="C121" s="13" t="inlineStr">
        <is>
          <t>Spinneys Egypt</t>
        </is>
      </c>
      <c r="D121" s="13" t="inlineStr">
        <is>
          <t>https://spinneys-egypt.com/</t>
        </is>
      </c>
      <c r="E121" s="13" t="inlineStr">
        <is>
          <t>TIER_1B</t>
        </is>
      </c>
      <c r="F121" s="13" t="inlineStr">
        <is>
          <t>low</t>
        </is>
      </c>
      <c r="G121" s="13" t="inlineStr">
        <is>
          <t>Wave 2</t>
        </is>
      </c>
      <c r="H121" s="13" t="inlineStr">
        <is>
          <t>spider</t>
        </is>
      </c>
      <c r="I121" s="13" t="inlineStr">
        <is>
          <t>Generic Magento/GraphQL spider (incl. the mcprod.&lt;domain&gt; pattern)</t>
        </is>
      </c>
      <c r="J121" s="13" t="inlineStr">
        <is>
          <t>H_magento</t>
        </is>
      </c>
      <c r="K121" s="13" t="inlineStr">
        <is>
          <t>Nuxt + Magento 2 (mcprod.&lt;domain&gt; backend pattern)</t>
        </is>
      </c>
      <c r="L121" s="13" t="inlineStr">
        <is>
          <t>retailer_sku</t>
        </is>
      </c>
      <c r="M121" s="13" t="inlineStr">
        <is>
          <t>supermarket</t>
        </is>
      </c>
      <c r="N121" s="13" t="inlineStr">
        <is>
          <t>EGP</t>
        </is>
      </c>
      <c r="O121" s="13" t="n">
        <v>165</v>
      </c>
      <c r="P121" s="13" t="inlineStr">
        <is>
          <t>https://mcprod.spinneys-egypt.com/graphql (Magento GraphQL, POST, no auth)</t>
        </is>
      </c>
      <c r="Q121" s="13" t="inlineStr">
        <is>
          <t>curl homepage -&gt; 200, Nuxt fingerprint, config.apiURL 'https://spinneys-egypt.com/graphql' (direct proxy 400s on POST body, use mcprod subdomain instead). Direct curl POST to https://mcprod.spinneys-egypt.com/graphql (search:'rice') -&gt; 200 clean JSON: 'El Shorouk Rice - 5 Kg' EGP 163.95, 'Dayma Rice - 1K' EGP 45.25.</t>
        </is>
      </c>
      <c r="R121" s="13" t="b">
        <v>1</v>
      </c>
      <c r="S121" s="13" t="inlineStr">
        <is>
          <t>Upper-mid chain, third confirmed 'mcprod.&lt;retailer-domain&gt;/graphql' Magento site in Egypt (with Hyper One, Seoudi) -- strong signal of a shared storefront vendor to check for more Egyptian retailers on this stack. Categories incl. Fruits&amp;Vegetables(916), Meat&amp;Poultry(135), Seafood&amp;Fish(137), Cheese/Dairy/Eggs(1844), Bakery&amp;Bread(460), Frozen(998).</t>
        </is>
      </c>
      <c r="T121" s="13" t="inlineStr"/>
    </row>
    <row r="122">
      <c r="A122" s="13" t="inlineStr">
        <is>
          <t>menaap</t>
        </is>
      </c>
      <c r="B122" s="13" t="inlineStr">
        <is>
          <t>tunisia</t>
        </is>
      </c>
      <c r="C122" s="13" t="inlineStr">
        <is>
          <t>Carrefour Tunisia</t>
        </is>
      </c>
      <c r="D122" s="13" t="inlineStr">
        <is>
          <t>https://www.carrefour.tn/</t>
        </is>
      </c>
      <c r="E122" s="13" t="inlineStr">
        <is>
          <t>TIER_1B</t>
        </is>
      </c>
      <c r="F122" s="13" t="inlineStr">
        <is>
          <t>low</t>
        </is>
      </c>
      <c r="G122" s="13" t="inlineStr">
        <is>
          <t>Wave 2</t>
        </is>
      </c>
      <c r="H122" s="13" t="inlineStr">
        <is>
          <t>spider</t>
        </is>
      </c>
      <c r="I122" s="13" t="inlineStr">
        <is>
          <t>Generic Magento/GraphQL spider (incl. the mcprod.&lt;domain&gt; pattern)</t>
        </is>
      </c>
      <c r="J122" s="13" t="inlineStr">
        <is>
          <t>H_magento</t>
        </is>
      </c>
      <c r="K122" s="13" t="inlineStr">
        <is>
          <t>Magento 2</t>
        </is>
      </c>
      <c r="L122" s="13" t="inlineStr">
        <is>
          <t>retailer_sku</t>
        </is>
      </c>
      <c r="M122" s="13" t="inlineStr">
        <is>
          <t>supermarket</t>
        </is>
      </c>
      <c r="N122" s="13" t="inlineStr">
        <is>
          <t>TND</t>
        </is>
      </c>
      <c r="O122" s="13" t="n">
        <v>165</v>
      </c>
      <c r="P122" s="13" t="inlineStr">
        <is>
          <t>/graphql (Magento GraphQL, POST, no auth)</t>
        </is>
      </c>
      <c r="Q122" s="13" t="inlineStr">
        <is>
          <t>curl homepage -&gt; 200 but tiny 8.8KB SPA shell (data-media-backend=back.carrefour.tn). Playwright network trace found same-origin GraphQL traffic at /graphql. Direct curl POST to https://www.carrefour.tn/graphql (search:'riz') -&gt; 200 clean JSON, NO Cloudflare/Akamai block: 'Riz Djerbien' TND 19.20, 'Riz Basmati' TND 8.49. categoryList query confirms full hypermarket taxonomy.</t>
        </is>
      </c>
      <c r="R122" s="13" t="b">
        <v>0</v>
      </c>
      <c r="S122" s="13" t="inlineStr">
        <is>
          <t>Found via local operator search, not CSV. Distinct backend/operator from Carrefour Egypt's MAF/Akamai stack -- not WAF-hardened at all. Categories: Le marché(1082, likely fresh produce/meat/fish), Épicerie Salée(1292), Épicerie Sucrée(1654), Crèmerie et Produits Laitiers(671), Surgelés(312), Boissons(335). Strongest single Tunisia source found.</t>
        </is>
      </c>
      <c r="T122" s="13" t="inlineStr"/>
    </row>
    <row r="123">
      <c r="A123" s="13" t="inlineStr">
        <is>
          <t>menaap</t>
        </is>
      </c>
      <c r="B123" s="13" t="inlineStr">
        <is>
          <t>egypt</t>
        </is>
      </c>
      <c r="C123" s="13" t="inlineStr">
        <is>
          <t>Seoudi Market</t>
        </is>
      </c>
      <c r="D123" s="13" t="inlineStr">
        <is>
          <t>https://seoudisupermarket.com/</t>
        </is>
      </c>
      <c r="E123" s="13" t="inlineStr">
        <is>
          <t>TIER_1B</t>
        </is>
      </c>
      <c r="F123" s="13" t="inlineStr">
        <is>
          <t>low</t>
        </is>
      </c>
      <c r="G123" s="13" t="inlineStr">
        <is>
          <t>Wave 2</t>
        </is>
      </c>
      <c r="H123" s="13" t="inlineStr">
        <is>
          <t>spider</t>
        </is>
      </c>
      <c r="I123" s="13" t="inlineStr">
        <is>
          <t>Generic Magento/GraphQL spider (incl. the mcprod.&lt;domain&gt; pattern)</t>
        </is>
      </c>
      <c r="J123" s="13" t="inlineStr">
        <is>
          <t>H_magento</t>
        </is>
      </c>
      <c r="K123" s="13" t="inlineStr">
        <is>
          <t>Nuxt + Magento 2 (mcprod.&lt;domain&gt; backend pattern)</t>
        </is>
      </c>
      <c r="L123" s="13" t="inlineStr">
        <is>
          <t>retailer_sku</t>
        </is>
      </c>
      <c r="M123" s="13" t="inlineStr">
        <is>
          <t>supermarket</t>
        </is>
      </c>
      <c r="N123" s="13" t="inlineStr">
        <is>
          <t>EGP</t>
        </is>
      </c>
      <c r="O123" s="13" t="n">
        <v>160</v>
      </c>
      <c r="P123" s="13" t="inlineStr">
        <is>
          <t>https://mcprod.seoudisupermarket.com/graphql (Magento GraphQL, POST, no auth)</t>
        </is>
      </c>
      <c r="Q123" s="13" t="inlineStr">
        <is>
          <t>curl homepage -&gt; 200, Magento+Nuxt fingerprint. Page source contains apiURL 'https://mcprod.seoudisupermarket.com/graphql'. Direct curl POST (search:'rice') -&gt; 200 clean JSON: 'Al Doha Beyti Rice, Easy Rice Edition - 320g' EGP 25.75, 'Rehana Rice - 1kg' EGP 40.45.</t>
        </is>
      </c>
      <c r="R123" s="13" t="b">
        <v>1</v>
      </c>
      <c r="S123" s="13" t="inlineStr">
        <is>
          <t>Established Cairo chain. Categories incl. Fruits&amp;Vegetables(616), Meat/Poultry/Fishery(216), Dairy/Eggs/Cheese(1385), Cold Cuts&amp;Deli(240), Bakery(471), Frozen(1146), Hot Drinks(1093). Same vendor pattern as Hyper One -- likely a shared Egyptian Magento/Nuxt storefront agency worth checking for other Egyptian retailers.</t>
        </is>
      </c>
      <c r="T123" s="13" t="inlineStr"/>
    </row>
    <row r="124">
      <c r="A124" s="13" t="inlineStr">
        <is>
          <t>menaap</t>
        </is>
      </c>
      <c r="B124" s="13" t="inlineStr">
        <is>
          <t>egypt</t>
        </is>
      </c>
      <c r="C124" s="13" t="inlineStr">
        <is>
          <t>Hyper One</t>
        </is>
      </c>
      <c r="D124" s="13" t="inlineStr">
        <is>
          <t>https://www.hyperone.com.eg/</t>
        </is>
      </c>
      <c r="E124" s="13" t="inlineStr">
        <is>
          <t>TIER_1B</t>
        </is>
      </c>
      <c r="F124" s="13" t="inlineStr">
        <is>
          <t>low</t>
        </is>
      </c>
      <c r="G124" s="13" t="inlineStr">
        <is>
          <t>Wave 2</t>
        </is>
      </c>
      <c r="H124" s="13" t="inlineStr">
        <is>
          <t>spider</t>
        </is>
      </c>
      <c r="I124" s="13" t="inlineStr">
        <is>
          <t>Generic Magento/GraphQL spider (incl. the mcprod.&lt;domain&gt; pattern)</t>
        </is>
      </c>
      <c r="J124" s="13" t="inlineStr">
        <is>
          <t>H_magento</t>
        </is>
      </c>
      <c r="K124" s="13" t="inlineStr">
        <is>
          <t>Nuxt + Magento 2 (mcprod.&lt;domain&gt; backend pattern)</t>
        </is>
      </c>
      <c r="L124" s="13" t="inlineStr">
        <is>
          <t>retailer_sku</t>
        </is>
      </c>
      <c r="M124" s="13" t="inlineStr">
        <is>
          <t>supermarket</t>
        </is>
      </c>
      <c r="N124" s="13" t="inlineStr">
        <is>
          <t>EGP</t>
        </is>
      </c>
      <c r="O124" s="13" t="n">
        <v>155</v>
      </c>
      <c r="P124" s="13" t="inlineStr">
        <is>
          <t>https://mcprod.hyperone.com.eg/graphql (Magento GraphQL, POST, no auth)</t>
        </is>
      </c>
      <c r="Q124" s="13" t="inlineStr">
        <is>
          <t>Bare domain hyperone.com.eg does not resolve; www. subdomain -&gt; 200, Nuxt SPA. window.__NUXT__.config exposes apiUrl 'https://mcprod.hyperone.com.eg/graphql'. Direct curl POST to that endpoint (search:'rice') -&gt; 200 clean JSON: 'Top Value Luxury Egyptian Rice - 1K' EGP 26.95, 'Meeza Egyptian Rice -1K' EGP 25.95. (The site's own www.hyperone.com.eg/graphql proxy path 400s on malformed body -- use the mcprod subdomain directly.)</t>
        </is>
      </c>
      <c r="R124" s="13" t="b">
        <v>1</v>
      </c>
      <c r="S124" s="13" t="inlineStr">
        <is>
          <t>Large Egyptian-owned hypermarket, welfare-relevant per CSV. Categories incl. Fruits&amp;Vegetables(172), Butchery&amp;Poultry(59), Seafood(28), Dairy/Eggs/Cheese(521), Bakery(125), Herbs&amp;Spices(291), Pickles(37).</t>
        </is>
      </c>
      <c r="T124" s="13" t="inlineStr"/>
    </row>
    <row r="125">
      <c r="A125" s="13" t="inlineStr">
        <is>
          <t>menaap</t>
        </is>
      </c>
      <c r="B125" s="13" t="inlineStr">
        <is>
          <t>egypt</t>
        </is>
      </c>
      <c r="C125" s="13" t="inlineStr">
        <is>
          <t>Gourmet Egypt</t>
        </is>
      </c>
      <c r="D125" s="13" t="inlineStr">
        <is>
          <t>https://gourmetegypt.com/</t>
        </is>
      </c>
      <c r="E125" s="13" t="inlineStr">
        <is>
          <t>TIER_1B</t>
        </is>
      </c>
      <c r="F125" s="13" t="inlineStr">
        <is>
          <t>low</t>
        </is>
      </c>
      <c r="G125" s="13" t="inlineStr">
        <is>
          <t>Wave 2</t>
        </is>
      </c>
      <c r="H125" s="13" t="inlineStr">
        <is>
          <t>spider</t>
        </is>
      </c>
      <c r="I125" s="13" t="inlineStr">
        <is>
          <t>Generic Magento/GraphQL spider (incl. the mcprod.&lt;domain&gt; pattern)</t>
        </is>
      </c>
      <c r="J125" s="13" t="inlineStr">
        <is>
          <t>H_magento</t>
        </is>
      </c>
      <c r="K125" s="13" t="inlineStr">
        <is>
          <t>Magento 2</t>
        </is>
      </c>
      <c r="L125" s="13" t="inlineStr">
        <is>
          <t>retailer_sku</t>
        </is>
      </c>
      <c r="M125" s="13" t="inlineStr">
        <is>
          <t>supermarket</t>
        </is>
      </c>
      <c r="N125" s="13" t="inlineStr">
        <is>
          <t>EGP</t>
        </is>
      </c>
      <c r="O125" s="13" t="n">
        <v>150</v>
      </c>
      <c r="P125" s="13" t="inlineStr">
        <is>
          <t>/graphql (Magento GraphQL, POST, no auth)</t>
        </is>
      </c>
      <c r="Q125" s="13" t="inlineStr">
        <is>
          <t>curl homepage -&gt; 200, Magento fingerprint. REST /rest/V1/products -&gt; 401 (needs token, expected default). GraphQL POST /graphql (search:'rice') -&gt; 200, clean JSON: 'Kohinoor Basmati Rice' EGP 195, 'Tilda Basmati Rice' EGP 180. categoryList query confirms full-line taxonomy.</t>
        </is>
      </c>
      <c r="R125" s="13" t="b">
        <v>1</v>
      </c>
      <c r="S125" s="13" t="inlineStr">
        <is>
          <t>Premium/imported grocer. Categories: Meat/Poultry/Seafood(380), Bakery(317), Dairy&amp;Eggs(637), Fruits&amp;Vegetables(362), Frozen(568), Food Cupboard(1453), Beverages(871), Desserts(296), Chips&amp;Snacks(469), Chocolate&amp;Sweets(796).</t>
        </is>
      </c>
      <c r="T125" s="13" t="inlineStr"/>
    </row>
    <row r="126">
      <c r="A126" s="13" t="inlineStr">
        <is>
          <t>ssa</t>
        </is>
      </c>
      <c r="B126" s="13" t="inlineStr">
        <is>
          <t>kenya</t>
        </is>
      </c>
      <c r="C126" s="13" t="inlineStr">
        <is>
          <t>Chandarana Foodplus</t>
        </is>
      </c>
      <c r="D126" s="13" t="inlineStr">
        <is>
          <t>https://foodplus.co.ke/</t>
        </is>
      </c>
      <c r="E126" s="13" t="inlineStr">
        <is>
          <t>TIER_1B</t>
        </is>
      </c>
      <c r="F126" s="13" t="inlineStr">
        <is>
          <t>low</t>
        </is>
      </c>
      <c r="G126" s="13" t="inlineStr">
        <is>
          <t>Wave 2</t>
        </is>
      </c>
      <c r="H126" s="13" t="inlineStr">
        <is>
          <t>spider</t>
        </is>
      </c>
      <c r="I126" s="13" t="inlineStr">
        <is>
          <t>Generic Magento/GraphQL spider (incl. the mcprod.&lt;domain&gt; pattern)</t>
        </is>
      </c>
      <c r="J126" s="13" t="inlineStr">
        <is>
          <t>H_magento</t>
        </is>
      </c>
      <c r="K126" s="13" t="inlineStr">
        <is>
          <t>Magento</t>
        </is>
      </c>
      <c r="L126" s="13" t="inlineStr">
        <is>
          <t>retailer_sku</t>
        </is>
      </c>
      <c r="M126" s="13" t="inlineStr">
        <is>
          <t>supermarket</t>
        </is>
      </c>
      <c r="N126" s="13" t="inlineStr">
        <is>
          <t>KES</t>
        </is>
      </c>
      <c r="O126" s="13" t="n">
        <v>150</v>
      </c>
      <c r="P126" s="13" t="inlineStr">
        <is>
          <t>/rest/V1/products, /rest/V1/categories</t>
        </is>
      </c>
      <c r="Q126" s="13" t="inlineStr">
        <is>
          <t>The CSV's domain (chandaranafoodplus.com) is NXDOMAIN. Real domain foodplus.co.ke resolves and is Magento (not WooCommerce as CSV's platform column claims). GET /rest/V1/categories -&gt; 200, no auth, full taxonomy incl. Fresh Fruits(146)/Fresh Vegetables(291)/Milk Butter Eggs(157)/Yoghurt(306)/Cheese(244)/Fresh Meat(102)/Deli(90), 18,205 products total. GET /rest/V1/products?searchCriteria[pageSize]=3 -&gt; 200, 8KB JSON, sample 'C/CARE SCRUBBING BRUSH HANDLE A14' KES 165.</t>
        </is>
      </c>
      <c r="R126" s="13" t="b">
        <v>1</v>
      </c>
      <c r="S126" s="13" t="inlineStr">
        <is>
          <t>Premium/expatriate chain per CSV; deepest single-source taxonomy verified in this shard. Domain correction is the key finding -- CSV's chandaranafoodplus.com does not resolve at all.</t>
        </is>
      </c>
      <c r="T126" s="13" t="inlineStr"/>
    </row>
    <row r="127">
      <c r="A127" s="13" t="inlineStr">
        <is>
          <t>lac</t>
        </is>
      </c>
      <c r="B127" s="13" t="inlineStr">
        <is>
          <t>panama</t>
        </is>
      </c>
      <c r="C127" s="13" t="inlineStr">
        <is>
          <t>Riba Smith</t>
        </is>
      </c>
      <c r="D127" s="13" t="inlineStr">
        <is>
          <t>https://www.ribasmith.com/</t>
        </is>
      </c>
      <c r="E127" s="13" t="inlineStr">
        <is>
          <t>TIER_1B</t>
        </is>
      </c>
      <c r="F127" s="13" t="inlineStr">
        <is>
          <t>low</t>
        </is>
      </c>
      <c r="G127" s="13" t="inlineStr">
        <is>
          <t>Wave 2</t>
        </is>
      </c>
      <c r="H127" s="13" t="inlineStr">
        <is>
          <t>spider</t>
        </is>
      </c>
      <c r="I127" s="13" t="inlineStr">
        <is>
          <t>Generic Magento/GraphQL spider (incl. the mcprod.&lt;domain&gt; pattern)</t>
        </is>
      </c>
      <c r="J127" s="13" t="inlineStr">
        <is>
          <t>H_magento</t>
        </is>
      </c>
      <c r="K127" s="13" t="inlineStr">
        <is>
          <t>Magento 2</t>
        </is>
      </c>
      <c r="L127" s="13" t="inlineStr">
        <is>
          <t>retailer_sku</t>
        </is>
      </c>
      <c r="M127" s="13" t="inlineStr">
        <is>
          <t>supermarket</t>
        </is>
      </c>
      <c r="N127" s="13" t="inlineStr">
        <is>
          <t>USD</t>
        </is>
      </c>
      <c r="O127" s="13" t="n">
        <v>150</v>
      </c>
      <c r="P127" s="13" t="inlineStr">
        <is>
          <t>/graphql</t>
        </is>
      </c>
      <c r="Q127" s="13" t="inlineStr">
        <is>
          <t>POST /graphql {products(search:"arroz",pageSize:5){...}} -&gt; HTTP 200 JSON. Sample: 'ARROZ PELIN ARROZ ESPECIAL 20 LBS' USD 16.48.</t>
        </is>
      </c>
      <c r="R127" s="13" t="b">
        <v>0</v>
      </c>
      <c r="S127" s="13" t="inlineStr">
        <is>
          <t>Full-line premium PA chain; GraphQL open, no auth required for product search.</t>
        </is>
      </c>
      <c r="T127" s="13" t="inlineStr"/>
    </row>
    <row r="128">
      <c r="A128" s="13" t="inlineStr">
        <is>
          <t>lac</t>
        </is>
      </c>
      <c r="B128" s="13" t="inlineStr">
        <is>
          <t>dominican_republic</t>
        </is>
      </c>
      <c r="C128" s="13" t="inlineStr">
        <is>
          <t>Supermercados Nacional</t>
        </is>
      </c>
      <c r="D128" s="13" t="inlineStr">
        <is>
          <t>https://www.supermercadosnacional.com/</t>
        </is>
      </c>
      <c r="E128" s="13" t="inlineStr">
        <is>
          <t>TIER_1B</t>
        </is>
      </c>
      <c r="F128" s="13" t="inlineStr">
        <is>
          <t>low</t>
        </is>
      </c>
      <c r="G128" s="13" t="inlineStr">
        <is>
          <t>Wave 2</t>
        </is>
      </c>
      <c r="H128" s="13" t="inlineStr">
        <is>
          <t>spider</t>
        </is>
      </c>
      <c r="I128" s="13" t="inlineStr">
        <is>
          <t>Generic Magento/GraphQL spider (incl. the mcprod.&lt;domain&gt; pattern)</t>
        </is>
      </c>
      <c r="J128" s="13" t="inlineStr">
        <is>
          <t>H_magento</t>
        </is>
      </c>
      <c r="K128" s="13" t="inlineStr">
        <is>
          <t>Magento 2</t>
        </is>
      </c>
      <c r="L128" s="13" t="inlineStr">
        <is>
          <t>retailer_sku</t>
        </is>
      </c>
      <c r="M128" s="13" t="inlineStr">
        <is>
          <t>supermarket</t>
        </is>
      </c>
      <c r="N128" s="13" t="inlineStr">
        <is>
          <t>DOP</t>
        </is>
      </c>
      <c r="O128" s="13" t="n">
        <v>150</v>
      </c>
      <c r="P128" s="13" t="inlineStr">
        <is>
          <t>/graphql</t>
        </is>
      </c>
      <c r="Q128" s="13" t="inlineStr">
        <is>
          <t>POST /graphql {products(search:"arroz",pageSize:5){...}} -&gt; HTTP 200 JSON. Sample: 'Arroz Selecto Líder 10 Lb' DOP 327.95.</t>
        </is>
      </c>
      <c r="R128" s="13" t="b">
        <v>0</v>
      </c>
      <c r="S128" s="13" t="inlineStr">
        <is>
          <t>Full-line DR chain, GraphQL open.</t>
        </is>
      </c>
      <c r="T128" s="13" t="inlineStr"/>
    </row>
    <row r="129">
      <c r="A129" s="13" t="inlineStr">
        <is>
          <t>lac</t>
        </is>
      </c>
      <c r="B129" s="13" t="inlineStr">
        <is>
          <t>curacao</t>
        </is>
      </c>
      <c r="C129" s="13" t="inlineStr">
        <is>
          <t>Van den Tweel Supermarket</t>
        </is>
      </c>
      <c r="D129" s="13" t="inlineStr">
        <is>
          <t>https://shopvdtcuracao.com/</t>
        </is>
      </c>
      <c r="E129" s="13" t="inlineStr">
        <is>
          <t>TIER_1B</t>
        </is>
      </c>
      <c r="F129" s="13" t="inlineStr">
        <is>
          <t>low</t>
        </is>
      </c>
      <c r="G129" s="13" t="inlineStr">
        <is>
          <t>Wave 2</t>
        </is>
      </c>
      <c r="H129" s="13" t="inlineStr">
        <is>
          <t>spider</t>
        </is>
      </c>
      <c r="I129" s="13" t="inlineStr">
        <is>
          <t>Generic Magento/GraphQL spider (incl. the mcprod.&lt;domain&gt; pattern)</t>
        </is>
      </c>
      <c r="J129" s="13" t="inlineStr">
        <is>
          <t>H_magento</t>
        </is>
      </c>
      <c r="K129" s="13" t="inlineStr">
        <is>
          <t>Magento 2</t>
        </is>
      </c>
      <c r="L129" s="13" t="inlineStr">
        <is>
          <t>retailer_sku</t>
        </is>
      </c>
      <c r="M129" s="13" t="inlineStr">
        <is>
          <t>supermarket</t>
        </is>
      </c>
      <c r="N129" s="13" t="inlineStr">
        <is>
          <t>ANG</t>
        </is>
      </c>
      <c r="O129" s="13" t="n">
        <v>140</v>
      </c>
      <c r="P129" s="13" t="inlineStr">
        <is>
          <t>/graphql</t>
        </is>
      </c>
      <c r="Q129" s="13" t="inlineStr">
        <is>
          <t>POST /graphql {products(search:"melk",pageSize:5){...}} -&gt; HTTP 200 JSON. Sample: 'AH Volle melk' ANG 3.29; also 'AH Magere melk' ANG 2.89, 'AH Halfvolle melk' ANG 2.89.</t>
        </is>
      </c>
      <c r="R129" s="13" t="b">
        <v>0</v>
      </c>
      <c r="S129" s="13" t="inlineStr">
        <is>
          <t>Full-line CW chain (dairy confirmed), Albert Heijn-sourced private label suggests Dutch supply chain.</t>
        </is>
      </c>
      <c r="T129" s="13" t="inlineStr"/>
    </row>
    <row r="130">
      <c r="A130" s="13" t="inlineStr">
        <is>
          <t>lac</t>
        </is>
      </c>
      <c r="B130" s="13" t="inlineStr">
        <is>
          <t>british_virgin_islands</t>
        </is>
      </c>
      <c r="C130" s="13" t="inlineStr">
        <is>
          <t>RiteWay Food Markets</t>
        </is>
      </c>
      <c r="D130" s="13" t="inlineStr">
        <is>
          <t>https://www.riteway.vg/</t>
        </is>
      </c>
      <c r="E130" s="13" t="inlineStr">
        <is>
          <t>TIER_1A</t>
        </is>
      </c>
      <c r="F130" s="13" t="inlineStr">
        <is>
          <t>low</t>
        </is>
      </c>
      <c r="G130" s="13" t="inlineStr">
        <is>
          <t>Wave 2</t>
        </is>
      </c>
      <c r="H130" s="13" t="inlineStr">
        <is>
          <t>spider</t>
        </is>
      </c>
      <c r="I130" s="13" t="inlineStr">
        <is>
          <t>Generic Magento/GraphQL spider (incl. the mcprod.&lt;domain&gt; pattern)</t>
        </is>
      </c>
      <c r="J130" s="13" t="inlineStr">
        <is>
          <t>H_magento</t>
        </is>
      </c>
      <c r="K130" s="13" t="inlineStr">
        <is>
          <t>Magento 2 (custom 'Roadtown' theme)</t>
        </is>
      </c>
      <c r="L130" s="13" t="inlineStr">
        <is>
          <t>retailer_sku</t>
        </is>
      </c>
      <c r="M130" s="13" t="inlineStr">
        <is>
          <t>supermarket</t>
        </is>
      </c>
      <c r="N130" s="13" t="inlineStr">
        <is>
          <t>USD</t>
        </is>
      </c>
      <c r="O130" s="13" t="n">
        <v>130</v>
      </c>
      <c r="P130" s="13" t="inlineStr">
        <is>
          <t>/shop-groceries.html (SSR category listing)</t>
        </is>
      </c>
      <c r="Q130" s="13" t="inlineStr">
        <is>
          <t>GET /shop-groceries.html -&gt; HTTP 200, 1.9MB SSR HTML with real Magento product-item cards. Sample product names: 'Fresh Ground Beef', 'Pork Tenderloin', 'Extra Sharp Cheddar Bar', 'Bakerly Brioche Hot Dog Buns'. Prices in same page: $4.99, $8.99, $39.99, $24.99, $7.99 (data-price-amount attrs). GraphQL endpoint (/graphql) returns HTTP 404 via the Varnish edge — GraphQL module likely disabled — but SSR category pages carry full name+price so Tier 1A applies instead.</t>
        </is>
      </c>
      <c r="R130" s="13" t="b">
        <v>0</v>
      </c>
      <c r="S130" s="13" t="inlineStr">
        <is>
          <t>60-year BVI chain, 9 stores, dedicated online-ordering platform ('RiteWay Online') with next-day delivery.</t>
        </is>
      </c>
      <c r="T130" s="13" t="inlineStr"/>
    </row>
    <row r="131">
      <c r="A131" s="13" t="inlineStr">
        <is>
          <t>lac</t>
        </is>
      </c>
      <c r="B131" s="13" t="inlineStr">
        <is>
          <t>jamaica</t>
        </is>
      </c>
      <c r="C131" s="13" t="inlineStr">
        <is>
          <t>Virtual Mart Jamaica</t>
        </is>
      </c>
      <c r="D131" s="13" t="inlineStr">
        <is>
          <t>https://www.virtualmartja.com/</t>
        </is>
      </c>
      <c r="E131" s="13" t="inlineStr">
        <is>
          <t>TIER_1A</t>
        </is>
      </c>
      <c r="F131" s="13" t="inlineStr">
        <is>
          <t>low</t>
        </is>
      </c>
      <c r="G131" s="13" t="inlineStr">
        <is>
          <t>Wave 2</t>
        </is>
      </c>
      <c r="H131" s="13" t="inlineStr">
        <is>
          <t>spider</t>
        </is>
      </c>
      <c r="I131" s="13" t="inlineStr">
        <is>
          <t>Generic Magento/GraphQL spider (incl. the mcprod.&lt;domain&gt; pattern)</t>
        </is>
      </c>
      <c r="J131" s="13" t="inlineStr">
        <is>
          <t>H_magento</t>
        </is>
      </c>
      <c r="K131" s="13" t="inlineStr">
        <is>
          <t>Magento</t>
        </is>
      </c>
      <c r="L131" s="13" t="inlineStr">
        <is>
          <t>retailer_sku</t>
        </is>
      </c>
      <c r="M131" s="13" t="inlineStr">
        <is>
          <t>supermarket</t>
        </is>
      </c>
      <c r="N131" s="13" t="inlineStr">
        <is>
          <t>JMD</t>
        </is>
      </c>
      <c r="O131" s="13" t="n">
        <v>100</v>
      </c>
      <c r="P131" s="13" t="inlineStr">
        <is>
          <t>SSR HTML Magento listing/PDP (data-price-amount attrs)</t>
        </is>
      </c>
      <c r="Q131" s="13" t="inlineStr">
        <is>
          <t>curl 200/225KB (Magento). data-price-amount price blocks confirmed, e.g. J$2,471.29 special-price product (id 106209). CSV notes groceries plus hardware/business-supplies categories.</t>
        </is>
      </c>
      <c r="R131" s="13" t="b">
        <v>1</v>
      </c>
      <c r="S131" s="13" t="inlineStr">
        <is>
          <t>Mixed grocery + hardware/household catalog; F&amp;B is a subset of a broader general-merchandise store.</t>
        </is>
      </c>
      <c r="T131" s="13" t="inlineStr"/>
    </row>
    <row r="132">
      <c r="A132" s="13" t="inlineStr">
        <is>
          <t>ssa</t>
        </is>
      </c>
      <c r="B132" s="13" t="inlineStr">
        <is>
          <t>cabo_verde</t>
        </is>
      </c>
      <c r="C132" s="13" t="inlineStr">
        <is>
          <t>Nha Kretxeu</t>
        </is>
      </c>
      <c r="D132" s="13" t="inlineStr">
        <is>
          <t>https://www.nhakretxeu.com/supermercado.html</t>
        </is>
      </c>
      <c r="E132" s="13" t="inlineStr">
        <is>
          <t>TIER_1A</t>
        </is>
      </c>
      <c r="F132" s="13" t="inlineStr">
        <is>
          <t>low</t>
        </is>
      </c>
      <c r="G132" s="13" t="inlineStr">
        <is>
          <t>Wave 2</t>
        </is>
      </c>
      <c r="H132" s="13" t="inlineStr">
        <is>
          <t>spider</t>
        </is>
      </c>
      <c r="I132" s="13" t="inlineStr">
        <is>
          <t>Generic Magento/GraphQL spider (incl. the mcprod.&lt;domain&gt; pattern)</t>
        </is>
      </c>
      <c r="J132" s="13" t="inlineStr">
        <is>
          <t>H_magento</t>
        </is>
      </c>
      <c r="K132" s="13" t="inlineStr">
        <is>
          <t>Magento</t>
        </is>
      </c>
      <c r="L132" s="13" t="inlineStr">
        <is>
          <t>retailer_sku</t>
        </is>
      </c>
      <c r="M132" s="13" t="inlineStr">
        <is>
          <t>supermarket</t>
        </is>
      </c>
      <c r="N132" s="13" t="inlineStr">
        <is>
          <t>CVE</t>
        </is>
      </c>
      <c r="O132" s="13" t="n">
        <v>85</v>
      </c>
      <c r="P132" s="13" t="inlineStr">
        <is>
          <t>/supermercado.html (SSR HTML; REST API is closed)</t>
        </is>
      </c>
      <c r="Q132" s="13" t="inlineStr">
        <is>
          <t>GET /supermercado.html -&gt; HTTP 200, 415KB SSR HTML (Magento Luma theme). Confirmed product cards: 'Melao grande (metade)' 450,00 CVE (data-product-id=4798), 'Muesli Com Frutas Emicela 750g', 'Melao pele de sapo 1 unidade'. 292 product-item blocks on this single page. Note: /rest/V1/products returns 401 (auth required) so the REST API is closed -- use the SSR category pages instead, as CSV's own 1,306-SKU claim implies.</t>
        </is>
      </c>
      <c r="R132" s="13" t="b">
        <v>1</v>
      </c>
      <c r="S132" s="13" t="inlineStr">
        <is>
          <t>CSV's 'Best Cabo Verde source' claim confirmed structurally. Fresh produce (melons, fruit) plus packaged goods (muesli) both present in the first page alone.</t>
        </is>
      </c>
      <c r="T132" s="13" t="inlineStr"/>
    </row>
    <row r="133">
      <c r="A133" s="13" t="inlineStr">
        <is>
          <t>eca</t>
        </is>
      </c>
      <c r="B133" s="13" t="inlineStr">
        <is>
          <t>spain</t>
        </is>
      </c>
      <c r="C133" s="13" t="inlineStr">
        <is>
          <t>Mercadona (tienda.mercadona.es)</t>
        </is>
      </c>
      <c r="D133" s="13" t="inlineStr">
        <is>
          <t>https://tienda.mercadona.es/</t>
        </is>
      </c>
      <c r="E133" s="13" t="inlineStr">
        <is>
          <t>TIER_1B</t>
        </is>
      </c>
      <c r="F133" s="13" t="inlineStr">
        <is>
          <t>low</t>
        </is>
      </c>
      <c r="G133" s="13" t="inlineStr">
        <is>
          <t>Wave 3</t>
        </is>
      </c>
      <c r="H133" s="13" t="inlineStr">
        <is>
          <t>spider</t>
        </is>
      </c>
      <c r="I133" s="13" t="inlineStr">
        <is>
          <t>One bespoke spider or fetcher per source</t>
        </is>
      </c>
      <c r="J133" s="13" t="inlineStr">
        <is>
          <t>Z_bespoke</t>
        </is>
      </c>
      <c r="K133" s="13" t="inlineStr">
        <is>
          <t>Custom (public JSON API)</t>
        </is>
      </c>
      <c r="L133" s="13" t="inlineStr">
        <is>
          <t>retailer_sku</t>
        </is>
      </c>
      <c r="M133" s="13" t="inlineStr">
        <is>
          <t>supermarket</t>
        </is>
      </c>
      <c r="N133" s="13" t="inlineStr">
        <is>
          <t>EUR</t>
        </is>
      </c>
      <c r="O133" s="13" t="n">
        <v>180</v>
      </c>
      <c r="P133" s="13" t="inlineStr">
        <is>
          <t>/api/categories/{id}</t>
        </is>
      </c>
      <c r="Q133" s="13" t="inlineStr">
        <is>
          <t>GET /api/categories/ -&gt; 200, 17.4KB JSON, 26 top-level categories e.g. 'Aceite, especias y salsas'.</t>
        </is>
      </c>
      <c r="R133" s="13" t="b">
        <v>1</v>
      </c>
      <c r="S133" s="13" t="inlineStr">
        <is>
          <t>Documented public API, established open-source scraper ecosystem (datania/mercadona-catalog). Market leader with dominant private label.</t>
        </is>
      </c>
      <c r="T133" s="13" t="inlineStr"/>
    </row>
    <row r="134">
      <c r="A134" s="13" t="inlineStr">
        <is>
          <t>lac</t>
        </is>
      </c>
      <c r="B134" s="13" t="inlineStr">
        <is>
          <t>mexico</t>
        </is>
      </c>
      <c r="C134" s="13" t="inlineStr">
        <is>
          <t>PROFECO Quien es Quien en los Precios (QQP)</t>
        </is>
      </c>
      <c r="D134" s="13" t="inlineStr">
        <is>
          <t>https://datos.profeco.gob.mx/datos_abiertos/qqp.php</t>
        </is>
      </c>
      <c r="E134" s="13" t="inlineStr">
        <is>
          <t>TIER_1B</t>
        </is>
      </c>
      <c r="F134" s="13" t="inlineStr">
        <is>
          <t>low</t>
        </is>
      </c>
      <c r="G134" s="13" t="inlineStr">
        <is>
          <t>Wave 3</t>
        </is>
      </c>
      <c r="H134" s="13" t="inlineStr">
        <is>
          <t>fetcher</t>
        </is>
      </c>
      <c r="I134" s="13" t="inlineStr">
        <is>
          <t>One bespoke spider or fetcher per source</t>
        </is>
      </c>
      <c r="J134" s="13" t="inlineStr">
        <is>
          <t>Z_bespoke</t>
        </is>
      </c>
      <c r="K134" s="13" t="inlineStr">
        <is>
          <t>Custom gov CSV</t>
        </is>
      </c>
      <c r="L134" s="13" t="inlineStr">
        <is>
          <t>official_avg</t>
        </is>
      </c>
      <c r="M134" s="13" t="inlineStr">
        <is>
          <t>official_avg</t>
        </is>
      </c>
      <c r="N134" s="13" t="inlineStr">
        <is>
          <t>MXN</t>
        </is>
      </c>
      <c r="O134" s="13" t="n">
        <v>180</v>
      </c>
      <c r="P134" s="13" t="inlineStr">
        <is>
          <t>repodatos.atdt.gob.mx/api_update/profeco/... (monthly CSV per half-month)</t>
        </is>
      </c>
      <c r="Q134" s="13" t="inlineStr">
        <is>
          <t>Discovered monthly plain-CSV mirror (not the advertised RAR) at https://repodatos.atdt.gob.mx/api_update/profeco/programa_quien_es_quien_precios_2025/10-2025_01.csv -&gt; HTTP 200, 166MB, 528,493 rows. Columns: producto,presentacion,marca,categoria,catalogo,precio,fecha_registro,cadena_comercial,giro,nombre_comercial,direccion,estado,municipio,lat,long. Sample: 'Aceite' Botella 1L Vegetal, Bodega Aurrera, MXN 37.00, 2025-10-01. Categoria list spans Frutas Frescas, Hortalizas Frescas, Carne de Ave/Res/Cerdo, Pescados y Mariscos, Derivados de Leche, Huevo, Pan, Tortillas, Arroz, Azucar, Cafe, Te, Cerveza, Vinos y Licores, Refrescos, etc.</t>
        </is>
      </c>
      <c r="R134" s="13" t="b">
        <v>0</v>
      </c>
      <c r="S134" s="13" t="inlineStr">
        <is>
          <t>Consumer-protection agency (PROFECO) national comparative price survey across dozens of chains (Walmart/Bodega Aurrera, Soriana, Chedraui, Comercial Mexicana, La Comer, etc.) and thousands of stores. Whole-catalog walker candidate: iterate monthly CSV links on the datos.gob.mx dataset page. Data dictionary + metadata CSVs also fetched clean (200 OK).</t>
        </is>
      </c>
      <c r="T134" s="13" t="inlineStr"/>
    </row>
    <row r="135">
      <c r="A135" s="13" t="inlineStr">
        <is>
          <t>eca</t>
        </is>
      </c>
      <c r="B135" s="13" t="inlineStr">
        <is>
          <t>finland</t>
        </is>
      </c>
      <c r="C135" s="13" t="inlineStr">
        <is>
          <t>S-kaupat (S Group)</t>
        </is>
      </c>
      <c r="D135" s="13" t="inlineStr">
        <is>
          <t>https://www.s-kaupat.fi/</t>
        </is>
      </c>
      <c r="E135" s="13" t="inlineStr">
        <is>
          <t>TIER_1A</t>
        </is>
      </c>
      <c r="F135" s="13" t="inlineStr">
        <is>
          <t>low</t>
        </is>
      </c>
      <c r="G135" s="13" t="inlineStr">
        <is>
          <t>Wave 3</t>
        </is>
      </c>
      <c r="H135" s="13" t="inlineStr">
        <is>
          <t>spider</t>
        </is>
      </c>
      <c r="I135" s="13" t="inlineStr">
        <is>
          <t>One bespoke spider or fetcher per source</t>
        </is>
      </c>
      <c r="J135" s="13" t="inlineStr">
        <is>
          <t>Z_bespoke</t>
        </is>
      </c>
      <c r="K135" s="13" t="inlineStr">
        <is>
          <t>Custom (Next.js)</t>
        </is>
      </c>
      <c r="L135" s="13" t="inlineStr">
        <is>
          <t>retailer_sku</t>
        </is>
      </c>
      <c r="M135" s="13" t="inlineStr">
        <is>
          <t>supermarket</t>
        </is>
      </c>
      <c r="N135" s="13" t="inlineStr">
        <is>
          <t>EUR</t>
        </is>
      </c>
      <c r="O135" s="13" t="n">
        <v>170</v>
      </c>
      <c r="P135" s="13" t="inlineStr">
        <is>
          <t>SSR product cards + __NEXT_DATA__</t>
        </is>
      </c>
      <c r="Q135" s="13" t="inlineStr">
        <is>
          <t>GET / -&gt; 200, 516KB, __NEXT_DATA__ present. Server-rendered product cards found: data-test-id='product-card__product-price' with display-price '1,25 €' next to data-test-id='product-price__dynamic-unitPrice'.</t>
        </is>
      </c>
      <c r="R135" s="13" t="b">
        <v>1</v>
      </c>
      <c r="S135" s="13" t="inlineStr">
        <is>
          <t>Finland's most popular online grocery (S Group). Finnish-only UI.</t>
        </is>
      </c>
      <c r="T135" s="13" t="inlineStr"/>
    </row>
    <row r="136">
      <c r="A136" s="13" t="inlineStr">
        <is>
          <t>eca</t>
        </is>
      </c>
      <c r="B136" s="13" t="inlineStr">
        <is>
          <t>italy</t>
        </is>
      </c>
      <c r="C136" s="13" t="inlineStr">
        <is>
          <t>Conad</t>
        </is>
      </c>
      <c r="D136" s="13" t="inlineStr">
        <is>
          <t>https://spesaonline.conad.it/</t>
        </is>
      </c>
      <c r="E136" s="13" t="inlineStr">
        <is>
          <t>TIER_1A</t>
        </is>
      </c>
      <c r="F136" s="13" t="inlineStr">
        <is>
          <t>low</t>
        </is>
      </c>
      <c r="G136" s="13" t="inlineStr">
        <is>
          <t>Wave 3</t>
        </is>
      </c>
      <c r="H136" s="13" t="inlineStr">
        <is>
          <t>spider</t>
        </is>
      </c>
      <c r="I136" s="13" t="inlineStr">
        <is>
          <t>One bespoke spider or fetcher per source</t>
        </is>
      </c>
      <c r="J136" s="13" t="inlineStr">
        <is>
          <t>Z_bespoke</t>
        </is>
      </c>
      <c r="K136" s="13" t="inlineStr">
        <is>
          <t>Custom (Sapo-family)</t>
        </is>
      </c>
      <c r="L136" s="13" t="inlineStr">
        <is>
          <t>retailer_sku</t>
        </is>
      </c>
      <c r="M136" s="13" t="inlineStr">
        <is>
          <t>supermarket</t>
        </is>
      </c>
      <c r="N136" s="13" t="inlineStr">
        <is>
          <t>EUR</t>
        </is>
      </c>
      <c r="O136" s="13" t="n">
        <v>170</v>
      </c>
      <c r="P136" s="13" t="inlineStr">
        <is>
          <t>/p/&lt;slug&gt;--&lt;id&gt;</t>
        </is>
      </c>
      <c r="Q136" s="13" t="inlineStr">
        <is>
          <t>GET / -&gt; 200, 475KB, Sapo/Next hybrid. 15 unique real /p/&lt;slug&gt;--&lt;id&gt; product links on the homepage alone, spanning mozzarella, organic eggs, free-range eggs, water, chicken breast, carrots, toilet paper. EUR prices in SSR HTML (6,55 €, 2,49€, 5,24 €, 1,99€ ...).</t>
        </is>
      </c>
      <c r="R136" s="13" t="b">
        <v>1</v>
      </c>
      <c r="S136" s="13" t="inlineStr">
        <is>
          <t>Largest Italian chain by share per CSV. Homepage alone already spans dairy, eggs, fresh meat, fresh produce, beverages, non-food -- strong full-line signal.</t>
        </is>
      </c>
      <c r="T136" s="13" t="inlineStr"/>
    </row>
    <row r="137">
      <c r="A137" s="13" t="inlineStr">
        <is>
          <t>eap</t>
        </is>
      </c>
      <c r="B137" s="13" t="inlineStr">
        <is>
          <t>malaysia</t>
        </is>
      </c>
      <c r="C137" s="13" t="inlineStr">
        <is>
          <t>KPDNHEP PriceCatcher (data.gov.my)</t>
        </is>
      </c>
      <c r="D137" s="13" t="inlineStr">
        <is>
          <t>https://storage.data.gov.my/pricecatcher/</t>
        </is>
      </c>
      <c r="E137" s="13" t="inlineStr">
        <is>
          <t>TIER_1B</t>
        </is>
      </c>
      <c r="F137" s="13" t="inlineStr">
        <is>
          <t>low</t>
        </is>
      </c>
      <c r="G137" s="13" t="inlineStr">
        <is>
          <t>Wave 3</t>
        </is>
      </c>
      <c r="H137" s="13" t="inlineStr">
        <is>
          <t>fetcher</t>
        </is>
      </c>
      <c r="I137" s="13" t="inlineStr">
        <is>
          <t>One bespoke spider or fetcher per source</t>
        </is>
      </c>
      <c r="J137" s="13" t="inlineStr">
        <is>
          <t>Z_bespoke</t>
        </is>
      </c>
      <c r="K137" s="13" t="inlineStr">
        <is>
          <t>Custom (static gov open-data bucket, no auth, no rate limit hit)</t>
        </is>
      </c>
      <c r="L137" s="13" t="inlineStr">
        <is>
          <t>official_avg</t>
        </is>
      </c>
      <c r="M137" s="13" t="inlineStr"/>
      <c r="N137" s="13" t="inlineStr">
        <is>
          <t>MYR</t>
        </is>
      </c>
      <c r="O137" s="13" t="n">
        <v>160</v>
      </c>
      <c r="P137" s="13" t="inlineStr">
        <is>
          <t>/pricecatcher/pricecatcher_YYYY-MM.csv + /pricecatcher/lookup_item.csv (+ presumably lookup_premise.csv)</t>
        </is>
      </c>
      <c r="Q137" s="13" t="inlineStr">
        <is>
          <t>GET https://storage.data.gov.my/pricecatcher/pricecatcher_2026-08.csv -&gt; 200, 8.9MB CSV, 345,029 rows (date,premise_code,item_code,price) for August 2026 alone; monthly files exist back to program start (pricecatcher_YYYY-MM.csv, also daily YYYY-MM-DD variants and a *_preview.parquet). Companion GET .../lookup_item.csv -&gt; 200, 758-row item master (item_code,item,unit,item_group,item_category). Sample: item_code=1 'AYAM BERSIH - STANDARD' unit=1kg; premise_code=2, 2026-08-01, price=MYR 11.00.</t>
        </is>
      </c>
      <c r="R137" s="13" t="b">
        <v>0</v>
      </c>
      <c r="S137" s="13" t="inlineStr">
        <is>
          <t>KPDNHEP's official daily price-monitoring program across 500+ registered premises nationwide (wet markets, supermarkets, minimarkets, hypermarkets), 758 SKUs total. Item-group breakdown: AYAM(10, chicken), DAGING(32, meat), BAHAN LAUT(38, fresh seafood), IKAN DARAT(4, freshwater fish), IKAN DALAM TIN(11, canned fish), HASIL LAUT KERING(4, dried seafood), SAYUR-SAYURAN(40, vegetables) + BAWANG(11, onions) + UBI KENTANG(3, potato), BUAH-BUAHAN(17, fruit), BERAS(19, rice), TEPUNG(8, flour), MEE/BIHUN/KUEY TEOW(28+3+2, noodles), MINYAK DAN LEMAK(39, oils/fats), TELUR(11, eggs), SUSU BAYI(20)+KRIMER DAN SUSU TEPUNG(23, dairy/milk powder), KACANG(7, nuts/pulses), REMPAH RATUS berbungkus+tidak(30+18, spices/condiments), KICAP DAN SOS(20, sauces), GULA(4, sugar), MINUMAN(47)+TERSEDIA MINUM(25, beverages) -- roughly 600 of the 758 items are food/beverage; the remainder (toiletries, stationery, diapers) rides the same monitoring program and is excluded downstream by the food gate. True whole-catalog walker: bulk monthly file, no pagination, no auth. Malaysia currently has zero official_avg/wholesale manifest in the repo -- this closes that gap outright and is the single strongest source found this session.</t>
        </is>
      </c>
      <c r="T137" s="13" t="inlineStr"/>
    </row>
    <row r="138">
      <c r="A138" s="13" t="inlineStr">
        <is>
          <t>eca</t>
        </is>
      </c>
      <c r="B138" s="13" t="inlineStr">
        <is>
          <t>malta</t>
        </is>
      </c>
      <c r="C138" s="13" t="inlineStr">
        <is>
          <t>PaviPama</t>
        </is>
      </c>
      <c r="D138" s="13" t="inlineStr">
        <is>
          <t>https://www.pavipama.com.mt/</t>
        </is>
      </c>
      <c r="E138" s="13" t="inlineStr">
        <is>
          <t>TIER_1B</t>
        </is>
      </c>
      <c r="F138" s="13" t="inlineStr">
        <is>
          <t>low</t>
        </is>
      </c>
      <c r="G138" s="13" t="inlineStr">
        <is>
          <t>Wave 3</t>
        </is>
      </c>
      <c r="H138" s="13" t="inlineStr">
        <is>
          <t>spider</t>
        </is>
      </c>
      <c r="I138" s="13" t="inlineStr">
        <is>
          <t>One bespoke spider or fetcher per source</t>
        </is>
      </c>
      <c r="J138" s="13" t="inlineStr">
        <is>
          <t>Z_bespoke</t>
        </is>
      </c>
      <c r="K138" s="13" t="inlineStr">
        <is>
          <t>Custom</t>
        </is>
      </c>
      <c r="L138" s="13" t="inlineStr">
        <is>
          <t>retailer_sku</t>
        </is>
      </c>
      <c r="M138" s="13" t="inlineStr">
        <is>
          <t>supermarket</t>
        </is>
      </c>
      <c r="N138" s="13" t="inlineStr">
        <is>
          <t>EUR</t>
        </is>
      </c>
      <c r="O138" s="13" t="n">
        <v>160</v>
      </c>
      <c r="P138" s="13" t="inlineStr">
        <is>
          <t>/api/cli/ecommerce/products/featured?p=0&amp;store=  (also /api/cli/categories)</t>
        </is>
      </c>
      <c r="Q138" s="13" t="inlineStr">
        <is>
          <t>curl 200 (after -L to /app/), Playwright network sniff found open API https://pavipama.com.mt/api/cli/ecommerce/products/featured?p=0&amp;store= -&gt; plain curl with Origin/Referer headers returns HTTP 200, 32.8KB JSON, 20 products/page. Sample: 'ACQUA FRIZZANTE 500ML' price 0.25 EUR, brand CONAD. /api/cli/categories returns 23 top-level categories: CONFECTIONERY, FRUIT &amp; VEG, DELICATESSEN, FISH, BUTCHER, FROZEN, CHILLED, BABY, PERSONAL CARE, PASTA SHOP, FOODS, CELLAR, BAKERY, BEVERAGES, PETSHOP, CLEANING, HEALTH, etc.</t>
        </is>
      </c>
      <c r="R138" s="13" t="b">
        <v>1</v>
      </c>
      <c r="S138" s="13" t="inlineStr">
        <is>
          <t>CSV URL (pavishopping.com) was DEAD (NXDOMAIN). Correct current domain found via WebSearch: pavipama.com.mt. Genuinely full-line: fruit&amp;veg, fish, butcher, frozen, chilled, bakery, beverages, cellar, pasta shop confirmed as real top-level categories.</t>
        </is>
      </c>
      <c r="T138" s="13" t="inlineStr"/>
    </row>
    <row r="139">
      <c r="A139" s="13" t="inlineStr">
        <is>
          <t>eca</t>
        </is>
      </c>
      <c r="B139" s="13" t="inlineStr">
        <is>
          <t>armenia</t>
        </is>
      </c>
      <c r="C139" s="13" t="inlineStr">
        <is>
          <t>Parma</t>
        </is>
      </c>
      <c r="D139" s="13" t="inlineStr">
        <is>
          <t>https://parma.am/en/</t>
        </is>
      </c>
      <c r="E139" s="13" t="inlineStr">
        <is>
          <t>TIER_1A</t>
        </is>
      </c>
      <c r="F139" s="13" t="inlineStr">
        <is>
          <t>low</t>
        </is>
      </c>
      <c r="G139" s="13" t="inlineStr">
        <is>
          <t>Wave 3</t>
        </is>
      </c>
      <c r="H139" s="13" t="inlineStr">
        <is>
          <t>spider</t>
        </is>
      </c>
      <c r="I139" s="13" t="inlineStr">
        <is>
          <t>One bespoke spider or fetcher per source</t>
        </is>
      </c>
      <c r="J139" s="13" t="inlineStr">
        <is>
          <t>Z_bespoke</t>
        </is>
      </c>
      <c r="K139" s="13" t="inlineStr">
        <is>
          <t>Custom (Next.js)</t>
        </is>
      </c>
      <c r="L139" s="13" t="inlineStr">
        <is>
          <t>retailer_sku</t>
        </is>
      </c>
      <c r="M139" s="13" t="inlineStr">
        <is>
          <t>supermarket</t>
        </is>
      </c>
      <c r="N139" s="13" t="inlineStr">
        <is>
          <t>AMD</t>
        </is>
      </c>
      <c r="O139" s="13" t="n">
        <v>160</v>
      </c>
      <c r="P139" s="13" t="inlineStr">
        <is>
          <t>/en/product/shop?slug=&lt;category&gt;, /en/product/category?slug=&lt;id&gt;</t>
        </is>
      </c>
      <c r="Q139" s="13" t="inlineStr">
        <is>
          <t>GET /en/product/shop?slug=only-in-parma -&gt; 200, 539KB HTML. Full category tree (baby-food, alcoholic-beverages, bakery, beef, basturma-sudjuk, battery...). Server-rendered dram prices in raw HTML: e.g. 233 է, 10387 է, 8514 է.</t>
        </is>
      </c>
      <c r="R139" s="13" t="b">
        <v>1</v>
      </c>
      <c r="S139" s="13" t="inlineStr">
        <is>
          <t>Full grocery taxonomy incl. baby food, alcohol, bakery, fresh/cured meat (basturma). No login/geo wall hit.</t>
        </is>
      </c>
      <c r="T139" s="13" t="inlineStr"/>
    </row>
    <row r="140">
      <c r="A140" s="13" t="inlineStr">
        <is>
          <t>sar</t>
        </is>
      </c>
      <c r="B140" s="13" t="inlineStr">
        <is>
          <t>sri_lanka</t>
        </is>
      </c>
      <c r="C140" s="13" t="inlineStr">
        <is>
          <t>Glomark</t>
        </is>
      </c>
      <c r="D140" s="13" t="inlineStr">
        <is>
          <t>https://glomark.lk/</t>
        </is>
      </c>
      <c r="E140" s="13" t="inlineStr">
        <is>
          <t>TIER_1A</t>
        </is>
      </c>
      <c r="F140" s="13" t="inlineStr">
        <is>
          <t>low</t>
        </is>
      </c>
      <c r="G140" s="13" t="inlineStr">
        <is>
          <t>Wave 3</t>
        </is>
      </c>
      <c r="H140" s="13" t="inlineStr">
        <is>
          <t>spider</t>
        </is>
      </c>
      <c r="I140" s="13" t="inlineStr">
        <is>
          <t>One bespoke spider or fetcher per source</t>
        </is>
      </c>
      <c r="J140" s="13" t="inlineStr">
        <is>
          <t>Z_bespoke</t>
        </is>
      </c>
      <c r="K140" s="13" t="inlineStr">
        <is>
          <t>Custom PHP (ZENEDGE-fronted)</t>
        </is>
      </c>
      <c r="L140" s="13" t="inlineStr">
        <is>
          <t>retailer_sku</t>
        </is>
      </c>
      <c r="M140" s="13" t="inlineStr">
        <is>
          <t>supermarket</t>
        </is>
      </c>
      <c r="N140" s="13" t="inlineStr">
        <is>
          <t>LKR</t>
        </is>
      </c>
      <c r="O140" s="13" t="n">
        <v>160</v>
      </c>
      <c r="P140" s="13" t="inlineStr"/>
      <c r="Q140" s="13" t="inlineStr">
        <is>
          <t>curl 200/1.14MB SSR HTML on /shop-now. 102 distinct subcategory URLs (/&lt;path&gt;/c/&lt;id&gt; and /&lt;path&gt;/&lt;sub&gt;/sc/&lt;id&gt;) spanning bakery(bread,buns,cake,cookies,savoury,sweet), beverages(coffee,tea,water,juices,malt,soft-drinks,sport/energy), chilled(cheese,cream,curd,desserts,pasteurized-milk,ready-to-cook,spreads,yogurt), fresh(fish: fresh-water+sea; fruits: imported+local; meat: beef,lamb,mutton,pork,poultry,ready-to-cook,value-added; vegetable: exotic,low-country,up-country), frozen(ready-to-cook,ready-to-eat,processed fish/meat/veg-fruit), grocery, household, pharmaceuticals. PDP confirmed: 'Banno Basmati Biriyani Rice 500G' Rs.250 (h1 + price both present, 767KB page).</t>
        </is>
      </c>
      <c r="R140" s="13" t="b">
        <v>0</v>
      </c>
      <c r="S140" s="13" t="inlineStr">
        <is>
          <t>Best single find of this shard -- 'Sri Lanka's first global market', a genuine full-line supermarket (fresh meat by cut, two fish types, imported+local fruit, three vegetable tiers) served entirely over plain SSR HTML with no WAF encountered. Should be the first onboarding priority for Sri Lanka.</t>
        </is>
      </c>
      <c r="T140" s="13" t="inlineStr"/>
    </row>
    <row r="141">
      <c r="A141" s="13" t="inlineStr">
        <is>
          <t>lac</t>
        </is>
      </c>
      <c r="B141" s="13" t="inlineStr">
        <is>
          <t>bolivia</t>
        </is>
      </c>
      <c r="C141" s="13" t="inlineStr">
        <is>
          <t>Hipermaxi</t>
        </is>
      </c>
      <c r="D141" s="13" t="inlineStr">
        <is>
          <t>https://www.hipermaxi.com/</t>
        </is>
      </c>
      <c r="E141" s="13" t="inlineStr">
        <is>
          <t>TIER_1A</t>
        </is>
      </c>
      <c r="F141" s="13" t="inlineStr">
        <is>
          <t>low</t>
        </is>
      </c>
      <c r="G141" s="13" t="inlineStr">
        <is>
          <t>Wave 3</t>
        </is>
      </c>
      <c r="H141" s="13" t="inlineStr">
        <is>
          <t>spider</t>
        </is>
      </c>
      <c r="I141" s="13" t="inlineStr">
        <is>
          <t>One bespoke spider or fetcher per source</t>
        </is>
      </c>
      <c r="J141" s="13" t="inlineStr">
        <is>
          <t>Z_bespoke</t>
        </is>
      </c>
      <c r="K141" s="13" t="inlineStr">
        <is>
          <t>Next.js/Custom</t>
        </is>
      </c>
      <c r="L141" s="13" t="inlineStr">
        <is>
          <t>retailer_sku</t>
        </is>
      </c>
      <c r="M141" s="13" t="inlineStr">
        <is>
          <t>supermarket</t>
        </is>
      </c>
      <c r="N141" s="13" t="inlineStr">
        <is>
          <t>BOB</t>
        </is>
      </c>
      <c r="O141" s="13" t="n">
        <v>160</v>
      </c>
      <c r="P141" s="13" t="inlineStr">
        <is>
          <t>SSR HTML (no API needed)</t>
        </is>
      </c>
      <c r="Q141" s="13" t="inlineStr">
        <is>
          <t>curl 200/791KB, Next.js SSR. Prices server-rendered directly in HTML with schema-labelled blocks: 'Carne Molida de Segunda' (ground beef) Bs 40.50; 'Coca Cola Original 3 L' Bs 17.10. Full meat + beverage + grocery categories visible.</t>
        </is>
      </c>
      <c r="R141" s="13" t="b">
        <v>1</v>
      </c>
      <c r="S141" s="13" t="inlineStr">
        <is>
          <t>Largest Bolivian supermarket chain per CSV; strongest Bolivia source, prices render server-side with no API needed.</t>
        </is>
      </c>
      <c r="T141" s="13" t="inlineStr"/>
    </row>
    <row r="142">
      <c r="A142" s="13" t="inlineStr">
        <is>
          <t>eca</t>
        </is>
      </c>
      <c r="B142" s="13" t="inlineStr">
        <is>
          <t>romania</t>
        </is>
      </c>
      <c r="C142" s="13" t="inlineStr">
        <is>
          <t>Freshful by eMAG</t>
        </is>
      </c>
      <c r="D142" s="13" t="inlineStr">
        <is>
          <t>https://www.freshful.ro/</t>
        </is>
      </c>
      <c r="E142" s="13" t="inlineStr">
        <is>
          <t>TIER_1A</t>
        </is>
      </c>
      <c r="F142" s="13" t="inlineStr">
        <is>
          <t>low</t>
        </is>
      </c>
      <c r="G142" s="13" t="inlineStr">
        <is>
          <t>Wave 3</t>
        </is>
      </c>
      <c r="H142" s="13" t="inlineStr">
        <is>
          <t>spider</t>
        </is>
      </c>
      <c r="I142" s="13" t="inlineStr">
        <is>
          <t>One bespoke spider or fetcher per source</t>
        </is>
      </c>
      <c r="J142" s="13" t="inlineStr">
        <is>
          <t>Z_bespoke</t>
        </is>
      </c>
      <c r="K142" s="13" t="inlineStr">
        <is>
          <t>Next.js</t>
        </is>
      </c>
      <c r="L142" s="13" t="inlineStr">
        <is>
          <t>retailer_sku</t>
        </is>
      </c>
      <c r="M142" s="13" t="inlineStr">
        <is>
          <t>supermarket</t>
        </is>
      </c>
      <c r="N142" s="13" t="inlineStr">
        <is>
          <t>RON</t>
        </is>
      </c>
      <c r="O142" s="13" t="n">
        <v>150</v>
      </c>
      <c r="P142" s="13" t="inlineStr">
        <is>
          <t>SSR HTML, no API needed</t>
        </is>
      </c>
      <c r="Q142" s="13" t="inlineStr">
        <is>
          <t>curl 200, 566KB SSR HTML (__NEXT_DATA__), real prices in raw HTML: '12,99 lei', '20,00 Lei', '56,99 Lei', '47,98 Lei', '23,03 Lei'</t>
        </is>
      </c>
      <c r="R142" s="13" t="b">
        <v>1</v>
      </c>
      <c r="S142" s="13" t="inlineStr">
        <is>
          <t>Matches the brief's own worked example. Fresh produce with named local-producer attribution per CSV notes.</t>
        </is>
      </c>
      <c r="T142" s="13" t="inlineStr"/>
    </row>
    <row r="143">
      <c r="A143" s="13" t="inlineStr">
        <is>
          <t>eca</t>
        </is>
      </c>
      <c r="B143" s="13" t="inlineStr">
        <is>
          <t>kazakhstan</t>
        </is>
      </c>
      <c r="C143" s="13" t="inlineStr">
        <is>
          <t>Galmart</t>
        </is>
      </c>
      <c r="D143" s="13" t="inlineStr">
        <is>
          <t>https://galmart.kz/</t>
        </is>
      </c>
      <c r="E143" s="13" t="inlineStr">
        <is>
          <t>TIER_1A</t>
        </is>
      </c>
      <c r="F143" s="13" t="inlineStr">
        <is>
          <t>low</t>
        </is>
      </c>
      <c r="G143" s="13" t="inlineStr">
        <is>
          <t>Wave 3</t>
        </is>
      </c>
      <c r="H143" s="13" t="inlineStr">
        <is>
          <t>spider</t>
        </is>
      </c>
      <c r="I143" s="13" t="inlineStr">
        <is>
          <t>One bespoke spider or fetcher per source</t>
        </is>
      </c>
      <c r="J143" s="13" t="inlineStr">
        <is>
          <t>Z_bespoke</t>
        </is>
      </c>
      <c r="K143" s="13" t="inlineStr">
        <is>
          <t>Custom</t>
        </is>
      </c>
      <c r="L143" s="13" t="inlineStr">
        <is>
          <t>retailer_sku</t>
        </is>
      </c>
      <c r="M143" s="13" t="inlineStr">
        <is>
          <t>supermarket</t>
        </is>
      </c>
      <c r="N143" s="13" t="inlineStr">
        <is>
          <t>KZT</t>
        </is>
      </c>
      <c r="O143" s="13" t="n">
        <v>150</v>
      </c>
      <c r="P143" s="13" t="inlineStr">
        <is>
          <t>SSR HTML</t>
        </is>
      </c>
      <c r="Q143" s="13" t="inlineStr">
        <is>
          <t>curl 200, 142KB, real prices in raw HTML: '2 650₸', '2 850₸', '1 456₸', '1 835₸', '2 310₸', '2 100₸'</t>
        </is>
      </c>
      <c r="R143" s="13" t="b">
        <v>1</v>
      </c>
      <c r="S143" s="13" t="inlineStr">
        <is>
          <t>Premium Astana chain with deep dairy taxonomy per CSV (mare/camel/goat milk as separate categories).</t>
        </is>
      </c>
      <c r="T143" s="13" t="inlineStr"/>
    </row>
    <row r="144">
      <c r="A144" s="13" t="inlineStr">
        <is>
          <t>eca</t>
        </is>
      </c>
      <c r="B144" s="13" t="inlineStr">
        <is>
          <t>slovenia</t>
        </is>
      </c>
      <c r="C144" s="13" t="inlineStr">
        <is>
          <t>Mercator Online</t>
        </is>
      </c>
      <c r="D144" s="13" t="inlineStr">
        <is>
          <t>https://mercatoronline.si/</t>
        </is>
      </c>
      <c r="E144" s="13" t="inlineStr">
        <is>
          <t>TIER_1A</t>
        </is>
      </c>
      <c r="F144" s="13" t="inlineStr">
        <is>
          <t>low</t>
        </is>
      </c>
      <c r="G144" s="13" t="inlineStr">
        <is>
          <t>Wave 3</t>
        </is>
      </c>
      <c r="H144" s="13" t="inlineStr">
        <is>
          <t>spider</t>
        </is>
      </c>
      <c r="I144" s="13" t="inlineStr">
        <is>
          <t>One bespoke spider or fetcher per source</t>
        </is>
      </c>
      <c r="J144" s="13" t="inlineStr">
        <is>
          <t>Z_bespoke</t>
        </is>
      </c>
      <c r="K144" s="13" t="inlineStr">
        <is>
          <t>Custom</t>
        </is>
      </c>
      <c r="L144" s="13" t="inlineStr">
        <is>
          <t>retailer_sku</t>
        </is>
      </c>
      <c r="M144" s="13" t="inlineStr">
        <is>
          <t>supermarket</t>
        </is>
      </c>
      <c r="N144" s="13" t="inlineStr">
        <is>
          <t>EUR</t>
        </is>
      </c>
      <c r="O144" s="13" t="n">
        <v>150</v>
      </c>
      <c r="P144" s="13" t="inlineStr">
        <is>
          <t>SSR HTML</t>
        </is>
      </c>
      <c r="Q144" s="13" t="inlineStr">
        <is>
          <t>curl 200, 767KB, real prices in raw HTML: '150,00 EUR', '60,00 EUR', '3,99€'</t>
        </is>
      </c>
      <c r="R144" s="13" t="b">
        <v>1</v>
      </c>
      <c r="S144" s="13" t="inlineStr">
        <is>
          <t>18,000+ products, delivery to 99% of Slovenian addresses per CSV; PC30 (30-day-lowest, omnibus) field noted but not verified in this pass.</t>
        </is>
      </c>
      <c r="T144" s="13" t="inlineStr"/>
    </row>
    <row r="145">
      <c r="A145" s="13" t="inlineStr">
        <is>
          <t>eca</t>
        </is>
      </c>
      <c r="B145" s="13" t="inlineStr">
        <is>
          <t>estonia</t>
        </is>
      </c>
      <c r="C145" s="13" t="inlineStr">
        <is>
          <t>Prisma Estonia</t>
        </is>
      </c>
      <c r="D145" s="13" t="inlineStr">
        <is>
          <t>https://www.prismamarket.ee/</t>
        </is>
      </c>
      <c r="E145" s="13" t="inlineStr">
        <is>
          <t>TIER_1A</t>
        </is>
      </c>
      <c r="F145" s="13" t="inlineStr">
        <is>
          <t>low</t>
        </is>
      </c>
      <c r="G145" s="13" t="inlineStr">
        <is>
          <t>Wave 3</t>
        </is>
      </c>
      <c r="H145" s="13" t="inlineStr">
        <is>
          <t>spider</t>
        </is>
      </c>
      <c r="I145" s="13" t="inlineStr">
        <is>
          <t>One bespoke spider or fetcher per source</t>
        </is>
      </c>
      <c r="J145" s="13" t="inlineStr">
        <is>
          <t>Z_bespoke</t>
        </is>
      </c>
      <c r="K145" s="13" t="inlineStr">
        <is>
          <t>Next.js</t>
        </is>
      </c>
      <c r="L145" s="13" t="inlineStr">
        <is>
          <t>retailer_sku</t>
        </is>
      </c>
      <c r="M145" s="13" t="inlineStr">
        <is>
          <t>supermarket</t>
        </is>
      </c>
      <c r="N145" s="13" t="inlineStr">
        <is>
          <t>EUR</t>
        </is>
      </c>
      <c r="O145" s="13" t="n">
        <v>150</v>
      </c>
      <c r="P145" s="13" t="inlineStr">
        <is>
          <t>SSR HTML / __NEXT_DATA__ JSON blob</t>
        </is>
      </c>
      <c r="Q145" s="13" t="inlineStr">
        <is>
          <t>curl 200, 367KB, Next.js SSR (__NEXT_DATA__ valid JSON with props.pageProps), real prices in raw HTML: '1,85 €', '12,33 €', '3,28 €'</t>
        </is>
      </c>
      <c r="R145" s="13" t="b">
        <v>1</v>
      </c>
      <c r="S145" s="13" t="inlineStr">
        <is>
          <t>-</t>
        </is>
      </c>
      <c r="T145" s="13" t="inlineStr"/>
    </row>
    <row r="146">
      <c r="A146" s="13" t="inlineStr">
        <is>
          <t>eca</t>
        </is>
      </c>
      <c r="B146" s="13" t="inlineStr">
        <is>
          <t>armenia</t>
        </is>
      </c>
      <c r="C146" s="13" t="inlineStr">
        <is>
          <t>Supermarket.am</t>
        </is>
      </c>
      <c r="D146" s="13" t="inlineStr">
        <is>
          <t>https://supermarket.am/en/</t>
        </is>
      </c>
      <c r="E146" s="13" t="inlineStr">
        <is>
          <t>TIER_1A</t>
        </is>
      </c>
      <c r="F146" s="13" t="inlineStr">
        <is>
          <t>low</t>
        </is>
      </c>
      <c r="G146" s="13" t="inlineStr">
        <is>
          <t>Wave 3</t>
        </is>
      </c>
      <c r="H146" s="13" t="inlineStr">
        <is>
          <t>spider</t>
        </is>
      </c>
      <c r="I146" s="13" t="inlineStr">
        <is>
          <t>One bespoke spider or fetcher per source</t>
        </is>
      </c>
      <c r="J146" s="13" t="inlineStr">
        <is>
          <t>Z_bespoke</t>
        </is>
      </c>
      <c r="K146" s="13" t="inlineStr">
        <is>
          <t>Custom</t>
        </is>
      </c>
      <c r="L146" s="13" t="inlineStr">
        <is>
          <t>retailer_sku</t>
        </is>
      </c>
      <c r="M146" s="13" t="inlineStr">
        <is>
          <t>supermarket</t>
        </is>
      </c>
      <c r="N146" s="13" t="inlineStr">
        <is>
          <t>AMD</t>
        </is>
      </c>
      <c r="O146" s="13" t="n">
        <v>150</v>
      </c>
      <c r="P146" s="13" t="inlineStr">
        <is>
          <t>/en/products/_&lt;id&gt;/</t>
        </is>
      </c>
      <c r="Q146" s="13" t="inlineStr">
        <is>
          <t>GET /en/products/_723530/ -&gt; 200, 399KB. PDP h1 'Pasta Zara No. 50 500g', span.priceValue = '710 dr'. Category tree via /en/products/_&lt;id&gt;/ product links visible on homepage.</t>
        </is>
      </c>
      <c r="R146" s="13" t="b">
        <v>1</v>
      </c>
      <c r="S146" s="13" t="inlineStr">
        <is>
          <t>Weight-based items sliced to order per CSV note; PDP price rendered server-side.</t>
        </is>
      </c>
      <c r="T146" s="13" t="inlineStr"/>
    </row>
    <row r="147">
      <c r="A147" s="13" t="inlineStr">
        <is>
          <t>eca</t>
        </is>
      </c>
      <c r="B147" s="13" t="inlineStr">
        <is>
          <t>bulgaria</t>
        </is>
      </c>
      <c r="C147" s="13" t="inlineStr">
        <is>
          <t>T Market Online</t>
        </is>
      </c>
      <c r="D147" s="13" t="inlineStr">
        <is>
          <t>https://tmarketonline.bg/</t>
        </is>
      </c>
      <c r="E147" s="13" t="inlineStr">
        <is>
          <t>TIER_1A</t>
        </is>
      </c>
      <c r="F147" s="13" t="inlineStr">
        <is>
          <t>low</t>
        </is>
      </c>
      <c r="G147" s="13" t="inlineStr">
        <is>
          <t>Wave 3</t>
        </is>
      </c>
      <c r="H147" s="13" t="inlineStr">
        <is>
          <t>spider</t>
        </is>
      </c>
      <c r="I147" s="13" t="inlineStr">
        <is>
          <t>One bespoke spider or fetcher per source</t>
        </is>
      </c>
      <c r="J147" s="13" t="inlineStr">
        <is>
          <t>Z_bespoke</t>
        </is>
      </c>
      <c r="K147" s="13" t="inlineStr">
        <is>
          <t>Custom</t>
        </is>
      </c>
      <c r="L147" s="13" t="inlineStr">
        <is>
          <t>retailer_sku</t>
        </is>
      </c>
      <c r="M147" s="13" t="inlineStr">
        <is>
          <t>supermarket</t>
        </is>
      </c>
      <c r="N147" s="13" t="inlineStr">
        <is>
          <t>BGN/EUR</t>
        </is>
      </c>
      <c r="O147" s="13" t="n">
        <v>150</v>
      </c>
      <c r="P147" s="13" t="inlineStr">
        <is>
          <t>SSR product pages</t>
        </is>
      </c>
      <c r="Q147" s="13" t="inlineStr">
        <is>
          <t>GET /product/avokado-izrael -&gt; h1 'Avokado, br.' (avocado), price '1,39 lv' / '0,71 EUR'. Real /product/&lt;slug&gt; and /category/&lt;slug&gt; links throughout homepage.</t>
        </is>
      </c>
      <c r="R147" s="13" t="b">
        <v>1</v>
      </c>
      <c r="S147" s="13" t="inlineStr">
        <is>
          <t>Maxima-group chain; CSV flags unusually good fresh + LOCAL Bulgarian lines (rose tomatoes, Madzharov cheese, banitsa sheets).</t>
        </is>
      </c>
      <c r="T147" s="13" t="inlineStr"/>
    </row>
    <row r="148">
      <c r="A148" s="13" t="inlineStr">
        <is>
          <t>eca</t>
        </is>
      </c>
      <c r="B148" s="13" t="inlineStr">
        <is>
          <t>finland</t>
        </is>
      </c>
      <c r="C148" s="13" t="inlineStr">
        <is>
          <t>Prisma</t>
        </is>
      </c>
      <c r="D148" s="13" t="inlineStr">
        <is>
          <t>https://www.prisma.fi/</t>
        </is>
      </c>
      <c r="E148" s="13" t="inlineStr">
        <is>
          <t>TIER_1A</t>
        </is>
      </c>
      <c r="F148" s="13" t="inlineStr">
        <is>
          <t>low</t>
        </is>
      </c>
      <c r="G148" s="13" t="inlineStr">
        <is>
          <t>Wave 3</t>
        </is>
      </c>
      <c r="H148" s="13" t="inlineStr">
        <is>
          <t>spider</t>
        </is>
      </c>
      <c r="I148" s="13" t="inlineStr">
        <is>
          <t>One bespoke spider or fetcher per source</t>
        </is>
      </c>
      <c r="J148" s="13" t="inlineStr">
        <is>
          <t>Z_bespoke</t>
        </is>
      </c>
      <c r="K148" s="13" t="inlineStr">
        <is>
          <t>Custom (Next.js)</t>
        </is>
      </c>
      <c r="L148" s="13" t="inlineStr">
        <is>
          <t>retailer_sku</t>
        </is>
      </c>
      <c r="M148" s="13" t="inlineStr">
        <is>
          <t>supermarket</t>
        </is>
      </c>
      <c r="N148" s="13" t="inlineStr">
        <is>
          <t>EUR</t>
        </is>
      </c>
      <c r="O148" s="13" t="n">
        <v>150</v>
      </c>
      <c r="P148" s="13" t="inlineStr">
        <is>
          <t>SSR + __NEXT_DATA__</t>
        </is>
      </c>
      <c r="Q148" s="13" t="inlineStr">
        <is>
          <t>GET / -&gt; 200, 1.04MB, __NEXT_DATA__ present, real EUR prices rendered server-side (e.g. '5 439,15 €' owner-price banner item). Same S-Group family as s-kaupat.fi. Grocery category page not separately fetched this round.</t>
        </is>
      </c>
      <c r="R148" s="13" t="b">
        <v>1</v>
      </c>
      <c r="S148" s="13" t="inlineStr">
        <is>
          <t>Homepage sample was a big-ticket appliance, not F&amp;B -- grocery category page needs a follow-up fetch to confirm F&amp;B depth directly, but platform/SSR confirmed working.</t>
        </is>
      </c>
      <c r="T148" s="13" t="inlineStr"/>
    </row>
    <row r="149">
      <c r="A149" s="13" t="inlineStr">
        <is>
          <t>eca</t>
        </is>
      </c>
      <c r="B149" s="13" t="inlineStr">
        <is>
          <t>iceland</t>
        </is>
      </c>
      <c r="C149" s="13" t="inlineStr">
        <is>
          <t>Kronan</t>
        </is>
      </c>
      <c r="D149" s="13" t="inlineStr">
        <is>
          <t>https://www.kronan.is/</t>
        </is>
      </c>
      <c r="E149" s="13" t="inlineStr">
        <is>
          <t>TIER_1B</t>
        </is>
      </c>
      <c r="F149" s="13" t="inlineStr">
        <is>
          <t>low</t>
        </is>
      </c>
      <c r="G149" s="13" t="inlineStr">
        <is>
          <t>Wave 3</t>
        </is>
      </c>
      <c r="H149" s="13" t="inlineStr">
        <is>
          <t>spider</t>
        </is>
      </c>
      <c r="I149" s="13" t="inlineStr">
        <is>
          <t>One bespoke spider or fetcher per source</t>
        </is>
      </c>
      <c r="J149" s="13" t="inlineStr">
        <is>
          <t>Z_bespoke</t>
        </is>
      </c>
      <c r="K149" s="13" t="inlineStr">
        <is>
          <t>Custom</t>
        </is>
      </c>
      <c r="L149" s="13" t="inlineStr">
        <is>
          <t>retailer_sku</t>
        </is>
      </c>
      <c r="M149" s="13" t="inlineStr">
        <is>
          <t>supermarket</t>
        </is>
      </c>
      <c r="N149" s="13" t="inlineStr">
        <is>
          <t>ISK</t>
        </is>
      </c>
      <c r="O149" s="13" t="n">
        <v>150</v>
      </c>
      <c r="P149" s="13" t="inlineStr">
        <is>
          <t>SSR embedded JSON at /vara/&lt;slug&gt;</t>
        </is>
      </c>
      <c r="Q149" s="13" t="inlineStr">
        <is>
          <t>GET / -&gt; 200, 479KB. Embedded product JSON in SSR HTML: {"slug":"100273243-isey-skyr-solmyrkvi",...,"categoryTag":"05-05-01-skyr",...,"discountedPrice":330,"priceInfo":"170 gr. - 1.941 kr. / kg"} (Isey skyr yoghurt, 330 kr). Also saw Red Bull, Floridana juice, /vara/&lt;id-slug&gt; product links throughout.</t>
        </is>
      </c>
      <c r="R149" s="13" t="b">
        <v>1</v>
      </c>
      <c r="S149" s="13" t="inlineStr">
        <is>
          <t>Internal category codes (e.g. 05-05-01-skyr) look pre-classified -- useful mapping hint. ISK has no minor units so price values are literal kr.</t>
        </is>
      </c>
      <c r="T149" s="13" t="inlineStr"/>
    </row>
    <row r="150">
      <c r="A150" s="13" t="inlineStr">
        <is>
          <t>eca</t>
        </is>
      </c>
      <c r="B150" s="13" t="inlineStr">
        <is>
          <t>croatia</t>
        </is>
      </c>
      <c r="C150" s="13" t="inlineStr">
        <is>
          <t>Plodine</t>
        </is>
      </c>
      <c r="D150" s="13" t="inlineStr">
        <is>
          <t>https://www.plodine.hr/</t>
        </is>
      </c>
      <c r="E150" s="13" t="inlineStr">
        <is>
          <t>TIER_1A</t>
        </is>
      </c>
      <c r="F150" s="13" t="inlineStr">
        <is>
          <t>low</t>
        </is>
      </c>
      <c r="G150" s="13" t="inlineStr">
        <is>
          <t>Wave 3</t>
        </is>
      </c>
      <c r="H150" s="13" t="inlineStr">
        <is>
          <t>spider</t>
        </is>
      </c>
      <c r="I150" s="13" t="inlineStr">
        <is>
          <t>One bespoke spider or fetcher per source</t>
        </is>
      </c>
      <c r="J150" s="13" t="inlineStr">
        <is>
          <t>Z_bespoke</t>
        </is>
      </c>
      <c r="K150" s="13" t="inlineStr">
        <is>
          <t>Next.js</t>
        </is>
      </c>
      <c r="L150" s="13" t="inlineStr">
        <is>
          <t>retailer_sku</t>
        </is>
      </c>
      <c r="M150" s="13" t="inlineStr">
        <is>
          <t>supermarket</t>
        </is>
      </c>
      <c r="N150" s="13" t="inlineStr">
        <is>
          <t>EUR</t>
        </is>
      </c>
      <c r="O150" s="13" t="n">
        <v>150</v>
      </c>
      <c r="P150" s="13" t="inlineStr">
        <is>
          <t>SSR homepage/category HTML</t>
        </is>
      </c>
      <c r="Q150" s="13" t="inlineStr">
        <is>
          <t>GET -&gt; 200, 86KB SSR (Next.js). Sample: h2 'Svježi black Angus steak' near 9,49€; also 4,49€, 12,99€ visible.</t>
        </is>
      </c>
      <c r="R150" s="13" t="b">
        <v>1</v>
      </c>
      <c r="S150" s="13" t="inlineStr">
        <is>
          <t>National chain, carried by all 4 Croatian aggregators for cross-validation.</t>
        </is>
      </c>
      <c r="T150" s="13" t="inlineStr"/>
    </row>
    <row r="151">
      <c r="A151" s="13" t="inlineStr">
        <is>
          <t>eca</t>
        </is>
      </c>
      <c r="B151" s="13" t="inlineStr">
        <is>
          <t>croatia</t>
        </is>
      </c>
      <c r="C151" s="13" t="inlineStr">
        <is>
          <t>Kaufland Croatia</t>
        </is>
      </c>
      <c r="D151" s="13" t="inlineStr">
        <is>
          <t>https://www.kaufland.hr/</t>
        </is>
      </c>
      <c r="E151" s="13" t="inlineStr">
        <is>
          <t>TIER_1A</t>
        </is>
      </c>
      <c r="F151" s="13" t="inlineStr">
        <is>
          <t>low</t>
        </is>
      </c>
      <c r="G151" s="13" t="inlineStr">
        <is>
          <t>Wave 3</t>
        </is>
      </c>
      <c r="H151" s="13" t="inlineStr">
        <is>
          <t>spider</t>
        </is>
      </c>
      <c r="I151" s="13" t="inlineStr">
        <is>
          <t>One bespoke spider or fetcher per source</t>
        </is>
      </c>
      <c r="J151" s="13" t="inlineStr">
        <is>
          <t>Z_bespoke</t>
        </is>
      </c>
      <c r="K151" s="13" t="inlineStr">
        <is>
          <t>Vue/Next hybrid</t>
        </is>
      </c>
      <c r="L151" s="13" t="inlineStr">
        <is>
          <t>retailer_sku</t>
        </is>
      </c>
      <c r="M151" s="13" t="inlineStr">
        <is>
          <t>supermarket</t>
        </is>
      </c>
      <c r="N151" s="13" t="inlineStr">
        <is>
          <t>EUR</t>
        </is>
      </c>
      <c r="O151" s="13" t="n">
        <v>150</v>
      </c>
      <c r="P151" s="13" t="inlineStr">
        <is>
          <t>SSR homepage/category HTML</t>
        </is>
      </c>
      <c r="Q151" s="13" t="inlineStr">
        <is>
          <t>GET -&gt; 200, 208KB SSR (Vue+Next). Direct price '1,44€' repeated in homepage HTML. Also found a published 'Popis maloprodajnih cijena' (retail price list) page at /akcije-novosti/popis-mpc.html (200, 114KB) but it is an explanatory HTML page, not a raw CSV/XML download.</t>
        </is>
      </c>
      <c r="R151" s="13" t="b">
        <v>1</v>
      </c>
      <c r="S151" s="13" t="inlineStr">
        <is>
          <t>Overturns shard's D-tier 'SUSPECT' prediction -- plain curl works cleanly, no WAF encountered.</t>
        </is>
      </c>
      <c r="T151" s="13" t="inlineStr"/>
    </row>
    <row r="152">
      <c r="A152" s="13" t="inlineStr">
        <is>
          <t>eca</t>
        </is>
      </c>
      <c r="B152" s="13" t="inlineStr">
        <is>
          <t>moldova</t>
        </is>
      </c>
      <c r="C152" s="13" t="inlineStr">
        <is>
          <t>Linella.md</t>
        </is>
      </c>
      <c r="D152" s="13" t="inlineStr">
        <is>
          <t>https://linella.md/</t>
        </is>
      </c>
      <c r="E152" s="13" t="inlineStr">
        <is>
          <t>TIER_1A</t>
        </is>
      </c>
      <c r="F152" s="13" t="inlineStr">
        <is>
          <t>low</t>
        </is>
      </c>
      <c r="G152" s="13" t="inlineStr">
        <is>
          <t>Wave 3</t>
        </is>
      </c>
      <c r="H152" s="13" t="inlineStr">
        <is>
          <t>spider</t>
        </is>
      </c>
      <c r="I152" s="13" t="inlineStr">
        <is>
          <t>One bespoke spider or fetcher per source</t>
        </is>
      </c>
      <c r="J152" s="13" t="inlineStr">
        <is>
          <t>Z_bespoke</t>
        </is>
      </c>
      <c r="K152" s="13" t="inlineStr">
        <is>
          <t>Custom</t>
        </is>
      </c>
      <c r="L152" s="13" t="inlineStr">
        <is>
          <t>retailer_sku</t>
        </is>
      </c>
      <c r="M152" s="13" t="inlineStr">
        <is>
          <t>supermarket</t>
        </is>
      </c>
      <c r="N152" s="13" t="inlineStr">
        <is>
          <t>MDL</t>
        </is>
      </c>
      <c r="O152" s="13" t="n">
        <v>150</v>
      </c>
      <c r="P152" s="13" t="inlineStr">
        <is>
          <t>SSR category HTML (/ro/catalog)</t>
        </is>
      </c>
      <c r="Q152" s="13" t="inlineStr">
        <is>
          <t>GET -&gt; 200, 864KB SSR. class='price-products-catalog-content__main 10.59 9.49' style list/discount pairs directly in listing HTML.</t>
        </is>
      </c>
      <c r="R152" s="13" t="b">
        <v>1</v>
      </c>
      <c r="S152" s="13" t="inlineStr">
        <is>
          <t>206 stores, 14,500+ products per shard; list+promo price pairs and per-0.5kg fresh pricing.</t>
        </is>
      </c>
      <c r="T152" s="13" t="inlineStr"/>
    </row>
    <row r="153">
      <c r="A153" s="13" t="inlineStr">
        <is>
          <t>eca</t>
        </is>
      </c>
      <c r="B153" s="13" t="inlineStr">
        <is>
          <t>portugal</t>
        </is>
      </c>
      <c r="C153" s="13" t="inlineStr">
        <is>
          <t>Pingo Doce / Mercadao</t>
        </is>
      </c>
      <c r="D153" s="13" t="inlineStr">
        <is>
          <t>https://www.mercadao.pt/store/pingo-doce</t>
        </is>
      </c>
      <c r="E153" s="13" t="inlineStr">
        <is>
          <t>TIER_1A</t>
        </is>
      </c>
      <c r="F153" s="13" t="inlineStr">
        <is>
          <t>low</t>
        </is>
      </c>
      <c r="G153" s="13" t="inlineStr">
        <is>
          <t>Wave 3</t>
        </is>
      </c>
      <c r="H153" s="13" t="inlineStr">
        <is>
          <t>spider</t>
        </is>
      </c>
      <c r="I153" s="13" t="inlineStr">
        <is>
          <t>One bespoke spider or fetcher per source</t>
        </is>
      </c>
      <c r="J153" s="13" t="inlineStr">
        <is>
          <t>Z_bespoke</t>
        </is>
      </c>
      <c r="K153" s="13" t="inlineStr">
        <is>
          <t>Custom (Mercadao)</t>
        </is>
      </c>
      <c r="L153" s="13" t="inlineStr">
        <is>
          <t>retailer_sku</t>
        </is>
      </c>
      <c r="M153" s="13" t="inlineStr">
        <is>
          <t>marketplace</t>
        </is>
      </c>
      <c r="N153" s="13" t="inlineStr">
        <is>
          <t>EUR</t>
        </is>
      </c>
      <c r="O153" s="13" t="n">
        <v>150</v>
      </c>
      <c r="P153" s="13" t="inlineStr">
        <is>
          <t>SSR store HTML</t>
        </is>
      </c>
      <c r="Q153" s="13" t="inlineStr">
        <is>
          <t>GET -&gt; 200, 652KB SSR. Direct prices '7,37€' / '2,09€' / '12,93€' in HTML.</t>
        </is>
      </c>
      <c r="R153" s="13" t="b">
        <v>1</v>
      </c>
      <c r="S153" s="13" t="inlineStr">
        <is>
          <t>Pingo Doce's online catalogue runs through the Mercadao platform, distinct from the pingodoce.pt service pages.</t>
        </is>
      </c>
      <c r="T153" s="13" t="inlineStr"/>
    </row>
    <row r="154">
      <c r="A154" s="13" t="inlineStr">
        <is>
          <t>eca</t>
        </is>
      </c>
      <c r="B154" s="13" t="inlineStr">
        <is>
          <t>spain</t>
        </is>
      </c>
      <c r="C154" s="13" t="inlineStr">
        <is>
          <t>ahorrapasta.com</t>
        </is>
      </c>
      <c r="D154" s="13" t="inlineStr">
        <is>
          <t>https://www.ahorrapasta.com/</t>
        </is>
      </c>
      <c r="E154" s="13" t="inlineStr">
        <is>
          <t>TIER_1A</t>
        </is>
      </c>
      <c r="F154" s="13" t="inlineStr">
        <is>
          <t>low</t>
        </is>
      </c>
      <c r="G154" s="13" t="inlineStr">
        <is>
          <t>Wave 3</t>
        </is>
      </c>
      <c r="H154" s="13" t="inlineStr">
        <is>
          <t>spider</t>
        </is>
      </c>
      <c r="I154" s="13" t="inlineStr">
        <is>
          <t>One bespoke spider or fetcher per source</t>
        </is>
      </c>
      <c r="J154" s="13" t="inlineStr">
        <is>
          <t>Z_bespoke</t>
        </is>
      </c>
      <c r="K154" s="13" t="inlineStr">
        <is>
          <t>Custom</t>
        </is>
      </c>
      <c r="L154" s="13" t="inlineStr">
        <is>
          <t>retailer_sku</t>
        </is>
      </c>
      <c r="M154" s="13" t="inlineStr">
        <is>
          <t>aggregator</t>
        </is>
      </c>
      <c r="N154" s="13" t="inlineStr">
        <is>
          <t>EUR</t>
        </is>
      </c>
      <c r="O154" s="13" t="n">
        <v>150</v>
      </c>
      <c r="P154" s="13" t="inlineStr">
        <is>
          <t>SSR listing HTML</t>
        </is>
      </c>
      <c r="Q154" s="13" t="inlineStr">
        <is>
          <t>GET -&gt; 200, 166KB SSR. Direct prices '1.51€' / '1.55€' in HTML.</t>
        </is>
      </c>
      <c r="R154" s="13" t="b">
        <v>1</v>
      </c>
      <c r="S154" s="13" t="inlineStr">
        <is>
          <t>49,036 prices daily across 37,438 products per shard; Alimentacion category alone has 19,824 items.</t>
        </is>
      </c>
      <c r="T154" s="13" t="inlineStr"/>
    </row>
    <row r="155">
      <c r="A155" s="13" t="inlineStr">
        <is>
          <t>sar</t>
        </is>
      </c>
      <c r="B155" s="13" t="inlineStr">
        <is>
          <t>pakistan</t>
        </is>
      </c>
      <c r="C155" s="13" t="inlineStr">
        <is>
          <t>Metro Online (METRO Pakistan)</t>
        </is>
      </c>
      <c r="D155" s="13" t="inlineStr">
        <is>
          <t>https://www.metro-online.pk/</t>
        </is>
      </c>
      <c r="E155" s="13" t="inlineStr">
        <is>
          <t>TIER_1B</t>
        </is>
      </c>
      <c r="F155" s="13" t="inlineStr">
        <is>
          <t>low</t>
        </is>
      </c>
      <c r="G155" s="13" t="inlineStr">
        <is>
          <t>Wave 3</t>
        </is>
      </c>
      <c r="H155" s="13" t="inlineStr">
        <is>
          <t>spider</t>
        </is>
      </c>
      <c r="I155" s="13" t="inlineStr">
        <is>
          <t>One bespoke spider or fetcher per source</t>
        </is>
      </c>
      <c r="J155" s="13" t="inlineStr">
        <is>
          <t>Z_bespoke</t>
        </is>
      </c>
      <c r="K155" s="13" t="inlineStr">
        <is>
          <t>Custom (Xcentric-backend Node.js)</t>
        </is>
      </c>
      <c r="L155" s="13" t="inlineStr">
        <is>
          <t>retailer_sku</t>
        </is>
      </c>
      <c r="M155" s="13" t="inlineStr">
        <is>
          <t>supermarket</t>
        </is>
      </c>
      <c r="N155" s="13" t="inlineStr">
        <is>
          <t>PKR</t>
        </is>
      </c>
      <c r="O155" s="13" t="n">
        <v>150</v>
      </c>
      <c r="P155" s="13" t="inlineStr">
        <is>
          <t>admin.metro-online.pk/api/read/Products?filter=tier2Id&amp;filterValue={categoryId}&amp;storeId=10</t>
        </is>
      </c>
      <c r="Q155" s="13" t="inlineStr">
        <is>
          <t>admin.metro-online.pk/api/read/Categories?&amp;filter=storeId&amp;filterValue=10 -&gt; HTTP 200, 597KB JSON, 236 categories, 183 tagged category_assortment_type='Food' (Fresh Fruits, Fresh Food, Dairy/Milk, Bakery/Breads, Rice, Cooking Essentials/Flour, Sauces and Seasonings, Desserts, Snacks, Beverages, Tea and Coffee, etc). Per-category product pull confirmed: admin.metro-online.pk/api/read/Products?filter=tier2Id&amp;filterValue=8353&amp;storeId=10 (Milk) -&gt; HTTP 200, 293KB, 136 products. Sample: 'Nurpur UHT Milk 1.5 LTR' PKR 345, 'Sundar Khani Grapes Per 250GM' PKR 125 (sale_price). No auth, no WAF, plain curl.</t>
        </is>
      </c>
      <c r="R155" s="13" t="b">
        <v>0</v>
      </c>
      <c r="S155" s="13" t="inlineStr">
        <is>
          <t>The single best find of this entire probe -- Pakistan had zero manifests before this. Metro is a full hypermarket format (fresh produce + dairy + bakery + rice/grains + sauces + snacks + beverages), whole-catalog walkable by iterating the 183 Food tier2Id category ids from the Categories endpoint. Onboard first for Pakistan.</t>
        </is>
      </c>
      <c r="T155" s="13" t="inlineStr"/>
    </row>
    <row r="156">
      <c r="A156" s="13" t="inlineStr">
        <is>
          <t>eca</t>
        </is>
      </c>
      <c r="B156" s="13" t="inlineStr">
        <is>
          <t>serbia</t>
        </is>
      </c>
      <c r="C156" s="13" t="inlineStr">
        <is>
          <t>DIS</t>
        </is>
      </c>
      <c r="D156" s="13" t="inlineStr">
        <is>
          <t>https://www.dis.rs/</t>
        </is>
      </c>
      <c r="E156" s="13" t="inlineStr">
        <is>
          <t>TIER_1A</t>
        </is>
      </c>
      <c r="F156" s="13" t="inlineStr">
        <is>
          <t>low</t>
        </is>
      </c>
      <c r="G156" s="13" t="inlineStr">
        <is>
          <t>Wave 3</t>
        </is>
      </c>
      <c r="H156" s="13" t="inlineStr">
        <is>
          <t>spider</t>
        </is>
      </c>
      <c r="I156" s="13" t="inlineStr">
        <is>
          <t>One bespoke spider or fetcher per source</t>
        </is>
      </c>
      <c r="J156" s="13" t="inlineStr">
        <is>
          <t>Z_bespoke</t>
        </is>
      </c>
      <c r="K156" s="13" t="inlineStr">
        <is>
          <t>Next.js</t>
        </is>
      </c>
      <c r="L156" s="13" t="inlineStr">
        <is>
          <t>retailer_sku</t>
        </is>
      </c>
      <c r="M156" s="13" t="inlineStr">
        <is>
          <t>supermarket</t>
        </is>
      </c>
      <c r="N156" s="13" t="inlineStr">
        <is>
          <t>RSD</t>
        </is>
      </c>
      <c r="O156" s="13" t="n">
        <v>140</v>
      </c>
      <c r="P156" s="13" t="inlineStr">
        <is>
          <t>SSR HTML</t>
        </is>
      </c>
      <c r="Q156" s="13" t="inlineStr">
        <is>
          <t>curl 200, Next.js SSR (data-nimg image markers). Confirmed real product + price pair in raw HTML: 'Kruska sveza kg' (fresh pear/kg) was-price 109.99, current price 99.99. Nav also shows real product names: 'Dis bela kobasica kg' (sausage), 'Dobro dimljeni sir kg' (smoked cheese), 'Juneci but bk kg' (beef leg), 'Krompir crveni mladi kg' (potato), 'Kukuruz secerac kom' (corn), 'Paprika babura kg' (bell pepper)</t>
        </is>
      </c>
      <c r="R156" s="13" t="b">
        <v>1</v>
      </c>
      <c r="S156" s="13" t="inlineStr">
        <is>
          <t>Weekly dated promo window with strike-through originals across fresh meat/produce/dairy/bakery per CSV; also runs a B2B portal.</t>
        </is>
      </c>
      <c r="T156" s="13" t="inlineStr"/>
    </row>
    <row r="157">
      <c r="A157" s="13" t="inlineStr">
        <is>
          <t>eca</t>
        </is>
      </c>
      <c r="B157" s="13" t="inlineStr">
        <is>
          <t>georgia</t>
        </is>
      </c>
      <c r="C157" s="13" t="inlineStr">
        <is>
          <t>Europroduct</t>
        </is>
      </c>
      <c r="D157" s="13" t="inlineStr">
        <is>
          <t>https://europroduct.ge/</t>
        </is>
      </c>
      <c r="E157" s="13" t="inlineStr">
        <is>
          <t>TIER_1A</t>
        </is>
      </c>
      <c r="F157" s="13" t="inlineStr">
        <is>
          <t>low</t>
        </is>
      </c>
      <c r="G157" s="13" t="inlineStr">
        <is>
          <t>Wave 3</t>
        </is>
      </c>
      <c r="H157" s="13" t="inlineStr">
        <is>
          <t>spider</t>
        </is>
      </c>
      <c r="I157" s="13" t="inlineStr">
        <is>
          <t>One bespoke spider or fetcher per source</t>
        </is>
      </c>
      <c r="J157" s="13" t="inlineStr">
        <is>
          <t>Z_bespoke</t>
        </is>
      </c>
      <c r="K157" s="13" t="inlineStr">
        <is>
          <t>Custom</t>
        </is>
      </c>
      <c r="L157" s="13" t="inlineStr">
        <is>
          <t>retailer_sku</t>
        </is>
      </c>
      <c r="M157" s="13" t="inlineStr">
        <is>
          <t>supermarket</t>
        </is>
      </c>
      <c r="N157" s="13" t="inlineStr">
        <is>
          <t>GEL</t>
        </is>
      </c>
      <c r="O157" s="13" t="n">
        <v>140</v>
      </c>
      <c r="P157" s="13" t="inlineStr">
        <is>
          <t>/products?pcat_idIn=&lt;id&gt;</t>
        </is>
      </c>
      <c r="Q157" s="13" t="inlineStr">
        <is>
          <t>GET /products?pcat_idIn=126 -&gt; 200, 91KB. Product card: h2.product-name 'kurkuma (50g)' (turmeric), span.product-price '3,15 €' (GEL displayed with ₴ symbol on other cards e.g. '9,40 ₺', '5,95 ₺'). SSR category pages with real product/price pairs.</t>
        </is>
      </c>
      <c r="R157" s="13" t="b">
        <v>1</v>
      </c>
      <c r="S157" s="13" t="inlineStr">
        <is>
          <t>5K+ items per CSV; also on Wolt/Glovo but own site works directly.</t>
        </is>
      </c>
      <c r="T157" s="13" t="inlineStr"/>
    </row>
    <row r="158">
      <c r="A158" s="13" t="inlineStr">
        <is>
          <t>eca</t>
        </is>
      </c>
      <c r="B158" s="13" t="inlineStr">
        <is>
          <t>kyrgyz_republic</t>
        </is>
      </c>
      <c r="C158" s="13" t="inlineStr">
        <is>
          <t>Globus Online</t>
        </is>
      </c>
      <c r="D158" s="13" t="inlineStr">
        <is>
          <t>https://globus-online.kg/</t>
        </is>
      </c>
      <c r="E158" s="13" t="inlineStr">
        <is>
          <t>TIER_1A</t>
        </is>
      </c>
      <c r="F158" s="13" t="inlineStr">
        <is>
          <t>low</t>
        </is>
      </c>
      <c r="G158" s="13" t="inlineStr">
        <is>
          <t>Wave 3</t>
        </is>
      </c>
      <c r="H158" s="13" t="inlineStr">
        <is>
          <t>spider</t>
        </is>
      </c>
      <c r="I158" s="13" t="inlineStr">
        <is>
          <t>One bespoke spider or fetcher per source</t>
        </is>
      </c>
      <c r="J158" s="13" t="inlineStr">
        <is>
          <t>Z_bespoke</t>
        </is>
      </c>
      <c r="K158" s="13" t="inlineStr">
        <is>
          <t>Custom</t>
        </is>
      </c>
      <c r="L158" s="13" t="inlineStr">
        <is>
          <t>retailer_sku</t>
        </is>
      </c>
      <c r="M158" s="13" t="inlineStr">
        <is>
          <t>supermarket</t>
        </is>
      </c>
      <c r="N158" s="13" t="inlineStr">
        <is>
          <t>KGS</t>
        </is>
      </c>
      <c r="O158" s="13" t="n">
        <v>140</v>
      </c>
      <c r="P158" s="13" t="inlineStr">
        <is>
          <t>/ru-kg/catalog/grocery/category/&lt;hash&gt;</t>
        </is>
      </c>
      <c r="Q158" s="13" t="inlineStr">
        <is>
          <t>GET / -&gt; 200, 366KB. Full grocery category tree with real category IDs (/ru-kg/catalog/grocery/category/&lt;hash&gt;), som prices in raw HTML (79,28 сом, 235,47 сом).</t>
        </is>
      </c>
      <c r="R158" s="13" t="b">
        <v>1</v>
      </c>
      <c r="S158" s="13" t="inlineStr">
        <is>
          <t>Major national chain, 10-minute delivery per CSV. Only fully-confirmed retailer_sku source for Kyrgyz Republic this round -- see 'discovered' for net-new candidates that did not pan out.</t>
        </is>
      </c>
      <c r="T158" s="13" t="inlineStr"/>
    </row>
    <row r="159">
      <c r="A159" s="13" t="inlineStr">
        <is>
          <t>eca</t>
        </is>
      </c>
      <c r="B159" s="13" t="inlineStr">
        <is>
          <t>croatia</t>
        </is>
      </c>
      <c r="C159" s="13" t="inlineStr">
        <is>
          <t>Studenac</t>
        </is>
      </c>
      <c r="D159" s="13" t="inlineStr">
        <is>
          <t>https://www.studenac.hr/</t>
        </is>
      </c>
      <c r="E159" s="13" t="inlineStr">
        <is>
          <t>TIER_1A</t>
        </is>
      </c>
      <c r="F159" s="13" t="inlineStr">
        <is>
          <t>low</t>
        </is>
      </c>
      <c r="G159" s="13" t="inlineStr">
        <is>
          <t>Wave 3</t>
        </is>
      </c>
      <c r="H159" s="13" t="inlineStr">
        <is>
          <t>spider</t>
        </is>
      </c>
      <c r="I159" s="13" t="inlineStr">
        <is>
          <t>One bespoke spider or fetcher per source</t>
        </is>
      </c>
      <c r="J159" s="13" t="inlineStr">
        <is>
          <t>Z_bespoke</t>
        </is>
      </c>
      <c r="K159" s="13" t="inlineStr">
        <is>
          <t>Next.js</t>
        </is>
      </c>
      <c r="L159" s="13" t="inlineStr">
        <is>
          <t>retailer_sku</t>
        </is>
      </c>
      <c r="M159" s="13" t="inlineStr">
        <is>
          <t>supermarket</t>
        </is>
      </c>
      <c r="N159" s="13" t="inlineStr">
        <is>
          <t>EUR</t>
        </is>
      </c>
      <c r="O159" s="13" t="n">
        <v>140</v>
      </c>
      <c r="P159" s="13" t="inlineStr">
        <is>
          <t>SSR homepage/category HTML</t>
        </is>
      </c>
      <c r="Q159" s="13" t="inlineStr">
        <is>
          <t>GET -&gt; 200, 59KB SSR (Next.js). Samples: 'Instant kava', 'Mlijeko trajno', 'Tjestenina penne rigate' with prices 3,59€ / 4,99€ / 6,49€.</t>
        </is>
      </c>
      <c r="R159" s="13" t="b">
        <v>1</v>
      </c>
      <c r="S159" s="13" t="inlineStr">
        <is>
          <t>Overturns shard's D-tier 'SUSPECT' prediction -- plain curl works. Largest store count in Croatia, good for spatial coverage.</t>
        </is>
      </c>
      <c r="T159" s="13" t="inlineStr"/>
    </row>
    <row r="160">
      <c r="A160" s="13" t="inlineStr">
        <is>
          <t>eca</t>
        </is>
      </c>
      <c r="B160" s="13" t="inlineStr">
        <is>
          <t>czech_republic</t>
        </is>
      </c>
      <c r="C160" s="13" t="inlineStr">
        <is>
          <t>Billa CZ</t>
        </is>
      </c>
      <c r="D160" s="13" t="inlineStr">
        <is>
          <t>https://www.billa.cz/</t>
        </is>
      </c>
      <c r="E160" s="13" t="inlineStr">
        <is>
          <t>TIER_1A</t>
        </is>
      </c>
      <c r="F160" s="13" t="inlineStr">
        <is>
          <t>low</t>
        </is>
      </c>
      <c r="G160" s="13" t="inlineStr">
        <is>
          <t>Wave 3</t>
        </is>
      </c>
      <c r="H160" s="13" t="inlineStr">
        <is>
          <t>spider</t>
        </is>
      </c>
      <c r="I160" s="13" t="inlineStr">
        <is>
          <t>One bespoke spider or fetcher per source</t>
        </is>
      </c>
      <c r="J160" s="13" t="inlineStr">
        <is>
          <t>Z_bespoke</t>
        </is>
      </c>
      <c r="K160" s="13" t="inlineStr">
        <is>
          <t>Nuxt/React hybrid</t>
        </is>
      </c>
      <c r="L160" s="13" t="inlineStr">
        <is>
          <t>retailer_sku</t>
        </is>
      </c>
      <c r="M160" s="13" t="inlineStr">
        <is>
          <t>supermarket</t>
        </is>
      </c>
      <c r="N160" s="13" t="inlineStr">
        <is>
          <t>CZK</t>
        </is>
      </c>
      <c r="O160" s="13" t="n">
        <v>140</v>
      </c>
      <c r="P160" s="13" t="inlineStr">
        <is>
          <t>SSR category HTML</t>
        </is>
      </c>
      <c r="Q160" s="13" t="inlineStr">
        <is>
          <t>GET -&gt; 200, 1.1MB SSR (Nuxt/React hybrid). Direct prices '99,50 Kč' / '19,90 Kč' / '59,50 Kč' in product-price DOM near data-test='product-price-type-value'.</t>
        </is>
      </c>
      <c r="R160" s="13" t="b">
        <v>1</v>
      </c>
      <c r="S160" s="13" t="inlineStr">
        <is>
          <t>Overturns shard's D-tier 'SUSPECT' prediction -- plain curl works, no WAF encountered.</t>
        </is>
      </c>
      <c r="T160" s="13" t="inlineStr"/>
    </row>
    <row r="161">
      <c r="A161" s="13" t="inlineStr">
        <is>
          <t>eca</t>
        </is>
      </c>
      <c r="B161" s="13" t="inlineStr">
        <is>
          <t>poland</t>
        </is>
      </c>
      <c r="C161" s="13" t="inlineStr">
        <is>
          <t>Frisco.pl</t>
        </is>
      </c>
      <c r="D161" s="13" t="inlineStr">
        <is>
          <t>https://www.frisco.pl/</t>
        </is>
      </c>
      <c r="E161" s="13" t="inlineStr">
        <is>
          <t>TIER_1A</t>
        </is>
      </c>
      <c r="F161" s="13" t="inlineStr">
        <is>
          <t>low</t>
        </is>
      </c>
      <c r="G161" s="13" t="inlineStr">
        <is>
          <t>Wave 3</t>
        </is>
      </c>
      <c r="H161" s="13" t="inlineStr">
        <is>
          <t>spider</t>
        </is>
      </c>
      <c r="I161" s="13" t="inlineStr">
        <is>
          <t>One bespoke spider or fetcher per source</t>
        </is>
      </c>
      <c r="J161" s="13" t="inlineStr">
        <is>
          <t>Z_bespoke</t>
        </is>
      </c>
      <c r="K161" s="13" t="inlineStr">
        <is>
          <t>Custom</t>
        </is>
      </c>
      <c r="L161" s="13" t="inlineStr">
        <is>
          <t>retailer_sku</t>
        </is>
      </c>
      <c r="M161" s="13" t="inlineStr">
        <is>
          <t>supermarket</t>
        </is>
      </c>
      <c r="N161" s="13" t="inlineStr">
        <is>
          <t>PLN</t>
        </is>
      </c>
      <c r="O161" s="13" t="n">
        <v>140</v>
      </c>
      <c r="P161" s="13" t="inlineStr">
        <is>
          <t>SSR category HTML</t>
        </is>
      </c>
      <c r="Q161" s="13" t="inlineStr">
        <is>
          <t>GET -&gt; 200, 1.24MB SSR. Direct prices '51,16 zł' / '5,29 zł' / '12,79 zł' in HTML.</t>
        </is>
      </c>
      <c r="R161" s="13" t="b">
        <v>1</v>
      </c>
      <c r="S161" s="13" t="inlineStr">
        <is>
          <t>Per shard, confirms EU Omnibus Art.6a ('cena przed obniżką') plus per-kg unit price and purchase-limit flags -- capture all three.</t>
        </is>
      </c>
      <c r="T161" s="13" t="inlineStr"/>
    </row>
    <row r="162">
      <c r="A162" s="13" t="inlineStr">
        <is>
          <t>eca</t>
        </is>
      </c>
      <c r="B162" s="13" t="inlineStr">
        <is>
          <t>slovak_republic</t>
        </is>
      </c>
      <c r="C162" s="13" t="inlineStr">
        <is>
          <t>Billa SK</t>
        </is>
      </c>
      <c r="D162" s="13" t="inlineStr">
        <is>
          <t>https://www.billa.sk/</t>
        </is>
      </c>
      <c r="E162" s="13" t="inlineStr">
        <is>
          <t>TIER_1A</t>
        </is>
      </c>
      <c r="F162" s="13" t="inlineStr">
        <is>
          <t>low</t>
        </is>
      </c>
      <c r="G162" s="13" t="inlineStr">
        <is>
          <t>Wave 3</t>
        </is>
      </c>
      <c r="H162" s="13" t="inlineStr">
        <is>
          <t>spider</t>
        </is>
      </c>
      <c r="I162" s="13" t="inlineStr">
        <is>
          <t>One bespoke spider or fetcher per source</t>
        </is>
      </c>
      <c r="J162" s="13" t="inlineStr">
        <is>
          <t>Z_bespoke</t>
        </is>
      </c>
      <c r="K162" s="13" t="inlineStr">
        <is>
          <t>Nuxt/React hybrid</t>
        </is>
      </c>
      <c r="L162" s="13" t="inlineStr">
        <is>
          <t>retailer_sku</t>
        </is>
      </c>
      <c r="M162" s="13" t="inlineStr">
        <is>
          <t>supermarket</t>
        </is>
      </c>
      <c r="N162" s="13" t="inlineStr">
        <is>
          <t>EUR</t>
        </is>
      </c>
      <c r="O162" s="13" t="n">
        <v>140</v>
      </c>
      <c r="P162" s="13" t="inlineStr">
        <is>
          <t>SSR homepage/category HTML</t>
        </is>
      </c>
      <c r="Q162" s="13" t="inlineStr">
        <is>
          <t>GET -&gt; 200, 593KB SSR (Nuxt/React hybrid). Direct prices '0,01€' / '15,99€' in HTML.</t>
        </is>
      </c>
      <c r="R162" s="13" t="b">
        <v>1</v>
      </c>
      <c r="S162" s="13" t="inlineStr">
        <is>
          <t>Overturns shard's D-tier 'SUSPECT' prediction -- plain curl works, no WAF encountered. Same platform family as Billa CZ.</t>
        </is>
      </c>
      <c r="T162" s="13" t="inlineStr"/>
    </row>
    <row r="163">
      <c r="A163" s="13" t="inlineStr">
        <is>
          <t>eca</t>
        </is>
      </c>
      <c r="B163" s="13" t="inlineStr">
        <is>
          <t>spain</t>
        </is>
      </c>
      <c r="C163" s="13" t="inlineStr">
        <is>
          <t>Dia</t>
        </is>
      </c>
      <c r="D163" s="13" t="inlineStr">
        <is>
          <t>https://www.dia.es/</t>
        </is>
      </c>
      <c r="E163" s="13" t="inlineStr">
        <is>
          <t>TIER_1A</t>
        </is>
      </c>
      <c r="F163" s="13" t="inlineStr">
        <is>
          <t>low</t>
        </is>
      </c>
      <c r="G163" s="13" t="inlineStr">
        <is>
          <t>Wave 3</t>
        </is>
      </c>
      <c r="H163" s="13" t="inlineStr">
        <is>
          <t>spider</t>
        </is>
      </c>
      <c r="I163" s="13" t="inlineStr">
        <is>
          <t>One bespoke spider or fetcher per source</t>
        </is>
      </c>
      <c r="J163" s="13" t="inlineStr">
        <is>
          <t>Z_bespoke</t>
        </is>
      </c>
      <c r="K163" s="13" t="inlineStr">
        <is>
          <t>Custom</t>
        </is>
      </c>
      <c r="L163" s="13" t="inlineStr">
        <is>
          <t>retailer_sku</t>
        </is>
      </c>
      <c r="M163" s="13" t="inlineStr">
        <is>
          <t>supermarket</t>
        </is>
      </c>
      <c r="N163" s="13" t="inlineStr">
        <is>
          <t>EUR</t>
        </is>
      </c>
      <c r="O163" s="13" t="n">
        <v>140</v>
      </c>
      <c r="P163" s="13" t="inlineStr">
        <is>
          <t>SSR homepage/category HTML</t>
        </is>
      </c>
      <c r="Q163" s="13" t="inlineStr">
        <is>
          <t>GET -&gt; 200, 218KB SSR. Direct price '4,99€' in HTML.</t>
        </is>
      </c>
      <c r="R163" s="13" t="b">
        <v>1</v>
      </c>
      <c r="S163" s="13" t="inlineStr">
        <is>
          <t>Discounter; independent tracking finds DIA wins most head-to-heads vs Mercadona/Carrefour per shard.</t>
        </is>
      </c>
      <c r="T163" s="13" t="inlineStr"/>
    </row>
    <row r="164">
      <c r="A164" s="13" t="inlineStr">
        <is>
          <t>eca</t>
        </is>
      </c>
      <c r="B164" s="13" t="inlineStr">
        <is>
          <t>spain</t>
        </is>
      </c>
      <c r="C164" s="13" t="inlineStr">
        <is>
          <t>Ulabox</t>
        </is>
      </c>
      <c r="D164" s="13" t="inlineStr">
        <is>
          <t>https://www.ulabox.com/</t>
        </is>
      </c>
      <c r="E164" s="13" t="inlineStr">
        <is>
          <t>TIER_1B</t>
        </is>
      </c>
      <c r="F164" s="13" t="inlineStr">
        <is>
          <t>low</t>
        </is>
      </c>
      <c r="G164" s="13" t="inlineStr">
        <is>
          <t>Wave 3</t>
        </is>
      </c>
      <c r="H164" s="13" t="inlineStr">
        <is>
          <t>spider</t>
        </is>
      </c>
      <c r="I164" s="13" t="inlineStr">
        <is>
          <t>One bespoke spider or fetcher per source</t>
        </is>
      </c>
      <c r="J164" s="13" t="inlineStr">
        <is>
          <t>Z_bespoke</t>
        </is>
      </c>
      <c r="K164" s="13" t="inlineStr">
        <is>
          <t>Next.js</t>
        </is>
      </c>
      <c r="L164" s="13" t="inlineStr">
        <is>
          <t>retailer_sku</t>
        </is>
      </c>
      <c r="M164" s="13" t="inlineStr">
        <is>
          <t>supermarket</t>
        </is>
      </c>
      <c r="N164" s="13" t="inlineStr">
        <is>
          <t>EUR</t>
        </is>
      </c>
      <c r="O164" s="13" t="n">
        <v>140</v>
      </c>
      <c r="P164" s="13" t="inlineStr">
        <is>
          <t>page-embedded JSON (Next.js hydration)</t>
        </is>
      </c>
      <c r="Q164" s="13" t="inlineStr">
        <is>
          <t>GET -&gt; 200, 347KB. Embedded JSON 'price':9.95 and 'price':12.45 in page source.</t>
        </is>
      </c>
      <c r="R164" s="13" t="b">
        <v>1</v>
      </c>
      <c r="S164" s="13" t="inlineStr">
        <is>
          <t>Bespoke storefront, prices present in initial page payload.</t>
        </is>
      </c>
      <c r="T164" s="13" t="inlineStr"/>
    </row>
    <row r="165">
      <c r="A165" s="13" t="inlineStr">
        <is>
          <t>sar</t>
        </is>
      </c>
      <c r="B165" s="13" t="inlineStr">
        <is>
          <t>maldives</t>
        </is>
      </c>
      <c r="C165" s="13" t="inlineStr">
        <is>
          <t>WHIM</t>
        </is>
      </c>
      <c r="D165" s="13" t="inlineStr">
        <is>
          <t>https://whim.com.mv/</t>
        </is>
      </c>
      <c r="E165" s="13" t="inlineStr">
        <is>
          <t>TIER_1A</t>
        </is>
      </c>
      <c r="F165" s="13" t="inlineStr">
        <is>
          <t>low</t>
        </is>
      </c>
      <c r="G165" s="13" t="inlineStr">
        <is>
          <t>Wave 3</t>
        </is>
      </c>
      <c r="H165" s="13" t="inlineStr">
        <is>
          <t>spider</t>
        </is>
      </c>
      <c r="I165" s="13" t="inlineStr">
        <is>
          <t>One bespoke spider or fetcher per source</t>
        </is>
      </c>
      <c r="J165" s="13" t="inlineStr">
        <is>
          <t>Z_bespoke</t>
        </is>
      </c>
      <c r="K165" s="13" t="inlineStr">
        <is>
          <t>Custom (not yet fingerprinted beyond SSR HTML)</t>
        </is>
      </c>
      <c r="L165" s="13" t="inlineStr">
        <is>
          <t>retailer_sku</t>
        </is>
      </c>
      <c r="M165" s="13" t="inlineStr">
        <is>
          <t>supermarket</t>
        </is>
      </c>
      <c r="N165" s="13" t="inlineStr">
        <is>
          <t>MVR</t>
        </is>
      </c>
      <c r="O165" s="13" t="n">
        <v>140</v>
      </c>
      <c r="P165" s="13" t="inlineStr"/>
      <c r="Q165" s="13" t="inlineStr">
        <is>
          <t>GET /shop -&gt; 200, 192KB SSR HTML. ~55 category links found: dairy/eggs/milk (butter, cheese, milk, yogurt), drinks (chocolate-malted, coffee, cordials, juices, non-alcoholic, soft drinks, tea incl. flower/herbal, water), fresh-fruits-vegetables, frozen (food, meat, seafood, vegetables, ice-cream), chilled-ham-sausage, maldivian-smoked-dried-fish-related-products, pantry (baking, breads incl. flatbread/wraps, breakfast/cereals, canned foods/fruits, coconut products, condiments incl. Maldivian condiments and pickles/chutney, dried fruit, herbs/legumes/spices, jam/spreads/honey, noodles, oils/vinegar, pasta, rice/multigrains/quinoa, sauces, snacks, sugar/syrups), vegan, baby food.</t>
        </is>
      </c>
      <c r="R165" s="13" t="b">
        <v>0</v>
      </c>
      <c r="S165" s="13" t="inlineStr">
        <is>
          <t>This is the already-onboarded 'whim_mv' spider (manifest lists it as channel: supermarket on Odoo, PDPs at /shop/&lt;slug&gt;-&lt;id&gt;) -- re-verified category breadth here since it anchors the whole Maldives estimate. Genuinely the closest thing to a full-line supermarket found for Maldives: strong pantry/dairy/drinks/frozen breadth including a Maldivian-specific dried/smoked fish line, but NO fresh meat and NO fresh fish category (only frozen meat/seafood + chilled ham/sausage) -- matches the island-import-dependent profile the brief predicted.</t>
        </is>
      </c>
      <c r="T165" s="13" t="inlineStr"/>
    </row>
    <row r="166">
      <c r="A166" s="13" t="inlineStr">
        <is>
          <t>ssa</t>
        </is>
      </c>
      <c r="B166" s="13" t="inlineStr">
        <is>
          <t>zimbabwe</t>
        </is>
      </c>
      <c r="C166" s="13" t="inlineStr">
        <is>
          <t>SPAR Zimbabwe</t>
        </is>
      </c>
      <c r="D166" s="13" t="inlineStr">
        <is>
          <t>https://www.spar.co.zw/products</t>
        </is>
      </c>
      <c r="E166" s="13" t="inlineStr">
        <is>
          <t>TIER_1A</t>
        </is>
      </c>
      <c r="F166" s="13" t="inlineStr">
        <is>
          <t>low</t>
        </is>
      </c>
      <c r="G166" s="13" t="inlineStr">
        <is>
          <t>Wave 3</t>
        </is>
      </c>
      <c r="H166" s="13" t="inlineStr">
        <is>
          <t>spider</t>
        </is>
      </c>
      <c r="I166" s="13" t="inlineStr">
        <is>
          <t>One bespoke spider or fetcher per source</t>
        </is>
      </c>
      <c r="J166" s="13" t="inlineStr">
        <is>
          <t>Z_bespoke</t>
        </is>
      </c>
      <c r="K166" s="13" t="inlineStr">
        <is>
          <t>Custom (ASP.NET WebForms + AngularJS)</t>
        </is>
      </c>
      <c r="L166" s="13" t="inlineStr">
        <is>
          <t>retailer_sku</t>
        </is>
      </c>
      <c r="M166" s="13" t="inlineStr">
        <is>
          <t>supermarket</t>
        </is>
      </c>
      <c r="N166" s="13" t="inlineStr">
        <is>
          <t>USD</t>
        </is>
      </c>
      <c r="O166" s="13" t="n">
        <v>140</v>
      </c>
      <c r="P166" s="13" t="inlineStr">
        <is>
          <t>SSR HTML listing at /products (paginated/searchable via query string, not yet mapped)</t>
        </is>
      </c>
      <c r="Q166" s="13" t="inlineStr">
        <is>
          <t>GET /products -&gt; 200, 134KB. Real ASP.NET+AngularJS-enhanced SSR product listing: 'MAZOE ORANGE CRUSH ORIGINAL 2L' -&gt; USD$4.00, 'RAHA COOKING OIL 2L' visible with product-links markup, canonical /products/{id}/{slug} PDP URLs.</t>
        </is>
      </c>
      <c r="R166" s="13" t="b">
        <v>1</v>
      </c>
      <c r="S166" s="13" t="inlineStr">
        <is>
          <t>USD staples (maize meal, cooking oil, sugar) confirmed live and dollarised per prior research; full SPAR chain.</t>
        </is>
      </c>
      <c r="T166" s="13" t="inlineStr"/>
    </row>
    <row r="167">
      <c r="A167" s="13" t="inlineStr">
        <is>
          <t>eca</t>
        </is>
      </c>
      <c r="B167" s="13" t="inlineStr">
        <is>
          <t>romania</t>
        </is>
      </c>
      <c r="C167" s="13" t="inlineStr">
        <is>
          <t>MegaMarket.ro</t>
        </is>
      </c>
      <c r="D167" s="13" t="inlineStr">
        <is>
          <t>https://www.megamarket.ro/</t>
        </is>
      </c>
      <c r="E167" s="13" t="inlineStr">
        <is>
          <t>TIER_1A</t>
        </is>
      </c>
      <c r="F167" s="13" t="inlineStr">
        <is>
          <t>low</t>
        </is>
      </c>
      <c r="G167" s="13" t="inlineStr">
        <is>
          <t>Wave 3</t>
        </is>
      </c>
      <c r="H167" s="13" t="inlineStr">
        <is>
          <t>spider</t>
        </is>
      </c>
      <c r="I167" s="13" t="inlineStr">
        <is>
          <t>One bespoke spider or fetcher per source</t>
        </is>
      </c>
      <c r="J167" s="13" t="inlineStr">
        <is>
          <t>Z_bespoke</t>
        </is>
      </c>
      <c r="K167" s="13" t="inlineStr">
        <is>
          <t>Custom</t>
        </is>
      </c>
      <c r="L167" s="13" t="inlineStr">
        <is>
          <t>retailer_sku</t>
        </is>
      </c>
      <c r="M167" s="13" t="inlineStr">
        <is>
          <t>supermarket</t>
        </is>
      </c>
      <c r="N167" s="13" t="inlineStr">
        <is>
          <t>RON</t>
        </is>
      </c>
      <c r="O167" s="13" t="n">
        <v>130</v>
      </c>
      <c r="P167" s="13" t="inlineStr">
        <is>
          <t>SSR HTML</t>
        </is>
      </c>
      <c r="Q167" s="13" t="inlineStr">
        <is>
          <t>curl 200, 148KB, real prices in raw HTML: '8,09 lei', '0,81 lei', '13,49 lei', '33,94 lei', '3,57 lei'</t>
        </is>
      </c>
      <c r="R167" s="13" t="b">
        <v>1</v>
      </c>
      <c r="S167" s="13" t="inlineStr">
        <is>
          <t>CSV notes per-category item counts (conserve 278, paste 53) as a completeness check.</t>
        </is>
      </c>
      <c r="T167" s="13" t="inlineStr"/>
    </row>
    <row r="168">
      <c r="A168" s="13" t="inlineStr">
        <is>
          <t>eca</t>
        </is>
      </c>
      <c r="B168" s="13" t="inlineStr">
        <is>
          <t>austria</t>
        </is>
      </c>
      <c r="C168" s="13" t="inlineStr">
        <is>
          <t>MPreis</t>
        </is>
      </c>
      <c r="D168" s="13" t="inlineStr">
        <is>
          <t>https://www.mpreis.at/</t>
        </is>
      </c>
      <c r="E168" s="13" t="inlineStr">
        <is>
          <t>TIER_1A</t>
        </is>
      </c>
      <c r="F168" s="13" t="inlineStr">
        <is>
          <t>low</t>
        </is>
      </c>
      <c r="G168" s="13" t="inlineStr">
        <is>
          <t>Wave 3</t>
        </is>
      </c>
      <c r="H168" s="13" t="inlineStr">
        <is>
          <t>spider</t>
        </is>
      </c>
      <c r="I168" s="13" t="inlineStr">
        <is>
          <t>One bespoke spider or fetcher per source</t>
        </is>
      </c>
      <c r="J168" s="13" t="inlineStr">
        <is>
          <t>Z_bespoke</t>
        </is>
      </c>
      <c r="K168" s="13" t="inlineStr">
        <is>
          <t>Custom + Algolia</t>
        </is>
      </c>
      <c r="L168" s="13" t="inlineStr">
        <is>
          <t>retailer_sku</t>
        </is>
      </c>
      <c r="M168" s="13" t="inlineStr">
        <is>
          <t>supermarket</t>
        </is>
      </c>
      <c r="N168" s="13" t="inlineStr">
        <is>
          <t>EUR</t>
        </is>
      </c>
      <c r="O168" s="13" t="n">
        <v>130</v>
      </c>
      <c r="P168" s="13" t="inlineStr">
        <is>
          <t>SSR HTML (Algolia search key not yet extracted)</t>
        </is>
      </c>
      <c r="Q168" s="13" t="inlineStr">
        <is>
          <t>curl 200, 640KB, Algolia detected, real prices in raw HTML: '0,78 €', '1,57 €', '1,56 €', '3,99 €', '5,99 €', '12,09 €'</t>
        </is>
      </c>
      <c r="R168" s="13" t="b">
        <v>0</v>
      </c>
      <c r="S168" s="13" t="inlineStr">
        <is>
          <t>Net-new discovery (not in CSV shard) - Austria's 3 CSV rows all failed probing, this fills the gap. Tyrol-based regional chain, ~150 stores nationwide-adjacent.</t>
        </is>
      </c>
      <c r="T168" s="13" t="inlineStr"/>
    </row>
    <row r="169">
      <c r="A169" s="13" t="inlineStr">
        <is>
          <t>eca</t>
        </is>
      </c>
      <c r="B169" s="13" t="inlineStr">
        <is>
          <t>iceland</t>
        </is>
      </c>
      <c r="C169" s="13" t="inlineStr">
        <is>
          <t>Heimkaup</t>
        </is>
      </c>
      <c r="D169" s="13" t="inlineStr">
        <is>
          <t>https://www.heimkaup.is/</t>
        </is>
      </c>
      <c r="E169" s="13" t="inlineStr">
        <is>
          <t>TIER_1B</t>
        </is>
      </c>
      <c r="F169" s="13" t="inlineStr">
        <is>
          <t>low</t>
        </is>
      </c>
      <c r="G169" s="13" t="inlineStr">
        <is>
          <t>Wave 3</t>
        </is>
      </c>
      <c r="H169" s="13" t="inlineStr">
        <is>
          <t>spider</t>
        </is>
      </c>
      <c r="I169" s="13" t="inlineStr">
        <is>
          <t>One bespoke spider or fetcher per source</t>
        </is>
      </c>
      <c r="J169" s="13" t="inlineStr">
        <is>
          <t>Z_bespoke</t>
        </is>
      </c>
      <c r="K169" s="13" t="inlineStr">
        <is>
          <t>Custom</t>
        </is>
      </c>
      <c r="L169" s="13" t="inlineStr">
        <is>
          <t>retailer_sku</t>
        </is>
      </c>
      <c r="M169" s="13" t="inlineStr">
        <is>
          <t>supermarket</t>
        </is>
      </c>
      <c r="N169" s="13" t="inlineStr">
        <is>
          <t>ISK</t>
        </is>
      </c>
      <c r="O169" s="13" t="n">
        <v>130</v>
      </c>
      <c r="P169" s="13" t="inlineStr">
        <is>
          <t>SSR embedded JSON at /p/&lt;slug&gt;-&lt;id&gt;</t>
        </is>
      </c>
      <c r="Q169" s="13" t="inlineStr">
        <is>
          <t>GET / -&gt; 200, 379KB. 49 unique /p/&lt;slug&gt;-&lt;id&gt; product links (beer, soft drinks, wine, ice cream). Embedded JSON for Pepsi Max 12x330ml: "price":129900,"commodityGroup":{"name":"GROCERY"}.</t>
        </is>
      </c>
      <c r="R169" s="13" t="b">
        <v>1</v>
      </c>
      <c r="S169" s="13" t="inlineStr">
        <is>
          <t>MINOR-UNIT TRAP: price field is in hundredths (129900 -&gt; 1,299.00 kr for a 12-pack), not literal ISK like Kronan. Verify against rendered page before trusting raw field.</t>
        </is>
      </c>
      <c r="T169" s="13" t="inlineStr"/>
    </row>
    <row r="170">
      <c r="A170" s="13" t="inlineStr">
        <is>
          <t>eca</t>
        </is>
      </c>
      <c r="B170" s="13" t="inlineStr">
        <is>
          <t>kosovo</t>
        </is>
      </c>
      <c r="C170" s="13" t="inlineStr">
        <is>
          <t>Maxi E-Shop</t>
        </is>
      </c>
      <c r="D170" s="13" t="inlineStr">
        <is>
          <t>https://maxiks.shop/</t>
        </is>
      </c>
      <c r="E170" s="13" t="inlineStr">
        <is>
          <t>TIER_1A</t>
        </is>
      </c>
      <c r="F170" s="13" t="inlineStr">
        <is>
          <t>low</t>
        </is>
      </c>
      <c r="G170" s="13" t="inlineStr">
        <is>
          <t>Wave 3</t>
        </is>
      </c>
      <c r="H170" s="13" t="inlineStr">
        <is>
          <t>spider</t>
        </is>
      </c>
      <c r="I170" s="13" t="inlineStr">
        <is>
          <t>One bespoke spider or fetcher per source</t>
        </is>
      </c>
      <c r="J170" s="13" t="inlineStr">
        <is>
          <t>Z_bespoke</t>
        </is>
      </c>
      <c r="K170" s="13" t="inlineStr">
        <is>
          <t>Custom</t>
        </is>
      </c>
      <c r="L170" s="13" t="inlineStr">
        <is>
          <t>retailer_sku</t>
        </is>
      </c>
      <c r="M170" s="13" t="inlineStr">
        <is>
          <t>supermarket</t>
        </is>
      </c>
      <c r="N170" s="13" t="inlineStr">
        <is>
          <t>EUR</t>
        </is>
      </c>
      <c r="O170" s="13" t="n">
        <v>130</v>
      </c>
      <c r="P170" s="13" t="inlineStr">
        <is>
          <t>/product/&lt;slug&gt;</t>
        </is>
      </c>
      <c r="Q170" s="13" t="inlineStr">
        <is>
          <t>GET / -&gt; 200, 390KB. Real product card: h3.product-title 'Faculet e lagur Fresh x 52cope' (wet wipes), h4.product-price '1.79€'. Full supermarket taxonomy visible in nav (Ushqimore=grocery, Bulmet=dairy, Pije=drinks, Fruta &amp; Perime=fruit&amp;veg, Pjekurina=bakery).</t>
        </is>
      </c>
      <c r="R170" s="13" t="b">
        <v>1</v>
      </c>
      <c r="S170" s="13" t="inlineStr">
        <is>
          <t>18 Prishtina outlets per CSV; EUR is Kosovo's domestic currency so this passes the currency-authenticity check cleanly.</t>
        </is>
      </c>
      <c r="T170" s="13" t="inlineStr"/>
    </row>
    <row r="171">
      <c r="A171" s="13" t="inlineStr">
        <is>
          <t>eca</t>
        </is>
      </c>
      <c r="B171" s="13" t="inlineStr">
        <is>
          <t>latvia</t>
        </is>
      </c>
      <c r="C171" s="13" t="inlineStr">
        <is>
          <t>Elvi.lv</t>
        </is>
      </c>
      <c r="D171" s="13" t="inlineStr">
        <is>
          <t>https://www.elvi.lv/</t>
        </is>
      </c>
      <c r="E171" s="13" t="inlineStr">
        <is>
          <t>TIER_1A</t>
        </is>
      </c>
      <c r="F171" s="13" t="inlineStr">
        <is>
          <t>low</t>
        </is>
      </c>
      <c r="G171" s="13" t="inlineStr">
        <is>
          <t>Wave 3</t>
        </is>
      </c>
      <c r="H171" s="13" t="inlineStr">
        <is>
          <t>spider</t>
        </is>
      </c>
      <c r="I171" s="13" t="inlineStr">
        <is>
          <t>One bespoke spider or fetcher per source</t>
        </is>
      </c>
      <c r="J171" s="13" t="inlineStr">
        <is>
          <t>Z_bespoke</t>
        </is>
      </c>
      <c r="K171" s="13" t="inlineStr">
        <is>
          <t>Custom</t>
        </is>
      </c>
      <c r="L171" s="13" t="inlineStr">
        <is>
          <t>retailer_sku</t>
        </is>
      </c>
      <c r="M171" s="13" t="inlineStr">
        <is>
          <t>supermarket</t>
        </is>
      </c>
      <c r="N171" s="13" t="inlineStr">
        <is>
          <t>EUR</t>
        </is>
      </c>
      <c r="O171" s="13" t="n">
        <v>130</v>
      </c>
      <c r="P171" s="13" t="inlineStr">
        <is>
          <t>SSR homepage/category HTML</t>
        </is>
      </c>
      <c r="Q171" s="13" t="inlineStr">
        <is>
          <t>GET -&gt; 200, 73KB SSR. Direct prices 0.89€ / 2.58€ / 2.86€ in homepage HTML.</t>
        </is>
      </c>
      <c r="R171" s="13" t="b">
        <v>1</v>
      </c>
      <c r="S171" s="13" t="inlineStr">
        <is>
          <t>National chain, bespoke storefront, prices render server-side.</t>
        </is>
      </c>
      <c r="T171" s="13" t="inlineStr"/>
    </row>
    <row r="172">
      <c r="A172" s="13" t="inlineStr">
        <is>
          <t>eca</t>
        </is>
      </c>
      <c r="B172" s="13" t="inlineStr">
        <is>
          <t>latvia</t>
        </is>
      </c>
      <c r="C172" s="13" t="inlineStr">
        <is>
          <t>Top! Veikali (toppartika.lv)</t>
        </is>
      </c>
      <c r="D172" s="13" t="inlineStr">
        <is>
          <t>https://www.toppartika.lv/</t>
        </is>
      </c>
      <c r="E172" s="13" t="inlineStr">
        <is>
          <t>TIER_1A</t>
        </is>
      </c>
      <c r="F172" s="13" t="inlineStr">
        <is>
          <t>low</t>
        </is>
      </c>
      <c r="G172" s="13" t="inlineStr">
        <is>
          <t>Wave 3</t>
        </is>
      </c>
      <c r="H172" s="13" t="inlineStr">
        <is>
          <t>spider</t>
        </is>
      </c>
      <c r="I172" s="13" t="inlineStr">
        <is>
          <t>One bespoke spider or fetcher per source</t>
        </is>
      </c>
      <c r="J172" s="13" t="inlineStr">
        <is>
          <t>Z_bespoke</t>
        </is>
      </c>
      <c r="K172" s="13" t="inlineStr">
        <is>
          <t>Custom</t>
        </is>
      </c>
      <c r="L172" s="13" t="inlineStr">
        <is>
          <t>retailer_sku</t>
        </is>
      </c>
      <c r="M172" s="13" t="inlineStr">
        <is>
          <t>supermarket</t>
        </is>
      </c>
      <c r="N172" s="13" t="inlineStr">
        <is>
          <t>EUR</t>
        </is>
      </c>
      <c r="O172" s="13" t="n">
        <v>130</v>
      </c>
      <c r="P172" s="13" t="inlineStr">
        <is>
          <t>SSR homepage/category HTML</t>
        </is>
      </c>
      <c r="Q172" s="13" t="inlineStr">
        <is>
          <t>GET -&gt; 200, 4.08MB SSR. Direct prices 1.47€ / 1.59€ / 1.98€ in homepage HTML.</t>
        </is>
      </c>
      <c r="R172" s="13" t="b">
        <v>1</v>
      </c>
      <c r="S172" s="13" t="inlineStr">
        <is>
          <t>Very large homepage payload (4MB) -- likely already lists most/all categories server-side.</t>
        </is>
      </c>
      <c r="T172" s="13" t="inlineStr"/>
    </row>
    <row r="173">
      <c r="A173" s="13" t="inlineStr">
        <is>
          <t>eca</t>
        </is>
      </c>
      <c r="B173" s="13" t="inlineStr">
        <is>
          <t>moldova</t>
        </is>
      </c>
      <c r="C173" s="13" t="inlineStr">
        <is>
          <t>Mega Alina</t>
        </is>
      </c>
      <c r="D173" s="13" t="inlineStr">
        <is>
          <t>https://www.megaalina.md/</t>
        </is>
      </c>
      <c r="E173" s="13" t="inlineStr">
        <is>
          <t>TIER_1A</t>
        </is>
      </c>
      <c r="F173" s="13" t="inlineStr">
        <is>
          <t>low</t>
        </is>
      </c>
      <c r="G173" s="13" t="inlineStr">
        <is>
          <t>Wave 3</t>
        </is>
      </c>
      <c r="H173" s="13" t="inlineStr">
        <is>
          <t>spider</t>
        </is>
      </c>
      <c r="I173" s="13" t="inlineStr">
        <is>
          <t>One bespoke spider or fetcher per source</t>
        </is>
      </c>
      <c r="J173" s="13" t="inlineStr">
        <is>
          <t>Z_bespoke</t>
        </is>
      </c>
      <c r="K173" s="13" t="inlineStr">
        <is>
          <t>Custom</t>
        </is>
      </c>
      <c r="L173" s="13" t="inlineStr">
        <is>
          <t>retailer_sku</t>
        </is>
      </c>
      <c r="M173" s="13" t="inlineStr">
        <is>
          <t>supermarket</t>
        </is>
      </c>
      <c r="N173" s="13" t="inlineStr">
        <is>
          <t>MDL</t>
        </is>
      </c>
      <c r="O173" s="13" t="n">
        <v>130</v>
      </c>
      <c r="P173" s="13" t="inlineStr">
        <is>
          <t>SSR category HTML (/ro/catalog/...)</t>
        </is>
      </c>
      <c r="Q173" s="13" t="inlineStr">
        <is>
          <t>GET -&gt; 200, 673KB SSR. Direct catalog prices '5.99 MDL' / '4.99 MDL' repeated in listing HTML.</t>
        </is>
      </c>
      <c r="R173" s="13" t="b">
        <v>1</v>
      </c>
      <c r="S173" s="13" t="inlineStr">
        <is>
          <t>Strike-through discount pairs across food, dairy, juice, household.</t>
        </is>
      </c>
      <c r="T173" s="13" t="inlineStr"/>
    </row>
    <row r="174">
      <c r="A174" s="13" t="inlineStr">
        <is>
          <t>eca</t>
        </is>
      </c>
      <c r="B174" s="13" t="inlineStr">
        <is>
          <t>spain</t>
        </is>
      </c>
      <c r="C174" s="13" t="inlineStr">
        <is>
          <t>Cartio</t>
        </is>
      </c>
      <c r="D174" s="13" t="inlineStr">
        <is>
          <t>https://cartio.es/landing/</t>
        </is>
      </c>
      <c r="E174" s="13" t="inlineStr">
        <is>
          <t>TIER_1A</t>
        </is>
      </c>
      <c r="F174" s="13" t="inlineStr">
        <is>
          <t>low</t>
        </is>
      </c>
      <c r="G174" s="13" t="inlineStr">
        <is>
          <t>Wave 3</t>
        </is>
      </c>
      <c r="H174" s="13" t="inlineStr">
        <is>
          <t>spider</t>
        </is>
      </c>
      <c r="I174" s="13" t="inlineStr">
        <is>
          <t>One bespoke spider or fetcher per source</t>
        </is>
      </c>
      <c r="J174" s="13" t="inlineStr">
        <is>
          <t>Z_bespoke</t>
        </is>
      </c>
      <c r="K174" s="13" t="inlineStr">
        <is>
          <t>Custom</t>
        </is>
      </c>
      <c r="L174" s="13" t="inlineStr">
        <is>
          <t>retailer_sku</t>
        </is>
      </c>
      <c r="M174" s="13" t="inlineStr">
        <is>
          <t>aggregator</t>
        </is>
      </c>
      <c r="N174" s="13" t="inlineStr">
        <is>
          <t>EUR</t>
        </is>
      </c>
      <c r="O174" s="13" t="n">
        <v>130</v>
      </c>
      <c r="P174" s="13" t="inlineStr">
        <is>
          <t>SSR landing HTML</t>
        </is>
      </c>
      <c r="Q174" s="13" t="inlineStr">
        <is>
          <t>GET -&gt; 200, 120KB SSR. Direct prices '6,99€' / '0,31€' / '1,95€' in HTML.</t>
        </is>
      </c>
      <c r="R174" s="13" t="b">
        <v>1</v>
      </c>
      <c r="S174" s="13" t="inlineStr">
        <is>
          <t>Basket-level comparison across Mercadona/Carrefour/Lidl/Alcampo; shard notes an account requirement but the landing page itself rendered prices without one.</t>
        </is>
      </c>
      <c r="T174" s="13" t="inlineStr"/>
    </row>
    <row r="175">
      <c r="A175" s="13" t="inlineStr">
        <is>
          <t>ssa</t>
        </is>
      </c>
      <c r="B175" s="13" t="inlineStr">
        <is>
          <t>benin</t>
        </is>
      </c>
      <c r="C175" s="13" t="inlineStr">
        <is>
          <t>NolMarket</t>
        </is>
      </c>
      <c r="D175" s="13" t="inlineStr">
        <is>
          <t>https://nolmarket.com/</t>
        </is>
      </c>
      <c r="E175" s="13" t="inlineStr">
        <is>
          <t>TIER_1B</t>
        </is>
      </c>
      <c r="F175" s="13" t="inlineStr">
        <is>
          <t>low</t>
        </is>
      </c>
      <c r="G175" s="13" t="inlineStr">
        <is>
          <t>Wave 3</t>
        </is>
      </c>
      <c r="H175" s="13" t="inlineStr">
        <is>
          <t>spider</t>
        </is>
      </c>
      <c r="I175" s="13" t="inlineStr">
        <is>
          <t>One bespoke spider or fetcher per source</t>
        </is>
      </c>
      <c r="J175" s="13" t="inlineStr">
        <is>
          <t>Z_bespoke</t>
        </is>
      </c>
      <c r="K175" s="13" t="inlineStr">
        <is>
          <t>Custom (Laravel + React)</t>
        </is>
      </c>
      <c r="L175" s="13" t="inlineStr">
        <is>
          <t>retailer_sku</t>
        </is>
      </c>
      <c r="M175" s="13" t="inlineStr">
        <is>
          <t>supermarket</t>
        </is>
      </c>
      <c r="N175" s="13" t="inlineStr">
        <is>
          <t>XOF</t>
        </is>
      </c>
      <c r="O175" s="13" t="n">
        <v>130</v>
      </c>
      <c r="P175" s="13" t="inlineStr">
        <is>
          <t>/api/products (paginate ?page=N)</t>
        </is>
      </c>
      <c r="Q175" s="13" t="inlineStr">
        <is>
          <t>React SPA (CRA, div#root) with a fully open Laravel JSON API. GET https://nolmarket.com/api/products -&gt; 200, paginated (24/page, 121 total_pages, 2,887 total products), no auth needed. Sample: 'Patee au boeuf PRIX MINI' 700 FCFA (Animalerie). Sampled pages 1,5,10,20,40,60,80,100,120 -&gt; categories span Animalerie, Boissons (Biere, Champagnes, Cidre, Jus de fruits, Spiritueux, Vins), Epicerie (Conserves-plats cuisines, Petit Dejeuner, Produits de base), Produits Frais (Fromages-Charcuterie-Beurre, Fruits secs et frais, Pains-Viennoiseries, Viandes-Poissons-Crustasses-Oeufs, Yaourt/Creme fraiche), Produits Locaux (Amuse gueule, Boissons locales, Epices/Huile locale, Graine/Legume sec, Poudre/Farine/Bouillie, Produits cosmetiques, The/Cafe/Miel/Confiture).</t>
        </is>
      </c>
      <c r="R175" s="13" t="b">
        <v>1</v>
      </c>
      <c r="S175" s="13" t="inlineStr">
        <is>
          <t>Best single retail source found across all 8 countries this pass -- genuinely full-line (fresh + meat/fish/eggs + dairy + bakery + local staples) with a dedicated 'Produits Locaux' section that carries exactly the local-grain/flour/oil forms that block chain supermarkets do not.</t>
        </is>
      </c>
      <c r="T175" s="13" t="inlineStr"/>
    </row>
    <row r="176">
      <c r="A176" s="13" t="inlineStr">
        <is>
          <t>eca</t>
        </is>
      </c>
      <c r="B176" s="13" t="inlineStr">
        <is>
          <t>romania</t>
        </is>
      </c>
      <c r="C176" s="13" t="inlineStr">
        <is>
          <t>VivoMarket.ro</t>
        </is>
      </c>
      <c r="D176" s="13" t="inlineStr">
        <is>
          <t>https://www.vivomarket.ro/</t>
        </is>
      </c>
      <c r="E176" s="13" t="inlineStr">
        <is>
          <t>TIER_1A</t>
        </is>
      </c>
      <c r="F176" s="13" t="inlineStr">
        <is>
          <t>low</t>
        </is>
      </c>
      <c r="G176" s="13" t="inlineStr">
        <is>
          <t>Wave 3</t>
        </is>
      </c>
      <c r="H176" s="13" t="inlineStr">
        <is>
          <t>spider</t>
        </is>
      </c>
      <c r="I176" s="13" t="inlineStr">
        <is>
          <t>One bespoke spider or fetcher per source</t>
        </is>
      </c>
      <c r="J176" s="13" t="inlineStr">
        <is>
          <t>Z_bespoke</t>
        </is>
      </c>
      <c r="K176" s="13" t="inlineStr">
        <is>
          <t>Custom</t>
        </is>
      </c>
      <c r="L176" s="13" t="inlineStr">
        <is>
          <t>retailer_sku</t>
        </is>
      </c>
      <c r="M176" s="13" t="inlineStr">
        <is>
          <t>supermarket</t>
        </is>
      </c>
      <c r="N176" s="13" t="inlineStr">
        <is>
          <t>RON</t>
        </is>
      </c>
      <c r="O176" s="13" t="n">
        <v>120</v>
      </c>
      <c r="P176" s="13" t="inlineStr">
        <is>
          <t>SSR HTML</t>
        </is>
      </c>
      <c r="Q176" s="13" t="inlineStr">
        <is>
          <t>curl 200, 1.9MB, real prices in raw HTML: '51,82 Lei', '28,90 Lei', '21,60 Lei', '26,21 Lei', '13,18 Lei'</t>
        </is>
      </c>
      <c r="R176" s="13" t="b">
        <v>1</v>
      </c>
      <c r="S176" s="13" t="inlineStr">
        <is>
          <t>Carries both retail and HoReCa lines per CSV; tag channel separately.</t>
        </is>
      </c>
      <c r="T176" s="13" t="inlineStr"/>
    </row>
    <row r="177">
      <c r="A177" s="13" t="inlineStr">
        <is>
          <t>eca</t>
        </is>
      </c>
      <c r="B177" s="13" t="inlineStr">
        <is>
          <t>kazakhstan</t>
        </is>
      </c>
      <c r="C177" s="13" t="inlineStr">
        <is>
          <t>GroceryKZ</t>
        </is>
      </c>
      <c r="D177" s="13" t="inlineStr">
        <is>
          <t>https://grocerykz.com/</t>
        </is>
      </c>
      <c r="E177" s="13" t="inlineStr">
        <is>
          <t>TIER_1A</t>
        </is>
      </c>
      <c r="F177" s="13" t="inlineStr">
        <is>
          <t>low</t>
        </is>
      </c>
      <c r="G177" s="13" t="inlineStr">
        <is>
          <t>Wave 3</t>
        </is>
      </c>
      <c r="H177" s="13" t="inlineStr">
        <is>
          <t>spider</t>
        </is>
      </c>
      <c r="I177" s="13" t="inlineStr">
        <is>
          <t>One bespoke spider or fetcher per source</t>
        </is>
      </c>
      <c r="J177" s="13" t="inlineStr">
        <is>
          <t>Z_bespoke</t>
        </is>
      </c>
      <c r="K177" s="13" t="inlineStr">
        <is>
          <t>Custom</t>
        </is>
      </c>
      <c r="L177" s="13" t="inlineStr">
        <is>
          <t>retailer_sku</t>
        </is>
      </c>
      <c r="M177" s="13" t="inlineStr">
        <is>
          <t>supermarket</t>
        </is>
      </c>
      <c r="N177" s="13" t="inlineStr">
        <is>
          <t>KZT</t>
        </is>
      </c>
      <c r="O177" s="13" t="n">
        <v>120</v>
      </c>
      <c r="P177" s="13" t="inlineStr">
        <is>
          <t>SSR HTML</t>
        </is>
      </c>
      <c r="Q177" s="13" t="inlineStr">
        <is>
          <t>curl 200, 164KB, real prices in raw HTML: '3 750 KZT', '4 650 KZT', '2 450 KZT', '2 250 KZT', '16 900 KZT'</t>
        </is>
      </c>
      <c r="R177" s="13" t="b">
        <v>1</v>
      </c>
      <c r="S177" s="13" t="inlineStr">
        <is>
          <t>English interface per CSV, per-piece pricing with stock flags.</t>
        </is>
      </c>
      <c r="T177" s="13" t="inlineStr"/>
    </row>
    <row r="178">
      <c r="A178" s="13" t="inlineStr">
        <is>
          <t>eca</t>
        </is>
      </c>
      <c r="B178" s="13" t="inlineStr">
        <is>
          <t>tajikistan</t>
        </is>
      </c>
      <c r="C178" s="13" t="inlineStr">
        <is>
          <t>Magnit.tj</t>
        </is>
      </c>
      <c r="D178" s="13" t="inlineStr">
        <is>
          <t>https://magnit.tj/</t>
        </is>
      </c>
      <c r="E178" s="13" t="inlineStr">
        <is>
          <t>TIER_1A</t>
        </is>
      </c>
      <c r="F178" s="13" t="inlineStr">
        <is>
          <t>low</t>
        </is>
      </c>
      <c r="G178" s="13" t="inlineStr">
        <is>
          <t>Wave 3</t>
        </is>
      </c>
      <c r="H178" s="13" t="inlineStr">
        <is>
          <t>spider</t>
        </is>
      </c>
      <c r="I178" s="13" t="inlineStr">
        <is>
          <t>One bespoke spider or fetcher per source</t>
        </is>
      </c>
      <c r="J178" s="13" t="inlineStr">
        <is>
          <t>Z_bespoke</t>
        </is>
      </c>
      <c r="K178" s="13" t="inlineStr">
        <is>
          <t>Custom</t>
        </is>
      </c>
      <c r="L178" s="13" t="inlineStr">
        <is>
          <t>retailer_sku</t>
        </is>
      </c>
      <c r="M178" s="13" t="inlineStr">
        <is>
          <t>supermarket</t>
        </is>
      </c>
      <c r="N178" s="13" t="inlineStr">
        <is>
          <t>TJS</t>
        </is>
      </c>
      <c r="O178" s="13" t="n">
        <v>120</v>
      </c>
      <c r="P178" s="13" t="inlineStr">
        <is>
          <t>/category?id=&lt;n&gt;</t>
        </is>
      </c>
      <c r="Q178" s="13" t="inlineStr">
        <is>
          <t>GET / -&gt; 200, 417KB. Real category tree (/category?id=&lt;n&gt;) with TJS prices in raw HTML (24.50 сом, 39.90 сом, 2.35c.).</t>
        </is>
      </c>
      <c r="R178" s="13" t="b">
        <v>1</v>
      </c>
      <c r="S178" s="13" t="inlineStr">
        <is>
          <t>Dushanbe online supermarket, free home delivery per CSV.</t>
        </is>
      </c>
      <c r="T178" s="13" t="inlineStr"/>
    </row>
    <row r="179">
      <c r="A179" s="13" t="inlineStr">
        <is>
          <t>eca</t>
        </is>
      </c>
      <c r="B179" s="13" t="inlineStr">
        <is>
          <t>azerbaijan</t>
        </is>
      </c>
      <c r="C179" s="13" t="inlineStr">
        <is>
          <t>FreshMart.az</t>
        </is>
      </c>
      <c r="D179" s="13" t="inlineStr">
        <is>
          <t>https://freshmart.az/en-gb/</t>
        </is>
      </c>
      <c r="E179" s="13" t="inlineStr">
        <is>
          <t>TIER_1A</t>
        </is>
      </c>
      <c r="F179" s="13" t="inlineStr">
        <is>
          <t>low</t>
        </is>
      </c>
      <c r="G179" s="13" t="inlineStr">
        <is>
          <t>Wave 3</t>
        </is>
      </c>
      <c r="H179" s="13" t="inlineStr">
        <is>
          <t>spider</t>
        </is>
      </c>
      <c r="I179" s="13" t="inlineStr">
        <is>
          <t>One bespoke spider or fetcher per source</t>
        </is>
      </c>
      <c r="J179" s="13" t="inlineStr">
        <is>
          <t>Z_bespoke</t>
        </is>
      </c>
      <c r="K179" s="13" t="inlineStr">
        <is>
          <t>Custom</t>
        </is>
      </c>
      <c r="L179" s="13" t="inlineStr">
        <is>
          <t>retailer_sku</t>
        </is>
      </c>
      <c r="M179" s="13" t="inlineStr">
        <is>
          <t>supermarket</t>
        </is>
      </c>
      <c r="N179" s="13" t="inlineStr">
        <is>
          <t>AZN</t>
        </is>
      </c>
      <c r="O179" s="13" t="n">
        <v>120</v>
      </c>
      <c r="P179" s="13" t="inlineStr">
        <is>
          <t>/en-gb/product/{slug}</t>
        </is>
      </c>
      <c r="Q179" s="13" t="inlineStr">
        <is>
          <t>GET /en-gb/product/banan-kq-1000 -&gt; 200, 48.9KB. h1='BANAN KQ', price 3.39₼ (list 3.49₼ struck through).</t>
        </is>
      </c>
      <c r="R179" s="13" t="b">
        <v>1</v>
      </c>
      <c r="S179" s="13" t="inlineStr">
        <is>
          <t>SSR HTML, produce+meat+dairy+bakery per shard note.</t>
        </is>
      </c>
      <c r="T179" s="13" t="inlineStr"/>
    </row>
    <row r="180">
      <c r="A180" s="13" t="inlineStr">
        <is>
          <t>ssa</t>
        </is>
      </c>
      <c r="B180" s="13" t="inlineStr">
        <is>
          <t>madagascar</t>
        </is>
      </c>
      <c r="C180" s="13" t="inlineStr">
        <is>
          <t>Leader Price Madagascar</t>
        </is>
      </c>
      <c r="D180" s="13" t="inlineStr">
        <is>
          <t>https://www.leaderprice.mg/</t>
        </is>
      </c>
      <c r="E180" s="13" t="inlineStr">
        <is>
          <t>TIER_1A</t>
        </is>
      </c>
      <c r="F180" s="13" t="inlineStr">
        <is>
          <t>low</t>
        </is>
      </c>
      <c r="G180" s="13" t="inlineStr">
        <is>
          <t>Wave 3</t>
        </is>
      </c>
      <c r="H180" s="13" t="inlineStr">
        <is>
          <t>spider</t>
        </is>
      </c>
      <c r="I180" s="13" t="inlineStr">
        <is>
          <t>One bespoke spider or fetcher per source</t>
        </is>
      </c>
      <c r="J180" s="13" t="inlineStr">
        <is>
          <t>Z_bespoke</t>
        </is>
      </c>
      <c r="K180" s="13" t="inlineStr">
        <is>
          <t>Custom</t>
        </is>
      </c>
      <c r="L180" s="13" t="inlineStr">
        <is>
          <t>retailer_sku</t>
        </is>
      </c>
      <c r="M180" s="13" t="inlineStr">
        <is>
          <t>supermarket</t>
        </is>
      </c>
      <c r="N180" s="13" t="inlineStr">
        <is>
          <t>MGA</t>
        </is>
      </c>
      <c r="O180" s="13" t="n">
        <v>120</v>
      </c>
      <c r="P180" s="13" t="inlineStr">
        <is>
          <t>SSR HTML</t>
        </is>
      </c>
      <c r="Q180" s="13" t="inlineStr">
        <is>
          <t>GET / -&gt; 200, 50KB. One confirmed price on the homepage: '50.000Ar'. Did not crawl category pages to verify the claimed ~4,000-reference breadth directly this pass.</t>
        </is>
      </c>
      <c r="R180" s="13" t="b">
        <v>1</v>
      </c>
      <c r="S180" s="13" t="inlineStr">
        <is>
          <t>9-store drive-to-store chain, MVola payment, per prior research 'first drive in Madagascar' -- kept below the claimed max because only a homepage price point was independently verified, not a category audit.</t>
        </is>
      </c>
      <c r="T180" s="13" t="inlineStr"/>
    </row>
    <row r="181">
      <c r="A181" s="13" t="inlineStr">
        <is>
          <t>eca</t>
        </is>
      </c>
      <c r="B181" s="13" t="inlineStr">
        <is>
          <t>tajikistan</t>
        </is>
      </c>
      <c r="C181" s="13" t="inlineStr">
        <is>
          <t>Paykar Shop</t>
        </is>
      </c>
      <c r="D181" s="13" t="inlineStr">
        <is>
          <t>https://paykar.shop/catalog/</t>
        </is>
      </c>
      <c r="E181" s="13" t="inlineStr">
        <is>
          <t>TIER_1A</t>
        </is>
      </c>
      <c r="F181" s="13" t="inlineStr">
        <is>
          <t>low</t>
        </is>
      </c>
      <c r="G181" s="13" t="inlineStr">
        <is>
          <t>Wave 3</t>
        </is>
      </c>
      <c r="H181" s="13" t="inlineStr">
        <is>
          <t>spider</t>
        </is>
      </c>
      <c r="I181" s="13" t="inlineStr">
        <is>
          <t>One bespoke spider or fetcher per source</t>
        </is>
      </c>
      <c r="J181" s="13" t="inlineStr">
        <is>
          <t>Z_bespoke</t>
        </is>
      </c>
      <c r="K181" s="13" t="inlineStr">
        <is>
          <t>Custom</t>
        </is>
      </c>
      <c r="L181" s="13" t="inlineStr">
        <is>
          <t>retailer_sku</t>
        </is>
      </c>
      <c r="M181" s="13" t="inlineStr">
        <is>
          <t>supermarket</t>
        </is>
      </c>
      <c r="N181" s="13" t="inlineStr">
        <is>
          <t>TJS</t>
        </is>
      </c>
      <c r="O181" s="13" t="n">
        <v>100</v>
      </c>
      <c r="P181" s="13" t="inlineStr">
        <is>
          <t>/catalog/&lt;category-path&gt;/&lt;id&gt;/</t>
        </is>
      </c>
      <c r="Q181" s="13" t="inlineStr">
        <is>
          <t>GET /catalog/bakaleya/gotovye_zavtraki_kashi_khlopya/137220/ -&gt; 200. h1#pagetitle 'Hlopya ovsyanye RP 500g Gerkules monastyrskiy' (rolled oats), prices visible nearby (63c. = 63 TJS). Full catalogue tree with per-category item counts per CSV.</t>
        </is>
      </c>
      <c r="R181" s="13" t="b">
        <v>1</v>
      </c>
      <c r="S181" s="13" t="inlineStr">
        <is>
          <t>Category names sampled this round (bakaleya=groceries, gotovye_zavtraki=breakfast cereals) skew packaged/dry-goods; fresh produce/meat depth not directly confirmed.</t>
        </is>
      </c>
      <c r="T181" s="13" t="inlineStr"/>
    </row>
    <row r="182">
      <c r="A182" s="13" t="inlineStr">
        <is>
          <t>eca</t>
        </is>
      </c>
      <c r="B182" s="13" t="inlineStr">
        <is>
          <t>portugal</t>
        </is>
      </c>
      <c r="C182" s="13" t="inlineStr">
        <is>
          <t>Lidl Portugal</t>
        </is>
      </c>
      <c r="D182" s="13" t="inlineStr">
        <is>
          <t>https://www.lidl.pt/</t>
        </is>
      </c>
      <c r="E182" s="13" t="inlineStr">
        <is>
          <t>TIER_1A</t>
        </is>
      </c>
      <c r="F182" s="13" t="inlineStr">
        <is>
          <t>low</t>
        </is>
      </c>
      <c r="G182" s="13" t="inlineStr">
        <is>
          <t>Wave 3</t>
        </is>
      </c>
      <c r="H182" s="13" t="inlineStr">
        <is>
          <t>spider</t>
        </is>
      </c>
      <c r="I182" s="13" t="inlineStr">
        <is>
          <t>One bespoke spider or fetcher per source</t>
        </is>
      </c>
      <c r="J182" s="13" t="inlineStr">
        <is>
          <t>Z_bespoke</t>
        </is>
      </c>
      <c r="K182" s="13" t="inlineStr">
        <is>
          <t>Custom</t>
        </is>
      </c>
      <c r="L182" s="13" t="inlineStr">
        <is>
          <t>retailer_sku</t>
        </is>
      </c>
      <c r="M182" s="13" t="inlineStr">
        <is>
          <t>supermarket</t>
        </is>
      </c>
      <c r="N182" s="13" t="inlineStr">
        <is>
          <t>EUR</t>
        </is>
      </c>
      <c r="O182" s="13" t="n">
        <v>100</v>
      </c>
      <c r="P182" s="13" t="inlineStr">
        <is>
          <t>SSR homepage/category HTML</t>
        </is>
      </c>
      <c r="Q182" s="13" t="inlineStr">
        <is>
          <t>GET -&gt; 200, 296KB SSR. Direct prices '4,89€' / '2,69€' / '1,99€' in HTML.</t>
        </is>
      </c>
      <c r="R182" s="13" t="b">
        <v>1</v>
      </c>
      <c r="S182" s="13" t="inlineStr">
        <is>
          <t>Overturns shard's SUSPECT/leaflet-led prediction for this instance -- plain curl returns real per-SKU prices.</t>
        </is>
      </c>
      <c r="T182" s="13" t="inlineStr"/>
    </row>
    <row r="183">
      <c r="A183" s="13" t="inlineStr">
        <is>
          <t>eca</t>
        </is>
      </c>
      <c r="B183" s="13" t="inlineStr">
        <is>
          <t>romania</t>
        </is>
      </c>
      <c r="C183" s="13" t="inlineStr">
        <is>
          <t>HomeMarket.ro</t>
        </is>
      </c>
      <c r="D183" s="13" t="inlineStr">
        <is>
          <t>https://www.homemarket.ro/</t>
        </is>
      </c>
      <c r="E183" s="13" t="inlineStr">
        <is>
          <t>TIER_1A</t>
        </is>
      </c>
      <c r="F183" s="13" t="inlineStr">
        <is>
          <t>low</t>
        </is>
      </c>
      <c r="G183" s="13" t="inlineStr">
        <is>
          <t>Wave 3</t>
        </is>
      </c>
      <c r="H183" s="13" t="inlineStr">
        <is>
          <t>spider</t>
        </is>
      </c>
      <c r="I183" s="13" t="inlineStr">
        <is>
          <t>One bespoke spider or fetcher per source</t>
        </is>
      </c>
      <c r="J183" s="13" t="inlineStr">
        <is>
          <t>Z_bespoke</t>
        </is>
      </c>
      <c r="K183" s="13" t="inlineStr">
        <is>
          <t>Custom</t>
        </is>
      </c>
      <c r="L183" s="13" t="inlineStr">
        <is>
          <t>retailer_sku</t>
        </is>
      </c>
      <c r="M183" s="13" t="inlineStr">
        <is>
          <t>supermarket</t>
        </is>
      </c>
      <c r="N183" s="13" t="inlineStr">
        <is>
          <t>RON</t>
        </is>
      </c>
      <c r="O183" s="13" t="n">
        <v>90</v>
      </c>
      <c r="P183" s="13" t="inlineStr">
        <is>
          <t>SSR HTML</t>
        </is>
      </c>
      <c r="Q183" s="13" t="inlineStr">
        <is>
          <t>curl 200, 43KB, real prices in raw HTML: '23.05 Lei', '55.89 Lei', '15.98 Lei', '18.41 Lei', '9.03 Lei'</t>
        </is>
      </c>
      <c r="R183" s="13" t="b">
        <v>1</v>
      </c>
      <c r="S183" s="13" t="inlineStr">
        <is>
          <t>14,000+ products food and non-food, Bucharest area.</t>
        </is>
      </c>
      <c r="T183" s="13" t="inlineStr"/>
    </row>
    <row r="184">
      <c r="A184" s="13" t="inlineStr">
        <is>
          <t>eca</t>
        </is>
      </c>
      <c r="B184" s="13" t="inlineStr">
        <is>
          <t>romania</t>
        </is>
      </c>
      <c r="C184" s="13" t="inlineStr">
        <is>
          <t>Selgros (wholesale)</t>
        </is>
      </c>
      <c r="D184" s="13" t="inlineStr">
        <is>
          <t>https://www.selgros.ro/</t>
        </is>
      </c>
      <c r="E184" s="13" t="inlineStr">
        <is>
          <t>TIER_1A</t>
        </is>
      </c>
      <c r="F184" s="13" t="inlineStr">
        <is>
          <t>low</t>
        </is>
      </c>
      <c r="G184" s="13" t="inlineStr">
        <is>
          <t>Wave 3</t>
        </is>
      </c>
      <c r="H184" s="13" t="inlineStr">
        <is>
          <t>fetcher</t>
        </is>
      </c>
      <c r="I184" s="13" t="inlineStr">
        <is>
          <t>One bespoke spider or fetcher per source</t>
        </is>
      </c>
      <c r="J184" s="13" t="inlineStr">
        <is>
          <t>Z_bespoke</t>
        </is>
      </c>
      <c r="K184" s="13" t="inlineStr">
        <is>
          <t>Custom</t>
        </is>
      </c>
      <c r="L184" s="13" t="inlineStr">
        <is>
          <t>wholesale_avg</t>
        </is>
      </c>
      <c r="M184" s="13" t="inlineStr">
        <is>
          <t>wholesale</t>
        </is>
      </c>
      <c r="N184" s="13" t="inlineStr">
        <is>
          <t>RON</t>
        </is>
      </c>
      <c r="O184" s="13" t="n">
        <v>90</v>
      </c>
      <c r="P184" s="13" t="inlineStr">
        <is>
          <t>SSR HTML</t>
        </is>
      </c>
      <c r="Q184" s="13" t="inlineStr">
        <is>
          <t>curl 200, 314KB, real prices in raw HTML: '0,50 lei', '26,98 lei', '69,99 lei'</t>
        </is>
      </c>
      <c r="R184" s="13" t="b">
        <v>1</v>
      </c>
      <c r="S184" s="13" t="inlineStr">
        <is>
          <t>Cash-and-carry, reports to Monitorul Preturilor; wholesale-retail spread possible vs. other RO sources.</t>
        </is>
      </c>
      <c r="T184" s="13" t="inlineStr"/>
    </row>
    <row r="185">
      <c r="A185" s="13" t="inlineStr">
        <is>
          <t>eca</t>
        </is>
      </c>
      <c r="B185" s="13" t="inlineStr">
        <is>
          <t>lithuania</t>
        </is>
      </c>
      <c r="C185" s="13" t="inlineStr">
        <is>
          <t>Norfa</t>
        </is>
      </c>
      <c r="D185" s="13" t="inlineStr">
        <is>
          <t>https://www.norfa.lt/</t>
        </is>
      </c>
      <c r="E185" s="13" t="inlineStr">
        <is>
          <t>TIER_1A</t>
        </is>
      </c>
      <c r="F185" s="13" t="inlineStr">
        <is>
          <t>low</t>
        </is>
      </c>
      <c r="G185" s="13" t="inlineStr">
        <is>
          <t>Wave 3</t>
        </is>
      </c>
      <c r="H185" s="13" t="inlineStr">
        <is>
          <t>spider</t>
        </is>
      </c>
      <c r="I185" s="13" t="inlineStr">
        <is>
          <t>One bespoke spider or fetcher per source</t>
        </is>
      </c>
      <c r="J185" s="13" t="inlineStr">
        <is>
          <t>Z_bespoke</t>
        </is>
      </c>
      <c r="K185" s="13" t="inlineStr">
        <is>
          <t>Custom</t>
        </is>
      </c>
      <c r="L185" s="13" t="inlineStr">
        <is>
          <t>retailer_sku</t>
        </is>
      </c>
      <c r="M185" s="13" t="inlineStr">
        <is>
          <t>supermarket</t>
        </is>
      </c>
      <c r="N185" s="13" t="inlineStr">
        <is>
          <t>EUR</t>
        </is>
      </c>
      <c r="O185" s="13" t="n">
        <v>90</v>
      </c>
      <c r="P185" s="13" t="inlineStr">
        <is>
          <t>SSR HTML</t>
        </is>
      </c>
      <c r="Q185" s="13" t="inlineStr">
        <is>
          <t>curl 200, 110KB, real prices in raw HTML: '0.41 €', '1.99 €', '3.99 €', '5.99 €', '9.99 €'</t>
        </is>
      </c>
      <c r="R185" s="13" t="b">
        <v>1</v>
      </c>
      <c r="S185" s="13" t="inlineStr">
        <is>
          <t>Lithuanian-owned discounter per CSV - moderate depth expected, less fresh-produce emphasis than a hypermarket.</t>
        </is>
      </c>
      <c r="T185" s="13" t="inlineStr"/>
    </row>
    <row r="186">
      <c r="A186" s="13" t="inlineStr">
        <is>
          <t>eca</t>
        </is>
      </c>
      <c r="B186" s="13" t="inlineStr">
        <is>
          <t>croatia</t>
        </is>
      </c>
      <c r="C186" s="13" t="inlineStr">
        <is>
          <t>CroCart</t>
        </is>
      </c>
      <c r="D186" s="13" t="inlineStr">
        <is>
          <t>https://www.cro-cart.hr/cijene</t>
        </is>
      </c>
      <c r="E186" s="13" t="inlineStr">
        <is>
          <t>TIER_1A</t>
        </is>
      </c>
      <c r="F186" s="13" t="inlineStr">
        <is>
          <t>low</t>
        </is>
      </c>
      <c r="G186" s="13" t="inlineStr">
        <is>
          <t>Wave 3</t>
        </is>
      </c>
      <c r="H186" s="13" t="inlineStr">
        <is>
          <t>spider</t>
        </is>
      </c>
      <c r="I186" s="13" t="inlineStr">
        <is>
          <t>One bespoke spider or fetcher per source</t>
        </is>
      </c>
      <c r="J186" s="13" t="inlineStr">
        <is>
          <t>Z_bespoke</t>
        </is>
      </c>
      <c r="K186" s="13" t="inlineStr">
        <is>
          <t>Next.js</t>
        </is>
      </c>
      <c r="L186" s="13" t="inlineStr">
        <is>
          <t>retailer_sku</t>
        </is>
      </c>
      <c r="M186" s="13" t="inlineStr">
        <is>
          <t>aggregator</t>
        </is>
      </c>
      <c r="N186" s="13" t="inlineStr">
        <is>
          <t>EUR</t>
        </is>
      </c>
      <c r="O186" s="13" t="n">
        <v>90</v>
      </c>
      <c r="P186" s="13" t="inlineStr">
        <is>
          <t>/cijene/{item-slug}</t>
        </is>
      </c>
      <c r="Q186" s="13" t="inlineStr">
        <is>
          <t>GET /cijene/mlijeko -&gt; 200, 56KB SSR HTML. Cross-retailer milk prices visible: 0,85€ / 0,93€ / 2,39€ / 6,59€ tagged to Lidl(16)/Kaufland(12)/Spar(22)/Plodine(20)/Eurospin(14) counts. Page text confirms: 'CroCart svaki dan preuzima službene cjenike svih 5 trgovačkih lanaca' (downloads official price lists of all 5 chains daily).</t>
        </is>
      </c>
      <c r="R186" s="13" t="b">
        <v>1</v>
      </c>
      <c r="S186" s="13" t="inlineStr">
        <is>
          <t>STRUCTURAL LEAD CONFIRMED: aggregator ingests official daily price-list files (cjenici) from Lidl/Kaufland/Spar/Plodine/Eurospin -- effectively unlocks all 5 chains' prices without touching their individual WAFs. Only ~23 named commodity pages found (banane,brasno,cokolada,...,vrhnje) so narrow but very high-fidelity cross-retailer panel. Did not locate the raw official cjenik files themselves in the time budget -- worth a follow-up dedicated to that per shard's P8-EU note.</t>
        </is>
      </c>
      <c r="T186" s="13" t="inlineStr"/>
    </row>
    <row r="187">
      <c r="A187" s="13" t="inlineStr">
        <is>
          <t>eca</t>
        </is>
      </c>
      <c r="B187" s="13" t="inlineStr">
        <is>
          <t>poland</t>
        </is>
      </c>
      <c r="C187" s="13" t="inlineStr">
        <is>
          <t>Żabka Jush</t>
        </is>
      </c>
      <c r="D187" s="13" t="inlineStr">
        <is>
          <t>https://www.zabka.pl/</t>
        </is>
      </c>
      <c r="E187" s="13" t="inlineStr">
        <is>
          <t>TIER_1A</t>
        </is>
      </c>
      <c r="F187" s="13" t="inlineStr">
        <is>
          <t>low</t>
        </is>
      </c>
      <c r="G187" s="13" t="inlineStr">
        <is>
          <t>Wave 3</t>
        </is>
      </c>
      <c r="H187" s="13" t="inlineStr">
        <is>
          <t>spider</t>
        </is>
      </c>
      <c r="I187" s="13" t="inlineStr">
        <is>
          <t>One bespoke spider or fetcher per source</t>
        </is>
      </c>
      <c r="J187" s="13" t="inlineStr">
        <is>
          <t>Z_bespoke</t>
        </is>
      </c>
      <c r="K187" s="13" t="inlineStr">
        <is>
          <t>Custom</t>
        </is>
      </c>
      <c r="L187" s="13" t="inlineStr">
        <is>
          <t>retailer_sku</t>
        </is>
      </c>
      <c r="M187" s="13" t="inlineStr">
        <is>
          <t>convenience</t>
        </is>
      </c>
      <c r="N187" s="13" t="inlineStr">
        <is>
          <t>PLN</t>
        </is>
      </c>
      <c r="O187" s="13" t="n">
        <v>90</v>
      </c>
      <c r="P187" s="13" t="inlineStr">
        <is>
          <t>SSR homepage/category HTML</t>
        </is>
      </c>
      <c r="Q187" s="13" t="inlineStr">
        <is>
          <t>GET -&gt; 200, 614KB SSR. Direct prices '76,85 zł' / '70,22 zł' / '45,36 zł' in HTML.</t>
        </is>
      </c>
      <c r="R187" s="13" t="b">
        <v>1</v>
      </c>
      <c r="S187" s="13" t="inlineStr">
        <is>
          <t>Convenience format -- systematically narrower and pricier than hypermarket assortment; do not pool with Biedronka/Frisco.</t>
        </is>
      </c>
      <c r="T187" s="13" t="inlineStr"/>
    </row>
    <row r="188">
      <c r="A188" s="13" t="inlineStr">
        <is>
          <t>ssa</t>
        </is>
      </c>
      <c r="B188" s="13" t="inlineStr">
        <is>
          <t>senegal</t>
        </is>
      </c>
      <c r="C188" s="13" t="inlineStr">
        <is>
          <t>Yombouna</t>
        </is>
      </c>
      <c r="D188" s="13" t="inlineStr">
        <is>
          <t>https://yombouna.sn/</t>
        </is>
      </c>
      <c r="E188" s="13" t="inlineStr">
        <is>
          <t>TIER_1B</t>
        </is>
      </c>
      <c r="F188" s="13" t="inlineStr">
        <is>
          <t>low</t>
        </is>
      </c>
      <c r="G188" s="13" t="inlineStr">
        <is>
          <t>Wave 3</t>
        </is>
      </c>
      <c r="H188" s="13" t="inlineStr">
        <is>
          <t>spider</t>
        </is>
      </c>
      <c r="I188" s="13" t="inlineStr">
        <is>
          <t>One bespoke spider or fetcher per source</t>
        </is>
      </c>
      <c r="J188" s="13" t="inlineStr">
        <is>
          <t>Z_bespoke</t>
        </is>
      </c>
      <c r="K188" s="13" t="inlineStr">
        <is>
          <t>Supabase (SvelteKit frontend)</t>
        </is>
      </c>
      <c r="L188" s="13" t="inlineStr">
        <is>
          <t>retailer_sku</t>
        </is>
      </c>
      <c r="M188" s="13" t="inlineStr">
        <is>
          <t>supermarket</t>
        </is>
      </c>
      <c r="N188" s="13" t="inlineStr">
        <is>
          <t>XOF</t>
        </is>
      </c>
      <c r="O188" s="13" t="n">
        <v>90</v>
      </c>
      <c r="P188" s="13" t="inlineStr">
        <is>
          <t>https://obyteclxfidycfrqklbz.supabase.co/rest/v1/products (PostgREST, no auth beyond the public anon key already shipped in the page bundle)</t>
        </is>
      </c>
      <c r="Q188" s="13" t="inlineStr">
        <is>
          <t>Homepage is a SvelteKit SPA shell exposing PUBLIC_SUPABASE_URL + anon key in inline JS. Queried the exposed PostgREST API directly: GET https://obyteclxfidycfrqklbz.supabase.co/rest/v1/products?select=* -&gt; 200, 1,677 total rows (Content-Range header). Sample: 'farine de manioc 500G' price=1500 category='Produits Locaux'; 'allumette pack de 3 moyen' price=250. Categories present: Accessoire Cuisine, Boulangerie et Patisserie, Bebe, Cosmetique, Drogerie &amp; Entretien maison, Epicerie Salee-Cuisine, Epicerie Sucree, Produits Frais, Produits Locaux.</t>
        </is>
      </c>
      <c r="R188" s="13" t="b">
        <v>1</v>
      </c>
      <c r="S188" s="13" t="inlineStr">
        <is>
          <t>UPGRADE over the CSV's WooCommerce guess (which was wrong -- WooCommerce Store API 404s). Real backend is a wide-open Supabase PostgREST table, cheaper than any WooCommerce spider would have been. 'Produits Frais' + 'Produits Locaux' categories exist alongside packaged epicerie, giving this the broadest single-source category spread found in Senegal this pass.</t>
        </is>
      </c>
      <c r="T188" s="13" t="inlineStr"/>
    </row>
    <row r="189">
      <c r="A189" s="13" t="inlineStr">
        <is>
          <t>ssa</t>
        </is>
      </c>
      <c r="B189" s="13" t="inlineStr">
        <is>
          <t>madagascar</t>
        </is>
      </c>
      <c r="C189" s="13" t="inlineStr">
        <is>
          <t>Bazariko.mg</t>
        </is>
      </c>
      <c r="D189" s="13" t="inlineStr">
        <is>
          <t>https://bazariko.mg/</t>
        </is>
      </c>
      <c r="E189" s="13" t="inlineStr">
        <is>
          <t>TIER_1A</t>
        </is>
      </c>
      <c r="F189" s="13" t="inlineStr">
        <is>
          <t>low</t>
        </is>
      </c>
      <c r="G189" s="13" t="inlineStr">
        <is>
          <t>Wave 3</t>
        </is>
      </c>
      <c r="H189" s="13" t="inlineStr">
        <is>
          <t>spider</t>
        </is>
      </c>
      <c r="I189" s="13" t="inlineStr">
        <is>
          <t>One bespoke spider or fetcher per source</t>
        </is>
      </c>
      <c r="J189" s="13" t="inlineStr">
        <is>
          <t>Z_bespoke</t>
        </is>
      </c>
      <c r="K189" s="13" t="inlineStr">
        <is>
          <t>Custom</t>
        </is>
      </c>
      <c r="L189" s="13" t="inlineStr">
        <is>
          <t>retailer_sku</t>
        </is>
      </c>
      <c r="M189" s="13" t="inlineStr">
        <is>
          <t>supermarket</t>
        </is>
      </c>
      <c r="N189" s="13" t="inlineStr">
        <is>
          <t>MGA</t>
        </is>
      </c>
      <c r="O189" s="13" t="n">
        <v>90</v>
      </c>
      <c r="P189" s="13" t="inlineStr">
        <is>
          <t>SSR HTML</t>
        </is>
      </c>
      <c r="Q189" s="13" t="inlineStr">
        <is>
          <t>GET / -&gt; 200, 90KB. Real Ar prices: 'Ar 6 000', 'Ar 5 000', 'Ar 12 000' with strike-through promo pattern per prior research.</t>
        </is>
      </c>
      <c r="R189" s="13" t="b">
        <v>1</v>
      </c>
      <c r="S189" s="13" t="inlineStr">
        <is>
          <t>24/7 online grocery, full supermarket taxonomy per prior research.</t>
        </is>
      </c>
      <c r="T189" s="13" t="inlineStr"/>
    </row>
    <row r="190">
      <c r="A190" s="13" t="inlineStr">
        <is>
          <t>eca</t>
        </is>
      </c>
      <c r="B190" s="13" t="inlineStr">
        <is>
          <t>germany</t>
        </is>
      </c>
      <c r="C190" s="13" t="inlineStr">
        <is>
          <t>Edeka24</t>
        </is>
      </c>
      <c r="D190" s="13" t="inlineStr">
        <is>
          <t>https://www.edeka24.de/</t>
        </is>
      </c>
      <c r="E190" s="13" t="inlineStr">
        <is>
          <t>TIER_1A</t>
        </is>
      </c>
      <c r="F190" s="13" t="inlineStr">
        <is>
          <t>low</t>
        </is>
      </c>
      <c r="G190" s="13" t="inlineStr">
        <is>
          <t>Wave 3</t>
        </is>
      </c>
      <c r="H190" s="13" t="inlineStr">
        <is>
          <t>spider</t>
        </is>
      </c>
      <c r="I190" s="13" t="inlineStr">
        <is>
          <t>One bespoke spider or fetcher per source</t>
        </is>
      </c>
      <c r="J190" s="13" t="inlineStr">
        <is>
          <t>Z_bespoke</t>
        </is>
      </c>
      <c r="K190" s="13" t="inlineStr">
        <is>
          <t>Custom</t>
        </is>
      </c>
      <c r="L190" s="13" t="inlineStr">
        <is>
          <t>retailer_sku</t>
        </is>
      </c>
      <c r="M190" s="13" t="inlineStr">
        <is>
          <t>supermarket</t>
        </is>
      </c>
      <c r="N190" s="13" t="inlineStr">
        <is>
          <t>EUR</t>
        </is>
      </c>
      <c r="O190" s="13" t="n">
        <v>70</v>
      </c>
      <c r="P190" s="13" t="inlineStr">
        <is>
          <t>SSR HTML</t>
        </is>
      </c>
      <c r="Q190" s="13" t="inlineStr">
        <is>
          <t>curl 200, 1.45MB, real prices in raw HTML: '10,49 €', '20,98 €', '20,99 €', '2,49 €', '16,60 €'</t>
        </is>
      </c>
      <c r="R190" s="13" t="b">
        <v>1</v>
      </c>
      <c r="S190" s="13" t="inlineStr">
        <is>
          <t>Shelf-stable only per CSV (no fresh produce/meat/dairy) - reaches pantry/packaged/bakery/some frozen but NOT the fresh-food leaves; nationwide shipping.</t>
        </is>
      </c>
      <c r="T190" s="13" t="inlineStr"/>
    </row>
    <row r="191">
      <c r="A191" s="13" t="inlineStr">
        <is>
          <t>eca</t>
        </is>
      </c>
      <c r="B191" s="13" t="inlineStr">
        <is>
          <t>france</t>
        </is>
      </c>
      <c r="C191" s="13" t="inlineStr">
        <is>
          <t>La Fourche</t>
        </is>
      </c>
      <c r="D191" s="13" t="inlineStr">
        <is>
          <t>https://lafourche.fr/</t>
        </is>
      </c>
      <c r="E191" s="13" t="inlineStr">
        <is>
          <t>TIER_1A</t>
        </is>
      </c>
      <c r="F191" s="13" t="inlineStr">
        <is>
          <t>low</t>
        </is>
      </c>
      <c r="G191" s="13" t="inlineStr">
        <is>
          <t>Wave 3</t>
        </is>
      </c>
      <c r="H191" s="13" t="inlineStr">
        <is>
          <t>spider</t>
        </is>
      </c>
      <c r="I191" s="13" t="inlineStr">
        <is>
          <t>One bespoke spider or fetcher per source</t>
        </is>
      </c>
      <c r="J191" s="13" t="inlineStr">
        <is>
          <t>Z_bespoke</t>
        </is>
      </c>
      <c r="K191" s="13" t="inlineStr">
        <is>
          <t>Next.js + GraphQL + Algolia</t>
        </is>
      </c>
      <c r="L191" s="13" t="inlineStr">
        <is>
          <t>retailer_sku</t>
        </is>
      </c>
      <c r="M191" s="13" t="inlineStr">
        <is>
          <t>supermarket</t>
        </is>
      </c>
      <c r="N191" s="13" t="inlineStr">
        <is>
          <t>EUR</t>
        </is>
      </c>
      <c r="O191" s="13" t="n">
        <v>70</v>
      </c>
      <c r="P191" s="13" t="inlineStr">
        <is>
          <t>SSR HTML</t>
        </is>
      </c>
      <c r="Q191" s="13" t="inlineStr">
        <is>
          <t>curl 200, 1.8MB, GraphQL+Next.js+Algolia+Shopify signals present, real prices in raw HTML: '2,40 €', '2,11 €', '4,06 €', '2,15 €', '7,98 €', '4,04 €'</t>
        </is>
      </c>
      <c r="R191" s="13" t="b">
        <v>1</v>
      </c>
      <c r="S191" s="13" t="inlineStr">
        <is>
          <t>Organic membership model per CSV - narrower assortment than a full hypermarket, membership fee affects effective price.</t>
        </is>
      </c>
      <c r="T191" s="13" t="inlineStr"/>
    </row>
    <row r="192">
      <c r="A192" s="13" t="inlineStr">
        <is>
          <t>ssa</t>
        </is>
      </c>
      <c r="B192" s="13" t="inlineStr">
        <is>
          <t>ethiopia</t>
        </is>
      </c>
      <c r="C192" s="13" t="inlineStr">
        <is>
          <t>Deliver Addis - Market</t>
        </is>
      </c>
      <c r="D192" s="13" t="inlineStr">
        <is>
          <t>https://deliveraddis.com/market</t>
        </is>
      </c>
      <c r="E192" s="13" t="inlineStr">
        <is>
          <t>TIER_1A</t>
        </is>
      </c>
      <c r="F192" s="13" t="inlineStr">
        <is>
          <t>low</t>
        </is>
      </c>
      <c r="G192" s="13" t="inlineStr">
        <is>
          <t>Wave 3</t>
        </is>
      </c>
      <c r="H192" s="13" t="inlineStr">
        <is>
          <t>spider</t>
        </is>
      </c>
      <c r="I192" s="13" t="inlineStr">
        <is>
          <t>One bespoke spider or fetcher per source</t>
        </is>
      </c>
      <c r="J192" s="13" t="inlineStr">
        <is>
          <t>Z_bespoke</t>
        </is>
      </c>
      <c r="K192" s="13" t="inlineStr">
        <is>
          <t>Custom</t>
        </is>
      </c>
      <c r="L192" s="13" t="inlineStr">
        <is>
          <t>retailer_sku</t>
        </is>
      </c>
      <c r="M192" s="13" t="inlineStr">
        <is>
          <t>supermarket</t>
        </is>
      </c>
      <c r="N192" s="13" t="inlineStr">
        <is>
          <t>ETB</t>
        </is>
      </c>
      <c r="O192" s="13" t="n">
        <v>70</v>
      </c>
      <c r="P192" s="13" t="inlineStr">
        <is>
          <t>SSR HTML listing</t>
        </is>
      </c>
      <c r="Q192" s="13" t="inlineStr">
        <is>
          <t>GET /market -&gt; 200, 47KB HTML. Real ETB prices in raw HTML: '550.00 ETB', '1,200.00 ETB', '590.00 ETB'.</t>
        </is>
      </c>
      <c r="R192" s="13" t="b">
        <v>1</v>
      </c>
      <c r="S192" s="13" t="inlineStr">
        <is>
          <t>Delivery-app catalog; homepage sample didn't reveal a full aisle taxonomy so kept the estimate conservative (packaged-goods-leaning) versus a full hypermarket.</t>
        </is>
      </c>
      <c r="T192" s="13" t="inlineStr"/>
    </row>
    <row r="193">
      <c r="A193" s="13" t="inlineStr">
        <is>
          <t>ssa</t>
        </is>
      </c>
      <c r="B193" s="13" t="inlineStr">
        <is>
          <t>tanzania</t>
        </is>
      </c>
      <c r="C193" s="13" t="inlineStr">
        <is>
          <t>Fast &amp; Fresh</t>
        </is>
      </c>
      <c r="D193" s="13" t="inlineStr">
        <is>
          <t>https://www.fastandfresh.co.tz/</t>
        </is>
      </c>
      <c r="E193" s="13" t="inlineStr">
        <is>
          <t>TIER_1A</t>
        </is>
      </c>
      <c r="F193" s="13" t="inlineStr">
        <is>
          <t>low</t>
        </is>
      </c>
      <c r="G193" s="13" t="inlineStr">
        <is>
          <t>Wave 3</t>
        </is>
      </c>
      <c r="H193" s="13" t="inlineStr">
        <is>
          <t>spider</t>
        </is>
      </c>
      <c r="I193" s="13" t="inlineStr">
        <is>
          <t>One bespoke spider or fetcher per source</t>
        </is>
      </c>
      <c r="J193" s="13" t="inlineStr">
        <is>
          <t>Z_bespoke</t>
        </is>
      </c>
      <c r="K193" s="13" t="inlineStr">
        <is>
          <t>Custom</t>
        </is>
      </c>
      <c r="L193" s="13" t="inlineStr">
        <is>
          <t>retailer_sku</t>
        </is>
      </c>
      <c r="M193" s="13" t="inlineStr">
        <is>
          <t>supermarket</t>
        </is>
      </c>
      <c r="N193" s="13" t="inlineStr">
        <is>
          <t>TZS</t>
        </is>
      </c>
      <c r="O193" s="13" t="n">
        <v>70</v>
      </c>
      <c r="P193" s="13" t="inlineStr">
        <is>
          <t>SSR HTML</t>
        </is>
      </c>
      <c r="Q193" s="13" t="inlineStr">
        <is>
          <t>GET / -&gt; 200, 53KB. Real TZS prices: 'TZS 2,500.00', 'TZS 10,000.00' x2 in raw HTML.</t>
        </is>
      </c>
      <c r="R193" s="13" t="b">
        <v>1</v>
      </c>
      <c r="S193" s="13" t="inlineStr">
        <is>
          <t>Per-kg/per-tray pricing on rice/eggs/beef per prior research -- explicit-unit fresh-produce/meat depth is above-average for a delivery-style operator.</t>
        </is>
      </c>
      <c r="T193" s="13" t="inlineStr"/>
    </row>
    <row r="194">
      <c r="A194" s="13" t="inlineStr">
        <is>
          <t>eca</t>
        </is>
      </c>
      <c r="B194" s="13" t="inlineStr">
        <is>
          <t>slovenia</t>
        </is>
      </c>
      <c r="C194" s="13" t="inlineStr">
        <is>
          <t>Lidl Slovenia</t>
        </is>
      </c>
      <c r="D194" s="13" t="inlineStr">
        <is>
          <t>https://www.lidl.si/</t>
        </is>
      </c>
      <c r="E194" s="13" t="inlineStr">
        <is>
          <t>TIER_1A</t>
        </is>
      </c>
      <c r="F194" s="13" t="inlineStr">
        <is>
          <t>low</t>
        </is>
      </c>
      <c r="G194" s="13" t="inlineStr">
        <is>
          <t>Wave 3</t>
        </is>
      </c>
      <c r="H194" s="13" t="inlineStr">
        <is>
          <t>spider</t>
        </is>
      </c>
      <c r="I194" s="13" t="inlineStr">
        <is>
          <t>One bespoke spider or fetcher per source</t>
        </is>
      </c>
      <c r="J194" s="13" t="inlineStr">
        <is>
          <t>Z_bespoke</t>
        </is>
      </c>
      <c r="K194" s="13" t="inlineStr">
        <is>
          <t>Nuxt</t>
        </is>
      </c>
      <c r="L194" s="13" t="inlineStr">
        <is>
          <t>retailer_sku</t>
        </is>
      </c>
      <c r="M194" s="13" t="inlineStr">
        <is>
          <t>supermarket</t>
        </is>
      </c>
      <c r="N194" s="13" t="inlineStr">
        <is>
          <t>EUR</t>
        </is>
      </c>
      <c r="O194" s="13" t="n">
        <v>60</v>
      </c>
      <c r="P194" s="13" t="inlineStr">
        <is>
          <t>SSR/Nuxt HTML</t>
        </is>
      </c>
      <c r="Q194" s="13" t="inlineStr">
        <is>
          <t>curl 200, 331KB, Nuxt detected, real price found in raw HTML: '22,99 €'</t>
        </is>
      </c>
      <c r="R194" s="13" t="b">
        <v>1</v>
      </c>
      <c r="S194" s="13" t="inlineStr">
        <is>
          <t>Better than the CSV's SUSPECT/D-tier label suggests - not blocked, one real price confirmed. Discounter, promo-led per CSV.</t>
        </is>
      </c>
      <c r="T194" s="13" t="inlineStr"/>
    </row>
    <row r="195">
      <c r="A195" s="13" t="inlineStr">
        <is>
          <t>eca</t>
        </is>
      </c>
      <c r="B195" s="13" t="inlineStr">
        <is>
          <t>switzerland</t>
        </is>
      </c>
      <c r="C195" s="13" t="inlineStr">
        <is>
          <t>Lidl Schweiz</t>
        </is>
      </c>
      <c r="D195" s="13" t="inlineStr">
        <is>
          <t>https://www.lidl.ch/</t>
        </is>
      </c>
      <c r="E195" s="13" t="inlineStr">
        <is>
          <t>TIER_1A</t>
        </is>
      </c>
      <c r="F195" s="13" t="inlineStr">
        <is>
          <t>low</t>
        </is>
      </c>
      <c r="G195" s="13" t="inlineStr">
        <is>
          <t>Wave 3</t>
        </is>
      </c>
      <c r="H195" s="13" t="inlineStr">
        <is>
          <t>spider</t>
        </is>
      </c>
      <c r="I195" s="13" t="inlineStr">
        <is>
          <t>One bespoke spider or fetcher per source</t>
        </is>
      </c>
      <c r="J195" s="13" t="inlineStr">
        <is>
          <t>Z_bespoke</t>
        </is>
      </c>
      <c r="K195" s="13" t="inlineStr">
        <is>
          <t>Nuxt</t>
        </is>
      </c>
      <c r="L195" s="13" t="inlineStr">
        <is>
          <t>retailer_sku</t>
        </is>
      </c>
      <c r="M195" s="13" t="inlineStr">
        <is>
          <t>supermarket</t>
        </is>
      </c>
      <c r="N195" s="13" t="inlineStr">
        <is>
          <t>CHF</t>
        </is>
      </c>
      <c r="O195" s="13" t="n">
        <v>60</v>
      </c>
      <c r="P195" s="13" t="inlineStr">
        <is>
          <t>SSR/Nuxt HTML</t>
        </is>
      </c>
      <c r="Q195" s="13" t="inlineStr">
        <is>
          <t>curl 200, 519KB, Nuxt detected, real prices in raw HTML: 'CHF 11.99', 'CHF 5.58', 'CHF 34.90', 'CHF 39.90'</t>
        </is>
      </c>
      <c r="R195" s="13" t="b">
        <v>1</v>
      </c>
      <c r="S195" s="13" t="inlineStr">
        <is>
          <t>Better than CSV's SUSPECT/D-tier label - not blocked, real prices confirmed. Discounter, no fresh-produce/butcher counter typical of full-line.</t>
        </is>
      </c>
      <c r="T195" s="13" t="inlineStr"/>
    </row>
    <row r="196">
      <c r="A196" s="13" t="inlineStr">
        <is>
          <t>ssa</t>
        </is>
      </c>
      <c r="B196" s="13" t="inlineStr">
        <is>
          <t>malawi</t>
        </is>
      </c>
      <c r="C196" s="13" t="inlineStr">
        <is>
          <t>DoorShoppin</t>
        </is>
      </c>
      <c r="D196" s="13" t="inlineStr">
        <is>
          <t>https://doorshoppin.com/Doorshoppin/category.php?cat_id=Groceries</t>
        </is>
      </c>
      <c r="E196" s="13" t="inlineStr">
        <is>
          <t>TIER_1A</t>
        </is>
      </c>
      <c r="F196" s="13" t="inlineStr">
        <is>
          <t>low</t>
        </is>
      </c>
      <c r="G196" s="13" t="inlineStr">
        <is>
          <t>Wave 3</t>
        </is>
      </c>
      <c r="H196" s="13" t="inlineStr">
        <is>
          <t>spider</t>
        </is>
      </c>
      <c r="I196" s="13" t="inlineStr">
        <is>
          <t>One bespoke spider or fetcher per source</t>
        </is>
      </c>
      <c r="J196" s="13" t="inlineStr">
        <is>
          <t>Z_bespoke</t>
        </is>
      </c>
      <c r="K196" s="13" t="inlineStr">
        <is>
          <t>Custom/PHP</t>
        </is>
      </c>
      <c r="L196" s="13" t="inlineStr">
        <is>
          <t>retailer_sku</t>
        </is>
      </c>
      <c r="M196" s="13" t="inlineStr">
        <is>
          <t>supermarket</t>
        </is>
      </c>
      <c r="N196" s="13" t="inlineStr">
        <is>
          <t>MWK</t>
        </is>
      </c>
      <c r="O196" s="13" t="n">
        <v>55</v>
      </c>
      <c r="P196" s="13" t="inlineStr">
        <is>
          <t>category.php (SSR PHP; index.php homepage is broken -- 'Catalog unavailable', hit the category URL directly)</t>
        </is>
      </c>
      <c r="Q196" s="13" t="inlineStr">
        <is>
          <t>GET category.php?cat_id=Groceries -&gt; 200, 808KB. Real MK prices with class='price': 'MK10,899', 'MK4,499', 'MK6,799', 'MK17,999', 'MK19,999'. 501 grocery products confirmed per prior research.</t>
        </is>
      </c>
      <c r="R196" s="13" t="b">
        <v>1</v>
      </c>
      <c r="S196" s="13" t="inlineStr">
        <is>
          <t>501 SKUs in a single grocery category -- solid mid-size packaged-goods depth.</t>
        </is>
      </c>
      <c r="T196" s="13" t="inlineStr"/>
    </row>
    <row r="197">
      <c r="A197" s="13" t="inlineStr">
        <is>
          <t>sar</t>
        </is>
      </c>
      <c r="B197" s="13" t="inlineStr">
        <is>
          <t>sri_lanka</t>
        </is>
      </c>
      <c r="C197" s="13" t="inlineStr">
        <is>
          <t>DCS Sri Lanka -- Weekly Retail Prices</t>
        </is>
      </c>
      <c r="D197" s="13" t="inlineStr">
        <is>
          <t>https://www.statistics.gov.lk/DashBoard/Prices/</t>
        </is>
      </c>
      <c r="E197" s="13" t="inlineStr">
        <is>
          <t>TIER_1B</t>
        </is>
      </c>
      <c r="F197" s="13" t="inlineStr">
        <is>
          <t>low</t>
        </is>
      </c>
      <c r="G197" s="13" t="inlineStr">
        <is>
          <t>Wave 3</t>
        </is>
      </c>
      <c r="H197" s="13" t="inlineStr">
        <is>
          <t>fetcher</t>
        </is>
      </c>
      <c r="I197" s="13" t="inlineStr">
        <is>
          <t>One bespoke spider or fetcher per source</t>
        </is>
      </c>
      <c r="J197" s="13" t="inlineStr">
        <is>
          <t>Z_bespoke</t>
        </is>
      </c>
      <c r="K197" s="13" t="inlineStr">
        <is>
          <t>Custom (embedded JS data file, no auth)</t>
        </is>
      </c>
      <c r="L197" s="13" t="inlineStr">
        <is>
          <t>official_avg</t>
        </is>
      </c>
      <c r="M197" s="13" t="inlineStr">
        <is>
          <t>official_avg</t>
        </is>
      </c>
      <c r="N197" s="13" t="inlineStr">
        <is>
          <t>LKR</t>
        </is>
      </c>
      <c r="O197" s="13" t="n">
        <v>50</v>
      </c>
      <c r="P197" s="13" t="inlineStr">
        <is>
          <t>/DashBoard/Prices/Prices_Data.php</t>
        </is>
      </c>
      <c r="Q197" s="13" t="inlineStr">
        <is>
          <t>GET /DashBoard/Prices/Prices_Data.php -&gt; 200, 1.85MB. Body is a raw JS data file (`var pip=[...]` and `var prices=[...]`) with 122 named products across 23 categories: Low Country Vegetables(15), Spices(14), Rice(14), Up Country Vegetables(9), Leaves(8), Pulses and Flour(8), Sea Fish Large(8), Milk Powder(7), Meat and Poultry(5), Fruits(5), Coconut(4), Sea Fish Small(4), Betel Leaves(3), Arecanuts(3), Dried Fish(3), Eggs(3), Potatoes(2), Big/Red Onions(3), Oils and Fats(1), Sugar(1), Canned Fish(1), Bakery Goods(1). Covers Weekly/Monthly/Yearly retail price series collected across 14 markets in the Colombo district (Pettah, Dematagoda, Nugegoda, etc, per the dashboard's own methodology note).</t>
        </is>
      </c>
      <c r="R197" s="13" t="b">
        <v>0</v>
      </c>
      <c r="S197" s="13" t="inlineStr">
        <is>
          <t>Government of Sri Lanka Department of Census &amp; Statistics official weekly retail price series -- absolute prices (not an index), no auth, single 1.85MB fetch gets the whole product+price history. Estimate is conservative: 122 named products collapse to fewer distinct COICOP leaves (multiple rice/onion/fish grades share a leaf) and some rows (betel leaves, arecanuts) sit outside the 279-leaf F&amp;B taxonomy. Reaches leaf-level granularity the supermarkets structurally can't (specific leafy-green varieties, fish-size classes, up-country vs low-country vegetable splits).</t>
        </is>
      </c>
      <c r="T197" s="13" t="inlineStr"/>
    </row>
    <row r="198">
      <c r="A198" s="13" t="inlineStr">
        <is>
          <t>ssa</t>
        </is>
      </c>
      <c r="B198" s="13" t="inlineStr">
        <is>
          <t>sudan</t>
        </is>
      </c>
      <c r="C198" s="13" t="inlineStr">
        <is>
          <t>HyperSale</t>
        </is>
      </c>
      <c r="D198" s="13" t="inlineStr">
        <is>
          <t>https://www.hypersale.sd/</t>
        </is>
      </c>
      <c r="E198" s="13" t="inlineStr">
        <is>
          <t>TIER_1A</t>
        </is>
      </c>
      <c r="F198" s="13" t="inlineStr">
        <is>
          <t>low</t>
        </is>
      </c>
      <c r="G198" s="13" t="inlineStr">
        <is>
          <t>Wave 3</t>
        </is>
      </c>
      <c r="H198" s="13" t="inlineStr">
        <is>
          <t>spider</t>
        </is>
      </c>
      <c r="I198" s="13" t="inlineStr">
        <is>
          <t>One bespoke spider or fetcher per source</t>
        </is>
      </c>
      <c r="J198" s="13" t="inlineStr">
        <is>
          <t>Z_bespoke</t>
        </is>
      </c>
      <c r="K198" s="13" t="inlineStr">
        <is>
          <t>Custom (Laravel)</t>
        </is>
      </c>
      <c r="L198" s="13" t="inlineStr">
        <is>
          <t>retailer_sku</t>
        </is>
      </c>
      <c r="M198" s="13" t="inlineStr">
        <is>
          <t>supermarket</t>
        </is>
      </c>
      <c r="N198" s="13" t="inlineStr">
        <is>
          <t>SDG</t>
        </is>
      </c>
      <c r="O198" s="13" t="n">
        <v>45</v>
      </c>
      <c r="P198" s="13" t="inlineStr">
        <is>
          <t>/category/hypersale-super-market</t>
        </is>
      </c>
      <c r="Q198" s="13" t="inlineStr">
        <is>
          <t>GET /category/hypersale-super-market -&gt; HTTP 200, 430KB SSR HTML with real product links + prices. Samples: 'Al Hamwi Coffee Classic Cardamom 180gm' 24.000 SDG, 'Frozina Pomme Frite Potatoes 25gm' 23.000 SDG, 'Karim Coconut Milk 400ml' 7.500 SDG, 'Lotus Biscoff Original 250gm' price present, 'Frozen Strawberry 1kg' present.</t>
        </is>
      </c>
      <c r="R198" s="13" t="b">
        <v>1</v>
      </c>
      <c r="S198" s="13" t="inlineStr">
        <is>
          <t>GOTCHA: prices render as '24.000SDG' -- verify whether '.' is a thousands separator (SDG 24,000) or a decimal point before scaffolding; eyeball against a known SDG price level. Dedicated grocery vertical confirmed distinct from the general marketplace (electronics/fashion/beauty also on this domain).</t>
        </is>
      </c>
      <c r="T198" s="13" t="inlineStr"/>
    </row>
    <row r="199">
      <c r="A199" s="13" t="inlineStr">
        <is>
          <t>ssa</t>
        </is>
      </c>
      <c r="B199" s="13" t="inlineStr">
        <is>
          <t>guinea</t>
        </is>
      </c>
      <c r="C199" s="13" t="inlineStr">
        <is>
          <t>Beryz</t>
        </is>
      </c>
      <c r="D199" s="13" t="inlineStr">
        <is>
          <t>https://www.beryz.com/fr/alimentation</t>
        </is>
      </c>
      <c r="E199" s="13" t="inlineStr">
        <is>
          <t>TIER_1A</t>
        </is>
      </c>
      <c r="F199" s="13" t="inlineStr">
        <is>
          <t>low</t>
        </is>
      </c>
      <c r="G199" s="13" t="inlineStr">
        <is>
          <t>Wave 3</t>
        </is>
      </c>
      <c r="H199" s="13" t="inlineStr">
        <is>
          <t>spider</t>
        </is>
      </c>
      <c r="I199" s="13" t="inlineStr">
        <is>
          <t>One bespoke spider or fetcher per source</t>
        </is>
      </c>
      <c r="J199" s="13" t="inlineStr">
        <is>
          <t>Z_bespoke</t>
        </is>
      </c>
      <c r="K199" s="13" t="inlineStr">
        <is>
          <t>Custom</t>
        </is>
      </c>
      <c r="L199" s="13" t="inlineStr">
        <is>
          <t>retailer_sku</t>
        </is>
      </c>
      <c r="M199" s="13" t="inlineStr">
        <is>
          <t>supermarket</t>
        </is>
      </c>
      <c r="N199" s="13" t="inlineStr">
        <is>
          <t>GNF</t>
        </is>
      </c>
      <c r="O199" s="13" t="n">
        <v>40</v>
      </c>
      <c r="P199" s="13" t="inlineStr"/>
      <c r="Q199" s="13" t="inlineStr">
        <is>
          <t>curl -&gt; HTTP 200, 104.5KB SSR HTML. Confirmed product card: 'Huile de palme rouge' -- 'Fatou Camara -- Conakry' -- '8 000 GNF/litre', tagged category 'Huiles'.</t>
        </is>
      </c>
      <c r="R199" s="13" t="b">
        <v>1</v>
      </c>
      <c r="S199" s="13" t="inlineStr">
        <is>
          <t>Confirms CSV's 'STRONG' rating and dual retail/wholesale pricing claim structurally (though the sampled card shows only one price point). Per-vendor + per-region (Conakry/Labe/Kindia/Boke) tagging is unusually valuable for spatial analysis.</t>
        </is>
      </c>
      <c r="T199" s="13" t="inlineStr"/>
    </row>
    <row r="200">
      <c r="A200" s="13" t="inlineStr">
        <is>
          <t>sar</t>
        </is>
      </c>
      <c r="B200" s="13" t="inlineStr">
        <is>
          <t>nepal</t>
        </is>
      </c>
      <c r="C200" s="13" t="inlineStr">
        <is>
          <t>Kalimati Fruits and Vegetable Market Development Board (wholesale)</t>
        </is>
      </c>
      <c r="D200" s="13" t="inlineStr">
        <is>
          <t>https://kalimatimarket.gov.np/price</t>
        </is>
      </c>
      <c r="E200" s="13" t="inlineStr">
        <is>
          <t>TIER_1B</t>
        </is>
      </c>
      <c r="F200" s="13" t="inlineStr">
        <is>
          <t>low</t>
        </is>
      </c>
      <c r="G200" s="13" t="inlineStr">
        <is>
          <t>Wave 3</t>
        </is>
      </c>
      <c r="H200" s="13" t="inlineStr">
        <is>
          <t>fetcher</t>
        </is>
      </c>
      <c r="I200" s="13" t="inlineStr">
        <is>
          <t>One bespoke spider or fetcher per source</t>
        </is>
      </c>
      <c r="J200" s="13" t="inlineStr">
        <is>
          <t>Z_bespoke</t>
        </is>
      </c>
      <c r="K200" s="13" t="inlineStr">
        <is>
          <t>Custom (Laravel, DataTables.js UI but server renders HTML rows on POST)</t>
        </is>
      </c>
      <c r="L200" s="13" t="inlineStr">
        <is>
          <t>wholesale reference</t>
        </is>
      </c>
      <c r="M200" s="13" t="inlineStr">
        <is>
          <t>official_avg</t>
        </is>
      </c>
      <c r="N200" s="13" t="inlineStr">
        <is>
          <t>NPR</t>
        </is>
      </c>
      <c r="O200" s="13" t="n">
        <v>35</v>
      </c>
      <c r="P200" s="13" t="inlineStr">
        <is>
          <t>/price (GET for token, POST with datePricing param)</t>
        </is>
      </c>
      <c r="Q200" s="13" t="inlineStr">
        <is>
          <t>GET /price (grab CSRF token '_token' + session cookie from hidden form field) then POST same URL with form fields _token, datePricing=YYYY-MM-DD (X-Requested-With: XMLHttpRequest header not even required) -&gt; 200, 30821 bytes HTML fragment, 98 commodity rows/day. Sample: 'गोलभेडा ठूलो(नेपाली)' (Tomato, large, local) के.जी. रू ४०.००-५०.०० (avg रू ४५). No auth beyond the CSRF handshake.</t>
        </is>
      </c>
      <c r="R200" s="13" t="b">
        <v>0</v>
      </c>
      <c r="S200" s="13" t="inlineStr">
        <is>
          <t>Whole-catalog walker: 98 commodities/day (many varieties per crop e.g. 3 tomato types, 4 potato types) covering nearly all fresh vegetables + fruits traded through Nepal's largest wholesale market. min/max/avg per unit. Walk daily by iterating datePricing for history. This is the single highest-value new find in the shard.</t>
        </is>
      </c>
      <c r="T200" s="13" t="inlineStr"/>
    </row>
    <row r="201">
      <c r="A201" s="13" t="inlineStr">
        <is>
          <t>ssa</t>
        </is>
      </c>
      <c r="B201" s="13" t="inlineStr">
        <is>
          <t>angola</t>
        </is>
      </c>
      <c r="C201" s="13" t="inlineStr">
        <is>
          <t>Kiwaba Online</t>
        </is>
      </c>
      <c r="D201" s="13" t="inlineStr">
        <is>
          <t>https://www.kiwaba.online/</t>
        </is>
      </c>
      <c r="E201" s="13" t="inlineStr">
        <is>
          <t>TIER_1B</t>
        </is>
      </c>
      <c r="F201" s="13" t="inlineStr">
        <is>
          <t>low</t>
        </is>
      </c>
      <c r="G201" s="13" t="inlineStr">
        <is>
          <t>Wave 3</t>
        </is>
      </c>
      <c r="H201" s="13" t="inlineStr">
        <is>
          <t>spider</t>
        </is>
      </c>
      <c r="I201" s="13" t="inlineStr">
        <is>
          <t>One bespoke spider or fetcher per source</t>
        </is>
      </c>
      <c r="J201" s="13" t="inlineStr">
        <is>
          <t>Z_bespoke</t>
        </is>
      </c>
      <c r="K201" s="13" t="inlineStr">
        <is>
          <t>Custom (React/Vite + Supabase)</t>
        </is>
      </c>
      <c r="L201" s="13" t="inlineStr">
        <is>
          <t>retailer_sku</t>
        </is>
      </c>
      <c r="M201" s="13" t="inlineStr">
        <is>
          <t>supermarket</t>
        </is>
      </c>
      <c r="N201" s="13" t="inlineStr">
        <is>
          <t>AOA</t>
        </is>
      </c>
      <c r="O201" s="13" t="n">
        <v>30</v>
      </c>
      <c r="P201" s="13" t="inlineStr">
        <is>
          <t>https://{project-ref}.supabase.co/rest/v1/products (apikey header required, key lives in the site's JS bundle)</t>
        </is>
      </c>
      <c r="Q201" s="13" t="inlineStr">
        <is>
          <t>React SPA (Vite, div#root) backed by open Supabase REST API. Anon JWT key found embedded in /assets/index-D4PaSevu.js. GET https://aljtwptkvhazymmtiqmx.supabase.co/rest/v1/products?select=id,name,price,unit,category_id&amp;active=eq.true&amp;limit=1500 -H 'apikey: &lt;anon-jwt&gt;' -&gt; 200, 302 active products. Sample: 'LABIO DE VACA cax 15kg' (cow lip, wholesale case) Kz 48,500.00. Categories: Carnes, Peixe &amp; Marisco, Hortícolas, Cereais &amp; Grãos, Bebidas, Fubas e farinhas, Lacticínios (plus non-food: Saúde e beleza, Medicamentos, Detergentes, Roupa).</t>
        </is>
      </c>
      <c r="R201" s="13" t="b">
        <v>1</v>
      </c>
      <c r="S201" s="13" t="inlineStr">
        <is>
          <t>Mid-size mixed grocery+pharmacy catalog (302 active items). Confirms CSV's 'STRONG' verdict. Food categories are real but not deep per-category (single digits to low tens of SKUs each).</t>
        </is>
      </c>
      <c r="T201" s="13" t="inlineStr"/>
    </row>
    <row r="202">
      <c r="A202" s="13" t="inlineStr">
        <is>
          <t>menaap</t>
        </is>
      </c>
      <c r="B202" s="13" t="inlineStr">
        <is>
          <t>djibouti</t>
        </is>
      </c>
      <c r="C202" s="13" t="inlineStr">
        <is>
          <t>AHADO EXPRESS</t>
        </is>
      </c>
      <c r="D202" s="13" t="inlineStr">
        <is>
          <t>https://ahadoexpress.net/</t>
        </is>
      </c>
      <c r="E202" s="13" t="inlineStr">
        <is>
          <t>TIER_1B</t>
        </is>
      </c>
      <c r="F202" s="13" t="inlineStr">
        <is>
          <t>low</t>
        </is>
      </c>
      <c r="G202" s="13" t="inlineStr">
        <is>
          <t>Wave 3</t>
        </is>
      </c>
      <c r="H202" s="13" t="inlineStr">
        <is>
          <t>spider</t>
        </is>
      </c>
      <c r="I202" s="13" t="inlineStr">
        <is>
          <t>One bespoke spider or fetcher per source</t>
        </is>
      </c>
      <c r="J202" s="13" t="inlineStr">
        <is>
          <t>Z_bespoke</t>
        </is>
      </c>
      <c r="K202" s="13" t="inlineStr">
        <is>
          <t>Custom (static site + public Google Sheet as backend, no auth)</t>
        </is>
      </c>
      <c r="L202" s="13" t="inlineStr">
        <is>
          <t>retailer_sku</t>
        </is>
      </c>
      <c r="M202" s="13" t="inlineStr">
        <is>
          <t>supermarket</t>
        </is>
      </c>
      <c r="N202" s="13" t="inlineStr">
        <is>
          <t>DJF</t>
        </is>
      </c>
      <c r="O202" s="13" t="n">
        <v>25</v>
      </c>
      <c r="P202" s="13" t="inlineStr">
        <is>
          <t>https://docs.google.com/spreadsheets/d/{sheetId}/gviz/tq?tqx=out:json&amp;sheet=Produits</t>
        </is>
      </c>
      <c r="Q202" s="13" t="inlineStr">
        <is>
          <t>Catalog is client-rendered from a public Google Sheets gviz endpoint, not a normal REST API. Traced js/main.js -&gt; js/data-loader.js -&gt; js/config.js for sheetId, then hit https://docs.google.com/spreadsheets/d/1WnLMz5rtsKa0cCmbqNN_Fh3d_5nm99kJVmzrN4427-Y/gviz/tq?tqx=out:json&amp;sheet=Produits directly -&gt; HTTP 200, 44KB JSON-ish (gviz wrapper), 174 rows. Sample: 'Huile Bertini' and 'Bio' with variant tiers e.g. '1 paquet' 500 FDJ / 'Pack (x6)' 2900 FDJ. Categories: Nettoyage 33, Riz 21, Epices 20, Lait Poudre 18, Spaghetti 18, Lait Infantile 11, Hygiene 7, Conserves 6, Boissons 5, Huiles 5, Bebe 4, Petit Dej 4, Frais 1.</t>
        </is>
      </c>
      <c r="R202" s="13" t="b">
        <v>1</v>
      </c>
      <c r="S202" s="13" t="inlineStr">
        <is>
          <t>Fragile source (a spreadsheet, not a database) but fully open, no auth, no WAF. Narrow assortment: mostly packaged/shelf-stable goods (rice, pasta, powdered milk, oils, canned goods, cleaning products mixed into same catalog). Almost no fresh produce (only 1 'Frais' row).</t>
        </is>
      </c>
      <c r="T202" s="13" t="inlineStr"/>
    </row>
    <row r="203">
      <c r="A203" s="13" t="inlineStr">
        <is>
          <t>sar</t>
        </is>
      </c>
      <c r="B203" s="13" t="inlineStr">
        <is>
          <t>nepal</t>
        </is>
      </c>
      <c r="C203" s="13" t="inlineStr">
        <is>
          <t>Vhandar</t>
        </is>
      </c>
      <c r="D203" s="13" t="inlineStr">
        <is>
          <t>https://www.vhandar.com/</t>
        </is>
      </c>
      <c r="E203" s="13" t="inlineStr">
        <is>
          <t>TIER_1B</t>
        </is>
      </c>
      <c r="F203" s="13" t="inlineStr">
        <is>
          <t>low</t>
        </is>
      </c>
      <c r="G203" s="13" t="inlineStr">
        <is>
          <t>Wave 3</t>
        </is>
      </c>
      <c r="H203" s="13" t="inlineStr">
        <is>
          <t>spider</t>
        </is>
      </c>
      <c r="I203" s="13" t="inlineStr">
        <is>
          <t>One bespoke spider or fetcher per source</t>
        </is>
      </c>
      <c r="J203" s="13" t="inlineStr">
        <is>
          <t>Z_bespoke</t>
        </is>
      </c>
      <c r="K203" s="13" t="inlineStr">
        <is>
          <t>Custom (Next.js + separate API host)</t>
        </is>
      </c>
      <c r="L203" s="13" t="inlineStr">
        <is>
          <t>retailer_sku</t>
        </is>
      </c>
      <c r="M203" s="13" t="inlineStr">
        <is>
          <t>supermarket</t>
        </is>
      </c>
      <c r="N203" s="13" t="inlineStr">
        <is>
          <t>NPR</t>
        </is>
      </c>
      <c r="O203" s="13" t="n">
        <v>25</v>
      </c>
      <c r="P203" s="13" t="inlineStr">
        <is>
          <t>GET api.vhandar.com/products, /categories</t>
        </is>
      </c>
      <c r="Q203" s="13" t="inlineStr">
        <is>
          <t>Next.js frontend, backend at GET https://api.vhandar.com/products?status=active&amp;page=1&amp;limit=50 -&gt; 200, 143KB JSON, plain curl, no auth. pagination.total=1180. Sample: 'Sip &amp; Seal Matcha Powder' unit=g unitValue=100 pricePerUnit=1600 (NPR implied). Categories via /categories endpoint: Dairy/Bread/Eggs, Packaged &amp; Instant Food, Rice/Atta/Flour, Dals/Pulses, Oil/Ghee, Masala/Dry Fruits, Sauces/Spreads, Tea/Coffee, Sweet Tooth, Snacks, Cold Drinks/Juice, Bakery/Biscuits, Horeca, Beauty/Cleaning/Personal-care/Baby (non-food).</t>
        </is>
      </c>
      <c r="R203" s="13" t="b">
        <v>1</v>
      </c>
      <c r="S203" s="13" t="inlineStr">
        <is>
          <t>No fresh-produce, meat, or fish category -- packaged/shelf-stable goods only, plus a HORECA wholesale vertical and MRP+savings fields (margin analysis). Heavy overlap with MeroKirana's packaged/dairy/beverage categories so counted incrementally, not standalone.</t>
        </is>
      </c>
      <c r="T203" s="13" t="inlineStr"/>
    </row>
    <row r="204">
      <c r="A204" s="13" t="inlineStr">
        <is>
          <t>sar</t>
        </is>
      </c>
      <c r="B204" s="13" t="inlineStr">
        <is>
          <t>pakistan</t>
        </is>
      </c>
      <c r="C204" s="13" t="inlineStr">
        <is>
          <t>Pakistan Bureau of Statistics -- Weekly Sensitive Price Indicator (SPI)</t>
        </is>
      </c>
      <c r="D204" s="13" t="inlineStr">
        <is>
          <t>https://www.pbs.gov.pk/spi and per-week bulletin pages e.g. https://www.pbs.gov.pk/weekly-sensitive-price-indicator-spi-for-the-week-ended-on-30-07-2026/</t>
        </is>
      </c>
      <c r="E204" s="13" t="inlineStr">
        <is>
          <t>TIER_1A</t>
        </is>
      </c>
      <c r="F204" s="13" t="inlineStr">
        <is>
          <t>low</t>
        </is>
      </c>
      <c r="G204" s="13" t="inlineStr">
        <is>
          <t>Wave 3</t>
        </is>
      </c>
      <c r="H204" s="13" t="inlineStr">
        <is>
          <t>fetcher</t>
        </is>
      </c>
      <c r="I204" s="13" t="inlineStr">
        <is>
          <t>One bespoke spider or fetcher per source</t>
        </is>
      </c>
      <c r="J204" s="13" t="inlineStr">
        <is>
          <t>Z_bespoke</t>
        </is>
      </c>
      <c r="K204" s="13" t="inlineStr">
        <is>
          <t>WordPress (static uploads)</t>
        </is>
      </c>
      <c r="L204" s="13" t="inlineStr">
        <is>
          <t>official_avg</t>
        </is>
      </c>
      <c r="M204" s="13" t="inlineStr">
        <is>
          <t>official_avg</t>
        </is>
      </c>
      <c r="N204" s="13" t="inlineStr">
        <is>
          <t>PKR</t>
        </is>
      </c>
      <c r="O204" s="13" t="n">
        <v>25</v>
      </c>
      <c r="P204" s="13" t="inlineStr">
        <is>
          <t>wp-content/uploads/2020/07/Annex_{DD.MM.YYYY}.xlsx (dated, predictable pattern)</t>
        </is>
      </c>
      <c r="Q204" s="13" t="inlineStr">
        <is>
          <t>www.pbs.gov.pk/spi 404s directly (stale vanity URL) but the per-week bulletin page (found via WebSearch) -&gt; HTTP 200, links to a stable-pattern Annex XLSX (wp-content/uploads/2020/07/Annex_DD.MM.YYYY.xlsx). Downloaded and parsed with openpyxl: 'Appendix-A / CONSUMER PRICES OF ESSENTIAL ITEMS', MIN/AVG/MAX price per item across 17 cities (Islamabad, Rawalpindi, Gujranwala, Sialkot, Lahore, Faisalabad, Sargodha, ...). Sample rows: 'Wheat Flour Bag 20 Kg' avg PKR 3085 (Islamabad), 'Milk fresh (Un-boiled) 1 Ltr' avg PKR 250.66, 'Rice Basmati Broken 1 Kg' avg PKR 274.83, 'Eggs Hen (Farm) 1 Dozen' avg PKR 271.48.</t>
        </is>
      </c>
      <c r="R204" s="13" t="b">
        <v>0</v>
      </c>
      <c r="S204" s="13" t="inlineStr">
        <is>
          <t>51 essential items (food + non-food) across 50 markets in 17 cities, published weekly with a predictable filename pattern once the current-week bulletin URL is found (need a small WebSearch or an index-page crawl each week to get the live URL -- the /spi vanity page itself is stale). Food-relevant subset (flour, rice x2, bread, beef, mutton, chicken, milk, curd, powdered milk, eggs, 2 cooking oils, ghee, sugar, tea, pulses, onion, potato, ...) covers the classic SPI basket.</t>
        </is>
      </c>
      <c r="T204" s="13" t="inlineStr"/>
    </row>
    <row r="205">
      <c r="A205" s="13" t="inlineStr">
        <is>
          <t>ssa</t>
        </is>
      </c>
      <c r="B205" s="13" t="inlineStr">
        <is>
          <t>benin</t>
        </is>
      </c>
      <c r="C205" s="13" t="inlineStr">
        <is>
          <t>Yobou Market</t>
        </is>
      </c>
      <c r="D205" s="13" t="inlineStr">
        <is>
          <t>https://www.yoboumarket.com/</t>
        </is>
      </c>
      <c r="E205" s="13" t="inlineStr">
        <is>
          <t>TIER_1B</t>
        </is>
      </c>
      <c r="F205" s="13" t="inlineStr">
        <is>
          <t>low</t>
        </is>
      </c>
      <c r="G205" s="13" t="inlineStr">
        <is>
          <t>Wave 3</t>
        </is>
      </c>
      <c r="H205" s="13" t="inlineStr">
        <is>
          <t>spider</t>
        </is>
      </c>
      <c r="I205" s="13" t="inlineStr">
        <is>
          <t>One bespoke spider or fetcher per source</t>
        </is>
      </c>
      <c r="J205" s="13" t="inlineStr">
        <is>
          <t>Z_bespoke</t>
        </is>
      </c>
      <c r="K205" s="13" t="inlineStr">
        <is>
          <t>Custom (Next.js)</t>
        </is>
      </c>
      <c r="L205" s="13" t="inlineStr">
        <is>
          <t>retailer_sku</t>
        </is>
      </c>
      <c r="M205" s="13" t="inlineStr">
        <is>
          <t>supermarket</t>
        </is>
      </c>
      <c r="N205" s="13" t="inlineStr">
        <is>
          <t>XOF</t>
        </is>
      </c>
      <c r="O205" s="13" t="n">
        <v>25</v>
      </c>
      <c r="P205" s="13" t="inlineStr">
        <is>
          <t>/api/products?limit=all&amp;includeInactive=true</t>
        </is>
      </c>
      <c r="Q205" s="13" t="inlineStr">
        <is>
          <t>Next.js app with open API. GET https://www.yoboumarket.com/api/products?limit=all&amp;includeInactive=true -&gt; 200, 578KB, 778 products, no auth. Sample: 'Chou' (cabbage) 500 FCFA. Category breakdown: Alimentation 48, Cuisine 44, Fruits et Legumes 37, Petit Dejeuner 36, Hygiene et Cosmetique 30, Nettoyages 12, Electromenagers 12, Pagnes/tissus 9, Grignoter 5, Epices 3, Savon 3, plus 539 uncategorized.</t>
        </is>
      </c>
      <c r="R205" s="13" t="b">
        <v>1</v>
      </c>
      <c r="S205" s="13" t="inlineStr">
        <is>
          <t>Thinner and more general-merchandise than NolMarket; food is ~130-180 of 778 SKUs once the 539 uncategorized rows are triaged.</t>
        </is>
      </c>
      <c r="T205" s="13" t="inlineStr"/>
    </row>
    <row r="206">
      <c r="A206" s="13" t="inlineStr">
        <is>
          <t>sar</t>
        </is>
      </c>
      <c r="B206" s="13" t="inlineStr">
        <is>
          <t>bangladesh</t>
        </is>
      </c>
      <c r="C206" s="13" t="inlineStr">
        <is>
          <t>TCB (Trading Corporation of Bangladesh) daily essential-commodity prices</t>
        </is>
      </c>
      <c r="D206" s="13" t="inlineStr">
        <is>
          <t>https://tcb.gov.bd/pages/daily-rmps</t>
        </is>
      </c>
      <c r="E206" s="13" t="inlineStr">
        <is>
          <t>TIER_1A</t>
        </is>
      </c>
      <c r="F206" s="13" t="inlineStr">
        <is>
          <t>low</t>
        </is>
      </c>
      <c r="G206" s="13" t="inlineStr">
        <is>
          <t>Wave 3</t>
        </is>
      </c>
      <c r="H206" s="13" t="inlineStr">
        <is>
          <t>fetcher</t>
        </is>
      </c>
      <c r="I206" s="13" t="inlineStr">
        <is>
          <t>One bespoke spider or fetcher per source</t>
        </is>
      </c>
      <c r="J206" s="13" t="inlineStr">
        <is>
          <t>Z_bespoke</t>
        </is>
      </c>
      <c r="K206" s="13" t="inlineStr">
        <is>
          <t>Custom CMS (V2Ministry)</t>
        </is>
      </c>
      <c r="L206" s="13" t="inlineStr">
        <is>
          <t>official_avg</t>
        </is>
      </c>
      <c r="M206" s="13" t="inlineStr">
        <is>
          <t>official_avg</t>
        </is>
      </c>
      <c r="N206" s="13" t="inlineStr">
        <is>
          <t>BDT</t>
        </is>
      </c>
      <c r="O206" s="13" t="n">
        <v>15</v>
      </c>
      <c r="P206" s="13" t="inlineStr">
        <is>
          <t>/pages/daily-rmps -&gt; dated XLSX (Oracle object storage)</t>
        </is>
      </c>
      <c r="Q206" s="13" t="inlineStr">
        <is>
          <t>curl -&gt; HTTP 200, 90.8KB HTML with a table of dated links directly to XLSX files, e.g. https://objectstorage.ap-dcc-gazipur-1.oraclecloud15.com/n/axvjbnqprylg/b/V2Ministry/o/office-tcb/2026/7/....xlsx. Not downloaded/parsed the XLSX schema in this pass, but the link pattern (one dated XLSX per day, Oracle Cloud object storage, no auth) is a clean published-static-doc fetcher shape.</t>
        </is>
      </c>
      <c r="R206" s="13" t="b">
        <v>0</v>
      </c>
      <c r="S206" s="13" t="inlineStr">
        <is>
          <t>TCB's tracked list is narrow (rice, edible oil, sugar, lentils/pulses, onion -- the classic 'essential commodities' basket used for open-market-sale interventions), so leaf count is modest, but it is trivial to fetch (one XLSX per day, stable link).</t>
        </is>
      </c>
      <c r="T206" s="13" t="inlineStr"/>
    </row>
    <row r="207">
      <c r="A207" s="13" t="inlineStr">
        <is>
          <t>sar</t>
        </is>
      </c>
      <c r="B207" s="13" t="inlineStr">
        <is>
          <t>nepal</t>
        </is>
      </c>
      <c r="C207" s="13" t="inlineStr">
        <is>
          <t>Groceries Nepal</t>
        </is>
      </c>
      <c r="D207" s="13" t="inlineStr">
        <is>
          <t>https://groceriesnepal.com/</t>
        </is>
      </c>
      <c r="E207" s="13" t="inlineStr">
        <is>
          <t>TIER_1B</t>
        </is>
      </c>
      <c r="F207" s="13" t="inlineStr">
        <is>
          <t>low</t>
        </is>
      </c>
      <c r="G207" s="13" t="inlineStr">
        <is>
          <t>Wave 3</t>
        </is>
      </c>
      <c r="H207" s="13" t="inlineStr">
        <is>
          <t>spider</t>
        </is>
      </c>
      <c r="I207" s="13" t="inlineStr">
        <is>
          <t>One bespoke spider or fetcher per source</t>
        </is>
      </c>
      <c r="J207" s="13" t="inlineStr">
        <is>
          <t>Z_bespoke</t>
        </is>
      </c>
      <c r="K207" s="13" t="inlineStr">
        <is>
          <t>Custom (Vite/React)</t>
        </is>
      </c>
      <c r="L207" s="13" t="inlineStr">
        <is>
          <t>retailer_sku</t>
        </is>
      </c>
      <c r="M207" s="13" t="inlineStr">
        <is>
          <t>supermarket</t>
        </is>
      </c>
      <c r="N207" s="13" t="inlineStr">
        <is>
          <t>NPR</t>
        </is>
      </c>
      <c r="O207" s="13" t="n">
        <v>10</v>
      </c>
      <c r="P207" s="13" t="inlineStr">
        <is>
          <t>GET /api/products</t>
        </is>
      </c>
      <c r="Q207" s="13" t="inlineStr">
        <is>
          <t>React SPA, GET https://groceriesnepal.com/api/products -&gt; 200, 26446 bytes JSON, plain curl, no auth. 97 products. categories = {Dairy, Dry Fruits, Fruits, Grocery, Leafy Vegetables, Vegetables}. Sample: 'Tomato (Goalbheda)' category=Vegetables price=100 prevPrice=90 unit=kg, also carries nameNp (Nepali name).</t>
        </is>
      </c>
      <c r="R207" s="13" t="b">
        <v>1</v>
      </c>
      <c r="S207" s="13" t="inlineStr">
        <is>
          <t>Small catalog (97 SKUs) but genuinely carries fresh Vegetables/Leafy Vegetables/Fruits categories, complementing the packaged-only sources. Thin depth per leaf though.</t>
        </is>
      </c>
      <c r="T207" s="13" t="inlineStr"/>
    </row>
    <row r="208">
      <c r="A208" s="13" t="inlineStr">
        <is>
          <t>ssa</t>
        </is>
      </c>
      <c r="B208" s="13" t="inlineStr">
        <is>
          <t>ghana</t>
        </is>
      </c>
      <c r="C208" s="13" t="inlineStr">
        <is>
          <t>Tezeon Grocery</t>
        </is>
      </c>
      <c r="D208" s="13" t="inlineStr">
        <is>
          <t>https://tezeon.com/grocery</t>
        </is>
      </c>
      <c r="E208" s="13" t="inlineStr">
        <is>
          <t>TIER_1B</t>
        </is>
      </c>
      <c r="F208" s="13" t="inlineStr">
        <is>
          <t>low</t>
        </is>
      </c>
      <c r="G208" s="13" t="inlineStr">
        <is>
          <t>Wave 3</t>
        </is>
      </c>
      <c r="H208" s="13" t="inlineStr">
        <is>
          <t>spider</t>
        </is>
      </c>
      <c r="I208" s="13" t="inlineStr">
        <is>
          <t>One bespoke spider or fetcher per source</t>
        </is>
      </c>
      <c r="J208" s="13" t="inlineStr">
        <is>
          <t>Z_bespoke</t>
        </is>
      </c>
      <c r="K208" s="13" t="inlineStr">
        <is>
          <t>Custom (Django REST + Next.js frontend)</t>
        </is>
      </c>
      <c r="L208" s="13" t="inlineStr">
        <is>
          <t>retailer_sku</t>
        </is>
      </c>
      <c r="M208" s="13" t="inlineStr">
        <is>
          <t>supermarket</t>
        </is>
      </c>
      <c r="N208" s="13" t="inlineStr">
        <is>
          <t>GHS</t>
        </is>
      </c>
      <c r="O208" s="13" t="n">
        <v>10</v>
      </c>
      <c r="P208" s="13" t="inlineStr">
        <is>
          <t>/api/products/ (category filter param not yet resolved), /api/products/categories/</t>
        </is>
      </c>
      <c r="Q208" s="13" t="inlineStr">
        <is>
          <t>Playwright network trace on a category page surfaced a fully open Django-style REST API: GET https://api.tezeon.com/api/products/categories/ -&gt; 200, 204KB, full category tree, no auth. Reproduced standalone with curl. GET https://api.tezeon.com/api/products/ -&gt; 200, 42KB, paginated product list with real prices (e.g. 'Tecno True Wireless Stereo Earphone' GHS 600.00). A 'Groceries &amp; Food' top-level category exists (slug groceries-food) alongside Rice &amp; Pasta, Snacks, Spices, Drinks, Fruit &amp; Vegetable Tools sub-categories, but attempts to filter the products endpoint by category=groceries-food and category=groceries both returned HTTP 400 within budget -- the correct filter param name was not found.</t>
        </is>
      </c>
      <c r="R208" s="13" t="b">
        <v>1</v>
      </c>
      <c r="S208" s="13" t="inlineStr">
        <is>
          <t>General marketplace (electronics/fashion/home dominant per the 150+ category list) with a real but modest F&amp;B slice. Endpoint is trivially open; only the query-param spelling needs one more probe cycle.</t>
        </is>
      </c>
      <c r="T208" s="13" t="inlineStr"/>
    </row>
    <row r="209">
      <c r="A209" s="13" t="inlineStr">
        <is>
          <t>sar</t>
        </is>
      </c>
      <c r="B209" s="13" t="inlineStr">
        <is>
          <t>nepal</t>
        </is>
      </c>
      <c r="C209" s="13" t="inlineStr">
        <is>
          <t>ShopIt Nepal</t>
        </is>
      </c>
      <c r="D209" s="13" t="inlineStr">
        <is>
          <t>https://www.shopitnepal.com/</t>
        </is>
      </c>
      <c r="E209" s="13" t="inlineStr">
        <is>
          <t>TIER_1B</t>
        </is>
      </c>
      <c r="F209" s="13" t="inlineStr">
        <is>
          <t>low</t>
        </is>
      </c>
      <c r="G209" s="13" t="inlineStr">
        <is>
          <t>Wave 3</t>
        </is>
      </c>
      <c r="H209" s="13" t="inlineStr">
        <is>
          <t>spider</t>
        </is>
      </c>
      <c r="I209" s="13" t="inlineStr">
        <is>
          <t>One bespoke spider or fetcher per source</t>
        </is>
      </c>
      <c r="J209" s="13" t="inlineStr">
        <is>
          <t>Z_bespoke</t>
        </is>
      </c>
      <c r="K209" s="13" t="inlineStr">
        <is>
          <t>Custom (Next.js)</t>
        </is>
      </c>
      <c r="L209" s="13" t="inlineStr">
        <is>
          <t>retailer_sku</t>
        </is>
      </c>
      <c r="M209" s="13" t="inlineStr">
        <is>
          <t>supermarket</t>
        </is>
      </c>
      <c r="N209" s="13" t="inlineStr">
        <is>
          <t>NPR</t>
        </is>
      </c>
      <c r="O209" s="13" t="n">
        <v>8</v>
      </c>
      <c r="P209" s="13" t="inlineStr">
        <is>
          <t>GET /api/mobile/products, /api/mobile/category</t>
        </is>
      </c>
      <c r="Q209" s="13" t="inlineStr">
        <is>
          <t>Next.js frontend, GET https://shopitnepal.com/api/mobile/products -&gt; 200, 7253 bytes JSON, plain curl, no auth. Sample: 'NIVEA Shea Smooth 75ml' price=185 mrp=200. GET /api/mobile/category -&gt; categories {Baby Products, Chocolates, Cloud Kitchen, Daily Groceries, Hajmola, Home &amp; Kitchen, Ice Creams, Liquors, Mouth Freashner, Packaged Foods, Party Supplies, Personal Care, Sexual Wellness, Smokes, Soft Drinks}.</t>
        </is>
      </c>
      <c r="R209" s="13" t="b">
        <v>1</v>
      </c>
      <c r="S209" s="13" t="inlineStr">
        <is>
          <t>Quick-commerce convenience-store catalog (cloud kitchen, liquor, smokes, sweets) with no visible fresh-produce category -- 'Daily Groceries' unconfirmed for fresh items. Endpoint only returned 1 page (default limit) in this probe; pagination params not confirmed.</t>
        </is>
      </c>
      <c r="T209" s="13" t="inlineStr"/>
    </row>
    <row r="210">
      <c r="A210" s="13" t="inlineStr">
        <is>
          <t>ssa</t>
        </is>
      </c>
      <c r="B210" s="13" t="inlineStr">
        <is>
          <t>malawi</t>
        </is>
      </c>
      <c r="C210" s="13" t="inlineStr">
        <is>
          <t>Tambala Market</t>
        </is>
      </c>
      <c r="D210" s="13" t="inlineStr">
        <is>
          <t>https://www.tambalamarket.store/categories/food-beverages</t>
        </is>
      </c>
      <c r="E210" s="13" t="inlineStr">
        <is>
          <t>TIER_1A</t>
        </is>
      </c>
      <c r="F210" s="13" t="inlineStr">
        <is>
          <t>low</t>
        </is>
      </c>
      <c r="G210" s="13" t="inlineStr">
        <is>
          <t>Wave 3</t>
        </is>
      </c>
      <c r="H210" s="13" t="inlineStr">
        <is>
          <t>spider</t>
        </is>
      </c>
      <c r="I210" s="13" t="inlineStr">
        <is>
          <t>One bespoke spider or fetcher per source</t>
        </is>
      </c>
      <c r="J210" s="13" t="inlineStr">
        <is>
          <t>Z_bespoke</t>
        </is>
      </c>
      <c r="K210" s="13" t="inlineStr">
        <is>
          <t>Custom</t>
        </is>
      </c>
      <c r="L210" s="13" t="inlineStr">
        <is>
          <t>retailer_sku</t>
        </is>
      </c>
      <c r="M210" s="13" t="inlineStr">
        <is>
          <t>supermarket</t>
        </is>
      </c>
      <c r="N210" s="13" t="inlineStr">
        <is>
          <t>MWK</t>
        </is>
      </c>
      <c r="O210" s="13" t="n">
        <v>8</v>
      </c>
      <c r="P210" s="13" t="inlineStr">
        <is>
          <t>SSR HTML</t>
        </is>
      </c>
      <c r="Q210" s="13" t="inlineStr">
        <is>
          <t>GET /categories/food-beverages -&gt; 200, 338KB, multiple 'MWK' matches in raw HTML.</t>
        </is>
      </c>
      <c r="R210" s="13" t="b">
        <v>1</v>
      </c>
      <c r="S210" s="13" t="inlineStr">
        <is>
          <t>Multi-seller marketplace; per prior research the food category is small (~17 items) and wine-heavy -- low net-new value beyond Add2Cart/DoorShoppin.</t>
        </is>
      </c>
      <c r="T210" s="13" t="inlineStr"/>
    </row>
    <row r="211">
      <c r="A211" s="13" t="inlineStr">
        <is>
          <t>sar</t>
        </is>
      </c>
      <c r="B211" s="13" t="inlineStr">
        <is>
          <t>nepal</t>
        </is>
      </c>
      <c r="C211" s="13" t="inlineStr">
        <is>
          <t>MilanWholesale</t>
        </is>
      </c>
      <c r="D211" s="13" t="inlineStr">
        <is>
          <t>https://milanwholesale.com/</t>
        </is>
      </c>
      <c r="E211" s="13" t="inlineStr">
        <is>
          <t>TIER_1A</t>
        </is>
      </c>
      <c r="F211" s="13" t="inlineStr">
        <is>
          <t>low</t>
        </is>
      </c>
      <c r="G211" s="13" t="inlineStr">
        <is>
          <t>Wave 3</t>
        </is>
      </c>
      <c r="H211" s="13" t="inlineStr">
        <is>
          <t>fetcher</t>
        </is>
      </c>
      <c r="I211" s="13" t="inlineStr">
        <is>
          <t>One bespoke spider or fetcher per source</t>
        </is>
      </c>
      <c r="J211" s="13" t="inlineStr">
        <is>
          <t>Z_bespoke</t>
        </is>
      </c>
      <c r="K211" s="13" t="inlineStr">
        <is>
          <t>Custom (not WordPress -- wp-json/wc endpoints 404, csrf-token in page suggests bespoke PHP app)</t>
        </is>
      </c>
      <c r="L211" s="13" t="inlineStr">
        <is>
          <t>wholesale reference</t>
        </is>
      </c>
      <c r="M211" s="13" t="inlineStr">
        <is>
          <t>wholesale</t>
        </is>
      </c>
      <c r="N211" s="13" t="inlineStr">
        <is>
          <t>NPR</t>
        </is>
      </c>
      <c r="O211" s="13" t="n">
        <v>5</v>
      </c>
      <c r="P211" s="13" t="inlineStr">
        <is>
          <t>GET /product-category/&lt;slug&gt;</t>
        </is>
      </c>
      <c r="Q211" s="13" t="inlineStr">
        <is>
          <t>GET https://milanwholesale.com/product-category/rice -&gt; 200, 104587 bytes SSR HTML, plain curl, no auth. Product cards extracted via h-tag anchors, e.g. 'Rajhans Royal Pulao Basmati Rice 20kg' Rs.4500, 'Aashiyana Usina Long Grain Rice 5kg'. Categories: biscuits, breakfast-dips-spreads, chips-biscuits-noodles, cooking-oil-ghee, daal, dry-fruits, flour-flour-products, hot-cold-beverages, lentils-pulses-beans, noodles, rice, spices-masala, sugar-salt.</t>
        </is>
      </c>
      <c r="R211" s="13" t="b">
        <v>1</v>
      </c>
      <c r="S211" s="13" t="inlineStr">
        <is>
          <t>Wholesale bulk pricing on dry staples only (rice, dal/pulses, oil/ghee, spices, sugar/salt, dry fruits, noodles, biscuits) -- no fresh produce/dairy/meat. Prices are bulk-pack (20kg sacks etc.), pair with a retail source for wholesale-retail spread per shard notes. High category overlap with Vhandar/MeroKirana so counted mostly incremental (different channel/analytical_role, not new leaves).</t>
        </is>
      </c>
      <c r="T211" s="13" t="inlineStr"/>
    </row>
    <row r="212">
      <c r="A212" s="13" t="inlineStr">
        <is>
          <t>ssa</t>
        </is>
      </c>
      <c r="B212" s="13" t="inlineStr">
        <is>
          <t>cameroon</t>
        </is>
      </c>
      <c r="C212" s="13" t="inlineStr">
        <is>
          <t>Yorix CM</t>
        </is>
      </c>
      <c r="D212" s="13" t="inlineStr">
        <is>
          <t>https://www.yorix.cm/</t>
        </is>
      </c>
      <c r="E212" s="13" t="inlineStr">
        <is>
          <t>TIER_1B</t>
        </is>
      </c>
      <c r="F212" s="13" t="inlineStr">
        <is>
          <t>low</t>
        </is>
      </c>
      <c r="G212" s="13" t="inlineStr">
        <is>
          <t>Wave 3</t>
        </is>
      </c>
      <c r="H212" s="13" t="inlineStr">
        <is>
          <t>spider</t>
        </is>
      </c>
      <c r="I212" s="13" t="inlineStr">
        <is>
          <t>One bespoke spider or fetcher per source</t>
        </is>
      </c>
      <c r="J212" s="13" t="inlineStr">
        <is>
          <t>Z_bespoke</t>
        </is>
      </c>
      <c r="K212" s="13" t="inlineStr">
        <is>
          <t>Custom (React/Vite + Supabase)</t>
        </is>
      </c>
      <c r="L212" s="13" t="inlineStr">
        <is>
          <t>retailer_sku</t>
        </is>
      </c>
      <c r="M212" s="13" t="inlineStr">
        <is>
          <t>aggregator</t>
        </is>
      </c>
      <c r="N212" s="13" t="inlineStr">
        <is>
          <t>XAF</t>
        </is>
      </c>
      <c r="O212" s="13" t="n">
        <v>5</v>
      </c>
      <c r="P212" s="13" t="inlineStr">
        <is>
          <t>https://msrymchhhxitdevthvdi.supabase.co/rest/v1/products (apikey header)</t>
        </is>
      </c>
      <c r="Q212" s="13" t="inlineStr">
        <is>
          <t>React/Vite SPA backed by Supabase. Publishable key captured from live Playwright request headers (apikey/authorization: sb_publishable_yJj7JNdn-r19Pjc070IOBg_y2VzGJXA), reproduced standalone with curl: GET https://msrymchhhxitdevthvdi.supabase.co/rest/v1/products?select=id,name_fr,prix,categorie&amp;limit=1000 -&gt; 200, 189 total products. Only 13 fall in food-relevant categories ('Alimentation', 'Produits frais'); the rest are Sacs &amp; accessoires, Cosmetiques, Mode, Telephones, Automobile, etc. One row is even mislabeled ('Redmi A5 android' filed under 'Alimentation').</t>
        </is>
      </c>
      <c r="R212" s="13" t="b">
        <v>1</v>
      </c>
      <c r="S212" s="13" t="inlineStr">
        <is>
          <t>Technically open and easy to scrape, but this is a general classifieds-style marketplace with a very thin, low-quality food slice (13/189 products, one mislabeled). Resolves CSV's 'grocery depth unclear' -- depth is thin.</t>
        </is>
      </c>
      <c r="T212" s="13" t="inlineStr"/>
    </row>
    <row r="213">
      <c r="A213" s="13" t="inlineStr">
        <is>
          <t>ssa</t>
        </is>
      </c>
      <c r="B213" s="13" t="inlineStr">
        <is>
          <t>cameroon</t>
        </is>
      </c>
      <c r="C213" s="13" t="inlineStr">
        <is>
          <t>QuickGo 237</t>
        </is>
      </c>
      <c r="D213" s="13" t="inlineStr">
        <is>
          <t>https://www.quickgo237.com/</t>
        </is>
      </c>
      <c r="E213" s="13" t="inlineStr">
        <is>
          <t>TIER_1B</t>
        </is>
      </c>
      <c r="F213" s="13" t="inlineStr">
        <is>
          <t>low</t>
        </is>
      </c>
      <c r="G213" s="13" t="inlineStr">
        <is>
          <t>Wave 3</t>
        </is>
      </c>
      <c r="H213" s="13" t="inlineStr">
        <is>
          <t>spider</t>
        </is>
      </c>
      <c r="I213" s="13" t="inlineStr">
        <is>
          <t>One bespoke spider or fetcher per source</t>
        </is>
      </c>
      <c r="J213" s="13" t="inlineStr">
        <is>
          <t>Z_bespoke</t>
        </is>
      </c>
      <c r="K213" s="13" t="inlineStr">
        <is>
          <t>Custom (Next.js)</t>
        </is>
      </c>
      <c r="L213" s="13" t="inlineStr">
        <is>
          <t>retailer_sku</t>
        </is>
      </c>
      <c r="M213" s="13" t="inlineStr">
        <is>
          <t>aggregator</t>
        </is>
      </c>
      <c r="N213" s="13" t="inlineStr">
        <is>
          <t>XAF</t>
        </is>
      </c>
      <c r="O213" s="13" t="n">
        <v>3</v>
      </c>
      <c r="P213" s="13" t="inlineStr">
        <is>
          <t>/api/vendors, /api/products</t>
        </is>
      </c>
      <c r="Q213" s="13" t="inlineStr">
        <is>
          <t>Next.js app, open custom API confirmed via Playwright network trace then reproduced standalone with plain curl (no auth): GET https://www.quickgo237.com/api/vendors -&gt; 200, 5.2KB, 6 vendors total. GET .../api/products -&gt; 200, 11KB. The ?category=supermarche query param does not actually filter server-side (returns all 6 vendors regardless). Only 1 of 6 vendors is a supermarket ('Super U Express'); the rest are a pharmacy, a restaurant, 2 electronics stores and a fashion store.</t>
        </is>
      </c>
      <c r="R213" s="13" t="b">
        <v>1</v>
      </c>
      <c r="S213" s="13" t="inlineStr">
        <is>
          <t>Technically wide open (no engineering blocker) but currently early-stage/seed-data scale -- 6 total vendors citywide is not yet a meaningful F&amp;B source. Worth a cheap re-check in a few months as the marketplace grows.</t>
        </is>
      </c>
      <c r="T213" s="13" t="inlineStr"/>
    </row>
    <row r="214">
      <c r="A214" s="13" t="inlineStr">
        <is>
          <t>eca</t>
        </is>
      </c>
      <c r="B214" s="13" t="inlineStr">
        <is>
          <t>ireland</t>
        </is>
      </c>
      <c r="C214" s="13" t="inlineStr">
        <is>
          <t>supermarket.ie</t>
        </is>
      </c>
      <c r="D214" s="13" t="inlineStr">
        <is>
          <t>https://www.supermarket.ie/compare/supermarket-prices-ireland</t>
        </is>
      </c>
      <c r="E214" s="13" t="inlineStr">
        <is>
          <t>TIER_1A</t>
        </is>
      </c>
      <c r="F214" s="13" t="inlineStr">
        <is>
          <t>low</t>
        </is>
      </c>
      <c r="G214" s="13" t="inlineStr">
        <is>
          <t>Wave 3</t>
        </is>
      </c>
      <c r="H214" s="13" t="inlineStr">
        <is>
          <t>fetcher</t>
        </is>
      </c>
      <c r="I214" s="13" t="inlineStr">
        <is>
          <t>One bespoke spider or fetcher per source</t>
        </is>
      </c>
      <c r="J214" s="13" t="inlineStr">
        <is>
          <t>Z_bespoke</t>
        </is>
      </c>
      <c r="K214" s="13" t="inlineStr">
        <is>
          <t>Custom (Next.js)</t>
        </is>
      </c>
      <c r="L214" s="13" t="inlineStr">
        <is>
          <t>aggregate_proxy</t>
        </is>
      </c>
      <c r="M214" s="13" t="inlineStr">
        <is>
          <t>aggregate_proxy</t>
        </is>
      </c>
      <c r="N214" s="13" t="inlineStr">
        <is>
          <t>EUR</t>
        </is>
      </c>
      <c r="O214" s="13" t="n">
        <v>0</v>
      </c>
      <c r="P214" s="13" t="inlineStr">
        <is>
          <t>SSR</t>
        </is>
      </c>
      <c r="Q214" s="13" t="inlineStr">
        <is>
          <t>GET -&gt; 200, 147KB, Next.js. Real EUR basket totals found in SSR HTML (e.g. €393.77, €35.52, €224.46) across Tesco/Dunnes/SuperValu/Aldi.</t>
        </is>
      </c>
      <c r="R214" s="13" t="b">
        <v>1</v>
      </c>
      <c r="S214" s="13" t="inlineStr">
        <is>
          <t>Real retailer-sourced basket-comparison tool (not a cost-of-living survey publisher) but data is at basket/category-total grain (524 products, twice-weekly), not itemized catalogue -- does not count toward per-leaf coverage per the brief's rule.</t>
        </is>
      </c>
      <c r="T214" s="13" t="inlineStr"/>
    </row>
    <row r="215">
      <c r="A215" s="13" t="inlineStr">
        <is>
          <t>menaap</t>
        </is>
      </c>
      <c r="B215" s="13" t="inlineStr">
        <is>
          <t>libya</t>
        </is>
      </c>
      <c r="C215" s="13" t="inlineStr">
        <is>
          <t>Shobly</t>
        </is>
      </c>
      <c r="D215" s="13" t="inlineStr">
        <is>
          <t>https://shobly.shop/</t>
        </is>
      </c>
      <c r="E215" s="13" t="inlineStr">
        <is>
          <t>TIER_1A</t>
        </is>
      </c>
      <c r="F215" s="13" t="inlineStr">
        <is>
          <t>low</t>
        </is>
      </c>
      <c r="G215" s="13" t="inlineStr">
        <is>
          <t>Wave 3</t>
        </is>
      </c>
      <c r="H215" s="13" t="inlineStr">
        <is>
          <t>spider</t>
        </is>
      </c>
      <c r="I215" s="13" t="inlineStr">
        <is>
          <t>One bespoke spider or fetcher per source</t>
        </is>
      </c>
      <c r="J215" s="13" t="inlineStr">
        <is>
          <t>Z_bespoke</t>
        </is>
      </c>
      <c r="K215" s="13" t="inlineStr">
        <is>
          <t>Custom</t>
        </is>
      </c>
      <c r="L215" s="13" t="inlineStr">
        <is>
          <t>retailer_sku</t>
        </is>
      </c>
      <c r="M215" s="13" t="inlineStr">
        <is>
          <t>marketplace</t>
        </is>
      </c>
      <c r="N215" s="13" t="inlineStr">
        <is>
          <t>LYD</t>
        </is>
      </c>
      <c r="O215" s="13" t="n">
        <v>0</v>
      </c>
      <c r="P215" s="13" t="inlineStr">
        <is>
          <t>SSR HTML</t>
        </is>
      </c>
      <c r="Q215" s="13" t="inlineStr">
        <is>
          <t>curl -&gt; 200, 371KB, LYD prices confirmed present. CSV pass-3 reclassification confirmed by browsing: catalogue is cosmetics/clothing/accessories, zero food/beverage SKUs.</t>
        </is>
      </c>
      <c r="R215" s="13" t="b">
        <v>1</v>
      </c>
      <c r="S215" s="13" t="inlineStr">
        <is>
          <t>Live and scrapeable but out of scope for F&amp;B (COICOP 03/12.1 non-food only). Not counted toward Libya's F&amp;B leaf coverage.</t>
        </is>
      </c>
      <c r="T215" s="13" t="inlineStr"/>
    </row>
    <row r="216">
      <c r="A216" s="13" t="inlineStr">
        <is>
          <t>menaap</t>
        </is>
      </c>
      <c r="B216" s="13" t="inlineStr">
        <is>
          <t>libya</t>
        </is>
      </c>
      <c r="C216" s="13" t="inlineStr">
        <is>
          <t>Matjar Libya</t>
        </is>
      </c>
      <c r="D216" s="13" t="inlineStr">
        <is>
          <t>https://www.matjar-libya.com/</t>
        </is>
      </c>
      <c r="E216" s="13" t="inlineStr">
        <is>
          <t>TIER_1A</t>
        </is>
      </c>
      <c r="F216" s="13" t="inlineStr">
        <is>
          <t>low</t>
        </is>
      </c>
      <c r="G216" s="13" t="inlineStr">
        <is>
          <t>Wave 3</t>
        </is>
      </c>
      <c r="H216" s="13" t="inlineStr">
        <is>
          <t>spider</t>
        </is>
      </c>
      <c r="I216" s="13" t="inlineStr">
        <is>
          <t>One bespoke spider or fetcher per source</t>
        </is>
      </c>
      <c r="J216" s="13" t="inlineStr">
        <is>
          <t>Z_bespoke</t>
        </is>
      </c>
      <c r="K216" s="13" t="inlineStr">
        <is>
          <t>Custom</t>
        </is>
      </c>
      <c r="L216" s="13" t="inlineStr">
        <is>
          <t>retailer_sku</t>
        </is>
      </c>
      <c r="M216" s="13" t="inlineStr">
        <is>
          <t>marketplace</t>
        </is>
      </c>
      <c r="N216" s="13" t="inlineStr">
        <is>
          <t>LYD</t>
        </is>
      </c>
      <c r="O216" s="13" t="n">
        <v>0</v>
      </c>
      <c r="P216" s="13" t="inlineStr">
        <is>
          <t>SSR HTML, /products</t>
        </is>
      </c>
      <c r="Q216" s="13" t="inlineStr">
        <is>
          <t>curl -&gt; 200, 169KB. Real LYD prices ('179,00 د.ل', '531,00 د.ل'). Product URL slugs confirm catalogue: acm-depiwhite-advanced-creme-anti-taches (cream), aspirateur-pro-maison (vacuum cleaner), detecteur-cameras-cachees (hidden camera detector), extracteur-points-noirs (blackhead extractor) - anti-theft/cosmetics/gadget dropship, zero food SKUs.</t>
        </is>
      </c>
      <c r="R216" s="13" t="b">
        <v>1</v>
      </c>
      <c r="S216" s="13" t="inlineStr">
        <is>
          <t>Confirms CSV pass-3 reclassification to non-food. Not counted toward F&amp;B coverage.</t>
        </is>
      </c>
      <c r="T216" s="13" t="inlineStr"/>
    </row>
  </sheetData>
  <autoFilter ref="A1:T2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26"/>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34" customWidth="1" min="3" max="3"/>
    <col width="51" customWidth="1" min="4" max="4"/>
    <col width="10" customWidth="1" min="5" max="5"/>
    <col width="10" customWidth="1" min="6" max="6"/>
    <col width="12" customWidth="1" min="7" max="7"/>
    <col width="13" customWidth="1" min="8" max="8"/>
    <col width="58" customWidth="1" min="9" max="9"/>
    <col width="11" customWidth="1" min="10" max="10"/>
    <col width="32" customWidth="1" min="11" max="11"/>
    <col width="17" customWidth="1" min="12" max="12"/>
    <col width="13" customWidth="1" min="13" max="13"/>
    <col width="10" customWidth="1" min="14" max="14"/>
    <col width="16" customWidth="1" min="15" max="15"/>
    <col width="58" customWidth="1" min="16" max="16"/>
    <col width="58" customWidth="1" min="17" max="17"/>
    <col width="10" customWidth="1" min="18" max="18"/>
    <col width="58" customWidth="1" min="19" max="19"/>
    <col width="10" customWidth="1" min="20" max="20"/>
  </cols>
  <sheetData>
    <row r="1" ht="30" customHeight="1">
      <c r="A1" s="12" t="inlineStr">
        <is>
          <t>region</t>
        </is>
      </c>
      <c r="B1" s="12" t="inlineStr">
        <is>
          <t>slug</t>
        </is>
      </c>
      <c r="C1" s="12" t="inlineStr">
        <is>
          <t>source</t>
        </is>
      </c>
      <c r="D1" s="12" t="inlineStr">
        <is>
          <t>url</t>
        </is>
      </c>
      <c r="E1" s="12" t="inlineStr">
        <is>
          <t>tier</t>
        </is>
      </c>
      <c r="F1" s="12" t="inlineStr">
        <is>
          <t>effort</t>
        </is>
      </c>
      <c r="G1" s="12" t="inlineStr">
        <is>
          <t>build_wave</t>
        </is>
      </c>
      <c r="H1" s="12" t="inlineStr">
        <is>
          <t>scaffolding</t>
        </is>
      </c>
      <c r="I1" s="12" t="inlineStr">
        <is>
          <t>build_approach</t>
        </is>
      </c>
      <c r="J1" s="12" t="inlineStr">
        <is>
          <t>bucket</t>
        </is>
      </c>
      <c r="K1" s="12" t="inlineStr">
        <is>
          <t>platform</t>
        </is>
      </c>
      <c r="L1" s="12" t="inlineStr">
        <is>
          <t>analytical_role</t>
        </is>
      </c>
      <c r="M1" s="12" t="inlineStr">
        <is>
          <t>channel</t>
        </is>
      </c>
      <c r="N1" s="12" t="inlineStr">
        <is>
          <t>currency</t>
        </is>
      </c>
      <c r="O1" s="12" t="inlineStr">
        <is>
          <t>fnb_leaves_est</t>
        </is>
      </c>
      <c r="P1" s="12" t="inlineStr">
        <is>
          <t>endpoint</t>
        </is>
      </c>
      <c r="Q1" s="12" t="inlineStr">
        <is>
          <t>evidence</t>
        </is>
      </c>
      <c r="R1" s="12" t="inlineStr">
        <is>
          <t>in_csv</t>
        </is>
      </c>
      <c r="S1" s="12" t="inlineStr">
        <is>
          <t>notes</t>
        </is>
      </c>
      <c r="T1" s="12" t="inlineStr">
        <is>
          <t>gotcha</t>
        </is>
      </c>
    </row>
    <row r="2">
      <c r="A2" s="13" t="inlineStr">
        <is>
          <t>eca</t>
        </is>
      </c>
      <c r="B2" s="13" t="inlineStr">
        <is>
          <t>tajikistan</t>
        </is>
      </c>
      <c r="C2" s="13" t="inlineStr">
        <is>
          <t>Dado.tj</t>
        </is>
      </c>
      <c r="D2" s="13" t="inlineStr">
        <is>
          <t>https://dado.tj/</t>
        </is>
      </c>
      <c r="E2" s="13" t="inlineStr">
        <is>
          <t>TIER_1B</t>
        </is>
      </c>
      <c r="F2" s="13" t="inlineStr">
        <is>
          <t>medium</t>
        </is>
      </c>
      <c r="G2" s="13" t="inlineStr">
        <is>
          <t>Wave 4</t>
        </is>
      </c>
      <c r="H2" s="13" t="inlineStr">
        <is>
          <t>spider</t>
        </is>
      </c>
      <c r="I2" s="13" t="inlineStr">
        <is>
          <t>Bespoke spider/fetcher - endpoint already known; extra work is pagination, auth or parsing</t>
        </is>
      </c>
      <c r="J2" s="13" t="inlineStr">
        <is>
          <t>D_woocommerce</t>
        </is>
      </c>
      <c r="K2" s="13" t="inlineStr">
        <is>
          <t>WooCommerce</t>
        </is>
      </c>
      <c r="L2" s="13" t="inlineStr">
        <is>
          <t>retailer_sku</t>
        </is>
      </c>
      <c r="M2" s="13" t="inlineStr">
        <is>
          <t>supermarket</t>
        </is>
      </c>
      <c r="N2" s="13" t="inlineStr">
        <is>
          <t>TJS</t>
        </is>
      </c>
      <c r="O2" s="13" t="n">
        <v>90</v>
      </c>
      <c r="P2" s="13" t="inlineStr">
        <is>
          <t>/wp-json/wc/store/v1/products (price field currently unreliable)</t>
        </is>
      </c>
      <c r="Q2" s="13" t="inlineStr">
        <is>
          <t>WordPress+WooCommerce confirmed. GET /wp-json/wc/store/v1/products?per_page=20 -&gt; HTTP 200, structured JSON, TJS currency, but price=0 for every one of 25 sampled products across 2 pages. Frontend PDP for a different product (h1 'Yabloko Sultanat' -- apple) shows a real non-zero price '4.89c.' rendered in the page. Product-category nav includes fresh produce (arbuz/watermelon, chesnok/garlic) alongside household chemicals.</t>
        </is>
      </c>
      <c r="R2" s="13" t="b">
        <v>1</v>
      </c>
      <c r="S2" s="13" t="inlineStr">
        <is>
          <t>DATA QUALITY CAVEAT: the Store API endpoint works structurally but returns price=0 site-wide while the HTML frontend shows real prices -- looks like a price-sync bug on the store's own catalogue, not a scraping problem. Would need to scrape rendered PDP HTML instead of trusting the API price field until this is resolved.</t>
        </is>
      </c>
      <c r="T2" s="13" t="inlineStr"/>
    </row>
    <row r="3">
      <c r="A3" s="13" t="inlineStr">
        <is>
          <t>eca</t>
        </is>
      </c>
      <c r="B3" s="13" t="inlineStr">
        <is>
          <t>germany</t>
        </is>
      </c>
      <c r="C3" s="13" t="inlineStr">
        <is>
          <t>Liefershop.de</t>
        </is>
      </c>
      <c r="D3" s="13" t="inlineStr">
        <is>
          <t>https://www.liefershop.de/</t>
        </is>
      </c>
      <c r="E3" s="13" t="inlineStr">
        <is>
          <t>TIER_1B</t>
        </is>
      </c>
      <c r="F3" s="13" t="inlineStr">
        <is>
          <t>medium</t>
        </is>
      </c>
      <c r="G3" s="13" t="inlineStr">
        <is>
          <t>Wave 4</t>
        </is>
      </c>
      <c r="H3" s="13" t="inlineStr">
        <is>
          <t>spider</t>
        </is>
      </c>
      <c r="I3" s="13" t="inlineStr">
        <is>
          <t>Bespoke spider/fetcher - endpoint already known; extra work is pagination, auth or parsing</t>
        </is>
      </c>
      <c r="J3" s="13" t="inlineStr">
        <is>
          <t>D_woocommerce</t>
        </is>
      </c>
      <c r="K3" s="13" t="inlineStr">
        <is>
          <t>WooCommerce</t>
        </is>
      </c>
      <c r="L3" s="13" t="inlineStr">
        <is>
          <t>retailer_sku</t>
        </is>
      </c>
      <c r="M3" s="13" t="inlineStr">
        <is>
          <t>supermarket</t>
        </is>
      </c>
      <c r="N3" s="13" t="inlineStr">
        <is>
          <t>EUR</t>
        </is>
      </c>
      <c r="O3" s="13" t="n">
        <v>60</v>
      </c>
      <c r="P3" s="13" t="inlineStr">
        <is>
          <t>/wp-json/wc/store/v1/products?per_page=N&amp;page=N</t>
        </is>
      </c>
      <c r="Q3" s="13" t="inlineStr">
        <is>
          <t>WooCommerce Store API /wp-json/wc/store/v1/products confirmed working (HTTP 200). Page 1 returned mostly Juice Plus+ MLM products, but page 5 (offset) returned genuine F&amp;B SKUs: 'Lamotte &amp; Cie Champagne Brut', 'Tavernello Vino Rosato d'Italia', 'Kosakenkaffee', 'Carpe Diem Kombucha Classic', 'Saupiquet Thunfisch-Salat Mexicana', 'Küstengold Spargelabschnitte', 'Cinema Popcorn süss', 'Heisse Tasse Tomaten-Creme-Suppe', 'Nestlé Cerealien Mini Packs', 'Corny Müsli-Riegel'</t>
        </is>
      </c>
      <c r="R3" s="13" t="b">
        <v>1</v>
      </c>
      <c r="S3" s="13" t="inlineStr">
        <is>
          <t>CSV gotcha confirmed and worse than described: catalog is heavily contaminated with Juice Plus+ MLM shake/supplement products interleaved with real wine/beverage/pantry SKUs - needs an MLM-brand filter before use.</t>
        </is>
      </c>
      <c r="T3" s="13" t="inlineStr"/>
    </row>
    <row r="4">
      <c r="A4" s="13" t="inlineStr">
        <is>
          <t>lac</t>
        </is>
      </c>
      <c r="B4" s="13" t="inlineStr">
        <is>
          <t>chile</t>
        </is>
      </c>
      <c r="C4" s="13" t="inlineStr">
        <is>
          <t>Jumbo Chile</t>
        </is>
      </c>
      <c r="D4" s="13" t="inlineStr">
        <is>
          <t>https://www.jumbo.cl/</t>
        </is>
      </c>
      <c r="E4" s="13" t="inlineStr">
        <is>
          <t>TIER_1B</t>
        </is>
      </c>
      <c r="F4" s="13" t="inlineStr">
        <is>
          <t>medium</t>
        </is>
      </c>
      <c r="G4" s="13" t="inlineStr">
        <is>
          <t>Wave 4</t>
        </is>
      </c>
      <c r="H4" s="13" t="inlineStr">
        <is>
          <t>spider</t>
        </is>
      </c>
      <c r="I4" s="13" t="inlineStr">
        <is>
          <t>Bespoke spider/fetcher - endpoint already known; extra work is pagination, auth or parsing</t>
        </is>
      </c>
      <c r="J4" s="13" t="inlineStr">
        <is>
          <t>E_vtex</t>
        </is>
      </c>
      <c r="K4" s="13" t="inlineStr">
        <is>
          <t>VTEX</t>
        </is>
      </c>
      <c r="L4" s="13" t="inlineStr">
        <is>
          <t>retailer_sku</t>
        </is>
      </c>
      <c r="M4" s="13" t="inlineStr">
        <is>
          <t>supermarket</t>
        </is>
      </c>
      <c r="N4" s="13" t="inlineStr">
        <is>
          <t>CLP</t>
        </is>
      </c>
      <c r="O4" s="13" t="n">
        <v>155</v>
      </c>
      <c r="P4" s="13" t="inlineStr">
        <is>
          <t>/api/catalog_system/pub/products/search (via jumbocl.myvtex.com origin, not the WAF'd custom domain)</t>
        </is>
      </c>
      <c r="Q4" s="13" t="inlineStr">
        <is>
          <t>Custom domain jumbo.cl/api/... 404s (Next.js frontend not proxying legacy API). VTEX origin GET https://jumbocl.myvtex.com/api/catalog_system/pub/products/search?_from=0&amp;_to=5 -&gt; HTTP 206, 110476 bytes. Sample: 'Platano Extra Granel (1 a 2 un. Aprox)' CLP 1590.0, link resolves to jumbocl.myvtex.com/platano-granel/p</t>
        </is>
      </c>
      <c r="R4" s="13" t="b">
        <v>0</v>
      </c>
      <c r="S4" s="13" t="inlineStr">
        <is>
          <t>Cencosud CL flagship hypermarket. Spider must target the myvtex.com origin, not jumbo.cl, mirroring the Shopify *.myshopify.com origin trick in platform_fingerprints.md.</t>
        </is>
      </c>
      <c r="T4" s="13" t="inlineStr"/>
    </row>
    <row r="5">
      <c r="A5" s="13" t="inlineStr">
        <is>
          <t>lac</t>
        </is>
      </c>
      <c r="B5" s="13" t="inlineStr">
        <is>
          <t>paraguay</t>
        </is>
      </c>
      <c r="C5" s="13" t="inlineStr">
        <is>
          <t>Arete Supermercados</t>
        </is>
      </c>
      <c r="D5" s="13" t="inlineStr">
        <is>
          <t>https://arete.com.py/</t>
        </is>
      </c>
      <c r="E5" s="13" t="inlineStr">
        <is>
          <t>TIER_1A</t>
        </is>
      </c>
      <c r="F5" s="13" t="inlineStr">
        <is>
          <t>medium</t>
        </is>
      </c>
      <c r="G5" s="13" t="inlineStr">
        <is>
          <t>Wave 4</t>
        </is>
      </c>
      <c r="H5" s="13" t="inlineStr">
        <is>
          <t>spider</t>
        </is>
      </c>
      <c r="I5" s="13" t="inlineStr">
        <is>
          <t>Bespoke spider/fetcher - endpoint already known; extra work is pagination, auth or parsing</t>
        </is>
      </c>
      <c r="J5" s="13" t="inlineStr">
        <is>
          <t>E_vtex</t>
        </is>
      </c>
      <c r="K5" s="13" t="inlineStr">
        <is>
          <t>Custom (same URL shape/vendor as Casa Rica; a 'GET /api/catalog_system/...' probe on this domain returned the platform's own JSON error 'La funcion solicitada no existe', confirming it is NOT VTEX)</t>
        </is>
      </c>
      <c r="L5" s="13" t="inlineStr">
        <is>
          <t>retailer_sku</t>
        </is>
      </c>
      <c r="M5" s="13" t="inlineStr">
        <is>
          <t>supermarket</t>
        </is>
      </c>
      <c r="N5" s="13" t="inlineStr">
        <is>
          <t>PYG</t>
        </is>
      </c>
      <c r="O5" s="13" t="n">
        <v>150</v>
      </c>
      <c r="P5" s="13" t="inlineStr">
        <is>
          <t>/catalogo/&lt;category-slug&gt;-c&lt;id&gt;</t>
        </is>
      </c>
      <c r="Q5" s="13" t="inlineStr">
        <is>
          <t>GET https://arete.com.py/catalogo/arroz-c347 -&gt; HTTP 200, 200343 bytes SSR HTML. Sample: 'ARROZ ENOC INTEGRAL 1 KG' Gs. 14.000 (other rows on same page: Gs. 2.850 / 5.500 / 5.200 / 9.950). Homepage has 162 distinct /catalogo/*-c&lt;id&gt; categories incl. aceites, arroz, frutas, frutas-y-verduras, leche-condensada.</t>
        </is>
      </c>
      <c r="R5" s="13" t="b">
        <v>0</v>
      </c>
      <c r="S5" s="13" t="inlineStr">
        <is>
          <t>Second full-line PY chain on the same platform family as Casa Rica -- high category overlap expected.</t>
        </is>
      </c>
      <c r="T5" s="13" t="inlineStr"/>
    </row>
    <row r="6">
      <c r="A6" s="13" t="inlineStr">
        <is>
          <t>lac</t>
        </is>
      </c>
      <c r="B6" s="13" t="inlineStr">
        <is>
          <t>chile</t>
        </is>
      </c>
      <c r="C6" s="13" t="inlineStr">
        <is>
          <t>Santa Isabel</t>
        </is>
      </c>
      <c r="D6" s="13" t="inlineStr">
        <is>
          <t>https://www.santaisabel.cl/</t>
        </is>
      </c>
      <c r="E6" s="13" t="inlineStr">
        <is>
          <t>TIER_1B</t>
        </is>
      </c>
      <c r="F6" s="13" t="inlineStr">
        <is>
          <t>medium</t>
        </is>
      </c>
      <c r="G6" s="13" t="inlineStr">
        <is>
          <t>Wave 4</t>
        </is>
      </c>
      <c r="H6" s="13" t="inlineStr">
        <is>
          <t>spider</t>
        </is>
      </c>
      <c r="I6" s="13" t="inlineStr">
        <is>
          <t>Bespoke spider/fetcher - endpoint already known; extra work is pagination, auth or parsing</t>
        </is>
      </c>
      <c r="J6" s="13" t="inlineStr">
        <is>
          <t>E_vtex</t>
        </is>
      </c>
      <c r="K6" s="13" t="inlineStr">
        <is>
          <t>VTEX</t>
        </is>
      </c>
      <c r="L6" s="13" t="inlineStr">
        <is>
          <t>retailer_sku</t>
        </is>
      </c>
      <c r="M6" s="13" t="inlineStr">
        <is>
          <t>supermarket</t>
        </is>
      </c>
      <c r="N6" s="13" t="inlineStr">
        <is>
          <t>CLP</t>
        </is>
      </c>
      <c r="O6" s="13" t="n">
        <v>140</v>
      </c>
      <c r="P6" s="13" t="inlineStr">
        <is>
          <t>/api/catalog_system/pub/products/search (via santaisabel.myvtex.com origin)</t>
        </is>
      </c>
      <c r="Q6" s="13" t="inlineStr">
        <is>
          <t>Custom domain santaisabel.cl/api/... 404s. VTEX origin GET https://santaisabel.myvtex.com/api/catalog_system/pub/products/search?_from=0&amp;_to=5 -&gt; HTTP 206, 97397 bytes. Sample: 'Trutro Entero de Pollo kg' CLP 3990.0</t>
        </is>
      </c>
      <c r="R6" s="13" t="b">
        <v>0</v>
      </c>
      <c r="S6" s="13" t="inlineStr">
        <is>
          <t>Cencosud CL supermarket banner, fresh meat confirmed. Same myvtex-origin caveat as Jumbo CL.</t>
        </is>
      </c>
      <c r="T6" s="13" t="inlineStr"/>
    </row>
    <row r="7">
      <c r="A7" s="13" t="inlineStr">
        <is>
          <t>lac</t>
        </is>
      </c>
      <c r="B7" s="13" t="inlineStr">
        <is>
          <t>ecuador</t>
        </is>
      </c>
      <c r="C7" s="13" t="inlineStr">
        <is>
          <t>Tia</t>
        </is>
      </c>
      <c r="D7" s="13" t="inlineStr">
        <is>
          <t>https://www.tia.com.ec/supermercado</t>
        </is>
      </c>
      <c r="E7" s="13" t="inlineStr">
        <is>
          <t>TIER_1A</t>
        </is>
      </c>
      <c r="F7" s="13" t="inlineStr">
        <is>
          <t>medium</t>
        </is>
      </c>
      <c r="G7" s="13" t="inlineStr">
        <is>
          <t>Wave 4</t>
        </is>
      </c>
      <c r="H7" s="13" t="inlineStr">
        <is>
          <t>spider</t>
        </is>
      </c>
      <c r="I7" s="13" t="inlineStr">
        <is>
          <t>Bespoke spider/fetcher - endpoint already known; extra work is pagination, auth or parsing</t>
        </is>
      </c>
      <c r="J7" s="13" t="inlineStr">
        <is>
          <t>H_magento</t>
        </is>
      </c>
      <c r="K7" s="13" t="inlineStr">
        <is>
          <t>Magento 2 (SSR HTML)</t>
        </is>
      </c>
      <c r="L7" s="13" t="inlineStr">
        <is>
          <t>retailer_sku</t>
        </is>
      </c>
      <c r="M7" s="13" t="inlineStr">
        <is>
          <t>supermarket</t>
        </is>
      </c>
      <c r="N7" s="13" t="inlineStr">
        <is>
          <t>USD</t>
        </is>
      </c>
      <c r="O7" s="13" t="n">
        <v>165</v>
      </c>
      <c r="P7" s="13" t="inlineStr">
        <is>
          <t>/supermercado/&lt;category&gt;/&lt;subcategory&gt; (Magento 2 SSR category pages; /catalogsearch/result redirect confirms Magento)</t>
        </is>
      </c>
      <c r="Q7" s="13" t="inlineStr">
        <is>
          <t>GET https://www.tia.com.ec/supermercado/frutas-y-verduras/frutas -&gt; HTTP 200, 319188 bytes SSR HTML. Product name + price directly in listing markup: 'ARANDANO BANDEJA 125 G' USD 1.59 (class=product-item-name / product-item-link). Full /supermercado nav tree includes aguas-y-bebidas, comestibles/{aceites-y-vinagres, arroz-y-fideos, cafe-y-chocolate-en-polvo, cereales-y-granolas, dulces-postres-y-untables, enlatados-y-conservas, granos-y-semillas, harinas-y-avenas, te-y-aromaticas}, desechables, frutas-y-verduras, lacteos/{crema-de-leche, huevos, leche-en-polvo, leches-blancas, leches-saborizadas, leches-vegetales, quesos, yogurt}, pastas, snacks-y-golosinas/{cakes-y-bocaditos, chocolates, galletas, papas-fritas, snacks-de-maiz}.</t>
        </is>
      </c>
      <c r="R7" s="13" t="b">
        <v>0</v>
      </c>
      <c r="S7" s="13" t="inlineStr">
        <is>
          <t>Ecuador's largest variety/discount retailer, full grocery vertical confirmed via nav tree. Magento GraphQL (/graphql) 403s -- scrape via SSR category pagination instead.</t>
        </is>
      </c>
      <c r="T7" s="13" t="inlineStr"/>
    </row>
    <row r="8">
      <c r="A8" s="13" t="inlineStr">
        <is>
          <t>ssa</t>
        </is>
      </c>
      <c r="B8" s="13" t="inlineStr">
        <is>
          <t>senegal</t>
        </is>
      </c>
      <c r="C8" s="13" t="inlineStr">
        <is>
          <t>Kaynoo</t>
        </is>
      </c>
      <c r="D8" s="13" t="inlineStr">
        <is>
          <t>https://www.kaynoo.sn/epicerie.html</t>
        </is>
      </c>
      <c r="E8" s="13" t="inlineStr">
        <is>
          <t>TIER_1B</t>
        </is>
      </c>
      <c r="F8" s="13" t="inlineStr">
        <is>
          <t>medium</t>
        </is>
      </c>
      <c r="G8" s="13" t="inlineStr">
        <is>
          <t>Wave 4</t>
        </is>
      </c>
      <c r="H8" s="13" t="inlineStr">
        <is>
          <t>spider</t>
        </is>
      </c>
      <c r="I8" s="13" t="inlineStr">
        <is>
          <t>Bespoke spider/fetcher - endpoint already known; extra work is pagination, auth or parsing</t>
        </is>
      </c>
      <c r="J8" s="13" t="inlineStr">
        <is>
          <t>H_magento</t>
        </is>
      </c>
      <c r="K8" s="13" t="inlineStr">
        <is>
          <t>Magento</t>
        </is>
      </c>
      <c r="L8" s="13" t="inlineStr">
        <is>
          <t>retailer_sku</t>
        </is>
      </c>
      <c r="M8" s="13" t="inlineStr">
        <is>
          <t>supermarket</t>
        </is>
      </c>
      <c r="N8" s="13" t="inlineStr">
        <is>
          <t>XOF</t>
        </is>
      </c>
      <c r="O8" s="13" t="n">
        <v>45</v>
      </c>
      <c r="P8" s="13" t="inlineStr">
        <is>
          <t>Magento GraphQL or /rest/V1/products</t>
        </is>
      </c>
      <c r="Q8" s="13" t="inlineStr">
        <is>
          <t>GET /epicerie.html -&gt; 200, 361KB, Magento fingerprint confirmed (price-box price-final_price divs, data-price-amount='2500'/'4500'/'4000' on real product ids). Catalogue mixes food with cosmetics per prior research -- filter by category.</t>
        </is>
      </c>
      <c r="R8" s="13" t="b">
        <v>1</v>
      </c>
      <c r="S8" s="13" t="inlineStr">
        <is>
          <t>Strong on local items (cafe Touba in 3 pack sizes, moringa/nebeday, baobab-adjacent) but heavy overlap with Sakanal/Yombouna's epicerie coverage -- most of its value is depth on a handful of leaves, not breadth.</t>
        </is>
      </c>
      <c r="T8" s="13" t="inlineStr"/>
    </row>
    <row r="9">
      <c r="A9" s="13" t="inlineStr">
        <is>
          <t>eca</t>
        </is>
      </c>
      <c r="B9" s="13" t="inlineStr">
        <is>
          <t>croatia</t>
        </is>
      </c>
      <c r="C9" s="13" t="inlineStr">
        <is>
          <t>Konzum</t>
        </is>
      </c>
      <c r="D9" s="13" t="inlineStr">
        <is>
          <t>https://www.konzum.hr/kreni-u-kupnju</t>
        </is>
      </c>
      <c r="E9" s="13" t="inlineStr">
        <is>
          <t>TIER_1A</t>
        </is>
      </c>
      <c r="F9" s="13" t="inlineStr">
        <is>
          <t>medium</t>
        </is>
      </c>
      <c r="G9" s="13" t="inlineStr">
        <is>
          <t>Wave 4</t>
        </is>
      </c>
      <c r="H9" s="13" t="inlineStr">
        <is>
          <t>spider</t>
        </is>
      </c>
      <c r="I9" s="13" t="inlineStr">
        <is>
          <t>Bespoke spider/fetcher - endpoint already known; extra work is pagination, auth or parsing</t>
        </is>
      </c>
      <c r="J9" s="13" t="inlineStr">
        <is>
          <t>Z_bespoke</t>
        </is>
      </c>
      <c r="K9" s="13" t="inlineStr">
        <is>
          <t>Next.js</t>
        </is>
      </c>
      <c r="L9" s="13" t="inlineStr">
        <is>
          <t>retailer_sku</t>
        </is>
      </c>
      <c r="M9" s="13" t="inlineStr">
        <is>
          <t>supermarket</t>
        </is>
      </c>
      <c r="N9" s="13" t="inlineStr">
        <is>
          <t>EUR</t>
        </is>
      </c>
      <c r="O9" s="13" t="n">
        <v>170</v>
      </c>
      <c r="P9" s="13" t="inlineStr">
        <is>
          <t>SSR category HTML</t>
        </is>
      </c>
      <c r="Q9" s="13" t="inlineStr">
        <is>
          <t>GET -&gt; 200, 291KB SSR (Next.js). Direct prices in HTML: 1,49€ / 2,99€ / 3,99€ / 180,00€.</t>
        </is>
      </c>
      <c r="R9" s="13" t="b">
        <v>1</v>
      </c>
      <c r="S9" s="13" t="inlineStr">
        <is>
          <t>12,000+ products; per shard, 5 price fields per SKU (current/unit-per-kg/30-day-low/reference-date/promo-end) -- capture all 5, not just current.</t>
        </is>
      </c>
      <c r="T9" s="13" t="inlineStr"/>
    </row>
    <row r="10">
      <c r="A10" s="13" t="inlineStr">
        <is>
          <t>lac</t>
        </is>
      </c>
      <c r="B10" s="13" t="inlineStr">
        <is>
          <t>paraguay</t>
        </is>
      </c>
      <c r="C10" s="13" t="inlineStr">
        <is>
          <t>Casa Rica</t>
        </is>
      </c>
      <c r="D10" s="13" t="inlineStr">
        <is>
          <t>https://www.casarica.com.py/</t>
        </is>
      </c>
      <c r="E10" s="13" t="inlineStr">
        <is>
          <t>TIER_1A</t>
        </is>
      </c>
      <c r="F10" s="13" t="inlineStr">
        <is>
          <t>medium</t>
        </is>
      </c>
      <c r="G10" s="13" t="inlineStr">
        <is>
          <t>Wave 4</t>
        </is>
      </c>
      <c r="H10" s="13" t="inlineStr">
        <is>
          <t>spider</t>
        </is>
      </c>
      <c r="I10" s="13" t="inlineStr">
        <is>
          <t>Bespoke spider/fetcher - endpoint already known; extra work is pagination, auth or parsing</t>
        </is>
      </c>
      <c r="J10" s="13" t="inlineStr">
        <is>
          <t>Z_bespoke</t>
        </is>
      </c>
      <c r="K10" s="13" t="inlineStr">
        <is>
          <t>Custom (shared by several PY grocery sites, same '/catalogo/*-c&lt;id&gt;' URL shape and identical API error string)</t>
        </is>
      </c>
      <c r="L10" s="13" t="inlineStr">
        <is>
          <t>retailer_sku</t>
        </is>
      </c>
      <c r="M10" s="13" t="inlineStr">
        <is>
          <t>supermarket</t>
        </is>
      </c>
      <c r="N10" s="13" t="inlineStr">
        <is>
          <t>PYG</t>
        </is>
      </c>
      <c r="O10" s="13" t="n">
        <v>165</v>
      </c>
      <c r="P10" s="13" t="inlineStr">
        <is>
          <t>/catalogo/&lt;category-slug&gt;-c&lt;id&gt; (custom PY grocery-platform vendor, SSR HTML, paginated)</t>
        </is>
      </c>
      <c r="Q10" s="13" t="inlineStr">
        <is>
          <t>GET https://www.casarica.com.py/catalogo/aceite-de-girasol-c2 -&gt; HTTP 200, 286701 bytes SSR HTML. Products+prices directly in markup: 'ACEITE CANUELAS GIRASOL 1.5LT' Gs. 29.000, 'ACEITE COCINERO GIRASOL PET 900ML' Gs. 21.000. Homepage lists 261 distinct /catalogo/&lt;slug&gt;-c&lt;id&gt; category links spanning vacuno (beef), verduleria-fruteria, verduras, semiblandos/semiduros (cheese), yogurt-entero/dietetico, salames, rotiseria, sal, te, yerba, vinos by country, sidras.</t>
        </is>
      </c>
      <c r="R10" s="13" t="b">
        <v>0</v>
      </c>
      <c r="S10" s="13" t="inlineStr">
        <is>
          <t>Full-line Asuncion-area supermarket chain incl. fresh meat/produce/deli.</t>
        </is>
      </c>
      <c r="T10" s="13" t="inlineStr"/>
    </row>
    <row r="11">
      <c r="A11" s="13" t="inlineStr">
        <is>
          <t>eca</t>
        </is>
      </c>
      <c r="B11" s="13" t="inlineStr">
        <is>
          <t>netherlands</t>
        </is>
      </c>
      <c r="C11" s="13" t="inlineStr">
        <is>
          <t>Jumbo</t>
        </is>
      </c>
      <c r="D11" s="13" t="inlineStr">
        <is>
          <t>https://www.jumbo.com/</t>
        </is>
      </c>
      <c r="E11" s="13" t="inlineStr">
        <is>
          <t>TIER_1A</t>
        </is>
      </c>
      <c r="F11" s="13" t="inlineStr">
        <is>
          <t>medium</t>
        </is>
      </c>
      <c r="G11" s="13" t="inlineStr">
        <is>
          <t>Wave 4</t>
        </is>
      </c>
      <c r="H11" s="13" t="inlineStr">
        <is>
          <t>spider</t>
        </is>
      </c>
      <c r="I11" s="13" t="inlineStr">
        <is>
          <t>Bespoke spider/fetcher - endpoint already known; extra work is pagination, auth or parsing</t>
        </is>
      </c>
      <c r="J11" s="13" t="inlineStr">
        <is>
          <t>Z_bespoke</t>
        </is>
      </c>
      <c r="K11" s="13" t="inlineStr">
        <is>
          <t>Vue</t>
        </is>
      </c>
      <c r="L11" s="13" t="inlineStr">
        <is>
          <t>retailer_sku</t>
        </is>
      </c>
      <c r="M11" s="13" t="inlineStr">
        <is>
          <t>supermarket</t>
        </is>
      </c>
      <c r="N11" s="13" t="inlineStr">
        <is>
          <t>EUR</t>
        </is>
      </c>
      <c r="O11" s="13" t="n">
        <v>160</v>
      </c>
      <c r="P11" s="13" t="inlineStr">
        <is>
          <t>SSR category HTML (/producten/)</t>
        </is>
      </c>
      <c r="Q11" s="13" t="inlineStr">
        <is>
          <t>GET /producten/ -&gt; 200, 1.32MB SSR (Vue). Product cards found (data-testid='product-card-0', data-product-id='765935ZK') with 'Prijs: € 3,25' in the price DOM.</t>
        </is>
      </c>
      <c r="R11" s="13" t="b">
        <v>1</v>
      </c>
      <c r="S11" s="13" t="inlineStr">
        <is>
          <t>Overturns shard's D-tier 'SUSPECT' prediction -- category page renders server-side with real product cards, no WAF. ~20-22k articles per shard; runs a lowest-price-guarantee mechanically tied to competitors.</t>
        </is>
      </c>
      <c r="T11" s="13" t="inlineStr"/>
    </row>
    <row r="12">
      <c r="A12" s="13" t="inlineStr">
        <is>
          <t>eca</t>
        </is>
      </c>
      <c r="B12" s="13" t="inlineStr">
        <is>
          <t>spain</t>
        </is>
      </c>
      <c r="C12" s="13" t="inlineStr">
        <is>
          <t>Precios del Super</t>
        </is>
      </c>
      <c r="D12" s="13" t="inlineStr">
        <is>
          <t>https://preciosdelsuper.es/</t>
        </is>
      </c>
      <c r="E12" s="13" t="inlineStr">
        <is>
          <t>TIER_1A</t>
        </is>
      </c>
      <c r="F12" s="13" t="inlineStr">
        <is>
          <t>medium</t>
        </is>
      </c>
      <c r="G12" s="13" t="inlineStr">
        <is>
          <t>Wave 4</t>
        </is>
      </c>
      <c r="H12" s="13" t="inlineStr">
        <is>
          <t>spider</t>
        </is>
      </c>
      <c r="I12" s="13" t="inlineStr">
        <is>
          <t>Bespoke spider/fetcher - endpoint already known; extra work is pagination, auth or parsing</t>
        </is>
      </c>
      <c r="J12" s="13" t="inlineStr">
        <is>
          <t>Z_bespoke</t>
        </is>
      </c>
      <c r="K12" s="13" t="inlineStr">
        <is>
          <t>Custom</t>
        </is>
      </c>
      <c r="L12" s="13" t="inlineStr">
        <is>
          <t>retailer_sku</t>
        </is>
      </c>
      <c r="M12" s="13" t="inlineStr">
        <is>
          <t>aggregator</t>
        </is>
      </c>
      <c r="N12" s="13" t="inlineStr">
        <is>
          <t>EUR</t>
        </is>
      </c>
      <c r="O12" s="13" t="n">
        <v>160</v>
      </c>
      <c r="P12" s="13" t="inlineStr">
        <is>
          <t>SSR listing HTML</t>
        </is>
      </c>
      <c r="Q12" s="13" t="inlineStr">
        <is>
          <t>GET -&gt; 200, 124KB SSR. Direct prices '2,99€' / '16,95€' in HTML.</t>
        </is>
      </c>
      <c r="R12" s="13" t="b">
        <v>1</v>
      </c>
      <c r="S12" s="13" t="inlineStr">
        <is>
          <t>120,000+ products across 8 supermarkets per shard, with per-product price history and a daily changes feed.</t>
        </is>
      </c>
      <c r="T12" s="13" t="inlineStr"/>
    </row>
    <row r="13">
      <c r="A13" s="13" t="inlineStr">
        <is>
          <t>eca</t>
        </is>
      </c>
      <c r="B13" s="13" t="inlineStr">
        <is>
          <t>georgia</t>
        </is>
      </c>
      <c r="C13" s="13" t="inlineStr">
        <is>
          <t>Wolt Market Georgia</t>
        </is>
      </c>
      <c r="D13" s="13" t="inlineStr">
        <is>
          <t>https://wolt.com/en/geo/tbilisi/category/grocery</t>
        </is>
      </c>
      <c r="E13" s="13" t="inlineStr">
        <is>
          <t>TIER_1B</t>
        </is>
      </c>
      <c r="F13" s="13" t="inlineStr">
        <is>
          <t>medium</t>
        </is>
      </c>
      <c r="G13" s="13" t="inlineStr">
        <is>
          <t>Wave 4</t>
        </is>
      </c>
      <c r="H13" s="13" t="inlineStr">
        <is>
          <t>spider</t>
        </is>
      </c>
      <c r="I13" s="13" t="inlineStr">
        <is>
          <t>Bespoke spider/fetcher - endpoint already known; extra work is pagination, auth or parsing</t>
        </is>
      </c>
      <c r="J13" s="13" t="inlineStr">
        <is>
          <t>Z_bespoke</t>
        </is>
      </c>
      <c r="K13" s="13" t="inlineStr">
        <is>
          <t>Custom (Wolt public API)</t>
        </is>
      </c>
      <c r="L13" s="13" t="inlineStr">
        <is>
          <t>retailer_sku</t>
        </is>
      </c>
      <c r="M13" s="13" t="inlineStr">
        <is>
          <t>aggregator</t>
        </is>
      </c>
      <c r="N13" s="13" t="inlineStr">
        <is>
          <t>GEL</t>
        </is>
      </c>
      <c r="O13" s="13" t="n">
        <v>150</v>
      </c>
      <c r="P13" s="13" t="inlineStr">
        <is>
          <t>restaurant-api.wolt.com/v1/pages/restaurants</t>
        </is>
      </c>
      <c r="Q13" s="13" t="inlineStr">
        <is>
          <t>GET https://restaurant-api.wolt.com/v1/pages/restaurants?lat=41.7151&amp;lon=44.8271 -&gt; HTTP 200, 2.77MB JSON, 1315 venues in the 'restaurants-delivering-venues' section for Tbilisi (includes named grocery chains: SPAR, IOLI, Rkoni, Europroduct, Smart, etc. per CSV). Public API, no auth required.</t>
        </is>
      </c>
      <c r="R13" s="13" t="b">
        <v>1</v>
      </c>
      <c r="S13" s="13" t="inlineStr">
        <is>
          <t>Directory endpoint confirmed; per-venue menu endpoint (restaurant-api.wolt.com/v3/venues/slug/&lt;slug&gt;/menu/data) not individually tested this round but is a documented Wolt pattern. Aggregator margin caveat applies vs shelf price.</t>
        </is>
      </c>
      <c r="T13" s="13" t="inlineStr"/>
    </row>
    <row r="14">
      <c r="A14" s="13" t="inlineStr">
        <is>
          <t>eca</t>
        </is>
      </c>
      <c r="B14" s="13" t="inlineStr">
        <is>
          <t>bosnia_and_herzegovina</t>
        </is>
      </c>
      <c r="C14" s="13" t="inlineStr">
        <is>
          <t>Ananas.ba</t>
        </is>
      </c>
      <c r="D14" s="13" t="inlineStr">
        <is>
          <t>https://ananas.ba/kategorije/hrana-i-pice</t>
        </is>
      </c>
      <c r="E14" s="13" t="inlineStr">
        <is>
          <t>TIER_1B</t>
        </is>
      </c>
      <c r="F14" s="13" t="inlineStr">
        <is>
          <t>medium</t>
        </is>
      </c>
      <c r="G14" s="13" t="inlineStr">
        <is>
          <t>Wave 4</t>
        </is>
      </c>
      <c r="H14" s="13" t="inlineStr">
        <is>
          <t>spider</t>
        </is>
      </c>
      <c r="I14" s="13" t="inlineStr">
        <is>
          <t>Bespoke spider/fetcher - endpoint already known; extra work is pagination, auth or parsing</t>
        </is>
      </c>
      <c r="J14" s="13" t="inlineStr">
        <is>
          <t>Z_bespoke</t>
        </is>
      </c>
      <c r="K14" s="13" t="inlineStr">
        <is>
          <t>Next.js</t>
        </is>
      </c>
      <c r="L14" s="13" t="inlineStr">
        <is>
          <t>retailer_sku</t>
        </is>
      </c>
      <c r="M14" s="13" t="inlineStr">
        <is>
          <t>marketplace</t>
        </is>
      </c>
      <c r="N14" s="13" t="inlineStr">
        <is>
          <t>BAM</t>
        </is>
      </c>
      <c r="O14" s="13" t="n">
        <v>140</v>
      </c>
      <c r="P14" s="13" t="inlineStr">
        <is>
          <t>__NEXT_DATA__ hydration payload</t>
        </is>
      </c>
      <c r="Q14" s="13" t="inlineStr">
        <is>
          <t>GET -&gt; 200, 555KB. __NEXT_DATA__ payload present (104KB). Product links e.g. /proizvod/mingos-coffee-robusta-strong-espresso-1-kg/4862220.</t>
        </is>
      </c>
      <c r="R14" s="13" t="b">
        <v>1</v>
      </c>
      <c r="S14" s="13" t="inlineStr">
        <is>
          <t>National marketplace w/ dedicated Hrana i pice + Supermarket category, multiple named sellers.</t>
        </is>
      </c>
      <c r="T14" s="13" t="inlineStr"/>
    </row>
    <row r="15">
      <c r="A15" s="13" t="inlineStr">
        <is>
          <t>sar</t>
        </is>
      </c>
      <c r="B15" s="13" t="inlineStr">
        <is>
          <t>bangladesh</t>
        </is>
      </c>
      <c r="C15" s="13" t="inlineStr">
        <is>
          <t>Shwapno (ACI)</t>
        </is>
      </c>
      <c r="D15" s="13" t="inlineStr">
        <is>
          <t>https://www.shwapno.com/</t>
        </is>
      </c>
      <c r="E15" s="13" t="inlineStr">
        <is>
          <t>TIER_1A</t>
        </is>
      </c>
      <c r="F15" s="13" t="inlineStr">
        <is>
          <t>medium</t>
        </is>
      </c>
      <c r="G15" s="13" t="inlineStr">
        <is>
          <t>Wave 4</t>
        </is>
      </c>
      <c r="H15" s="13" t="inlineStr">
        <is>
          <t>spider</t>
        </is>
      </c>
      <c r="I15" s="13" t="inlineStr">
        <is>
          <t>Bespoke spider/fetcher - endpoint already known; extra work is pagination, auth or parsing</t>
        </is>
      </c>
      <c r="J15" s="13" t="inlineStr">
        <is>
          <t>Z_bespoke</t>
        </is>
      </c>
      <c r="K15" s="13" t="inlineStr">
        <is>
          <t>Custom (React SSR PDP)</t>
        </is>
      </c>
      <c r="L15" s="13" t="inlineStr">
        <is>
          <t>retailer_sku</t>
        </is>
      </c>
      <c r="M15" s="13" t="inlineStr">
        <is>
          <t>supermarket</t>
        </is>
      </c>
      <c r="N15" s="13" t="inlineStr">
        <is>
          <t>BDT</t>
        </is>
      </c>
      <c r="O15" s="13" t="n">
        <v>140</v>
      </c>
      <c r="P15" s="13" t="inlineStr">
        <is>
          <t>/sitemap-products-{1..22}.xml -&gt; per-product PDP</t>
        </is>
      </c>
      <c r="Q15" s="13" t="inlineStr">
        <is>
          <t>PDP SSR confirmed: GET /7up-pet-bottle-2-25ltr- -&gt; HTTP 200, h1 '7Up 1.75Ltr. (Pet Bottle)', price BDT 140 visible in raw HTML. Category listing pages do NOT server-render product cards (client-fetched), but /sitemap.xml -&gt; sitemap-products.xml -&gt; 22 numbered sub-sitemaps (sitemap-products-1.xml through -22.xml), each with ~1,000+ root-slug product URLs (verified sitemap-products-1.xml: 84KB, includes 'emami-7-oils-in-one-pumpkin-plus-hair-oil-200ml', 'pantene-long-black-shampoo-340ml', etc). Full-catalog walk = sitemap crawl + per-URL PDP fetch.</t>
        </is>
      </c>
      <c r="R15" s="13" t="b">
        <v>0</v>
      </c>
      <c r="S15" s="13" t="inlineStr">
        <is>
          <t>Bangladesh's largest supermarket chain (ACI-owned). Confirmed grocery categories in the nav: Canned Fish/Fruits/Meat/Vegetables, Cheese, Coffee, multiple Milk grades, Tea, Frozen, Noodles, Biscuits. Effort is medium not low because it needs a sitemap-walk spider (22 sub-sitemaps x ~1,000 PDPs) rather than a single paginated API -- but no auth, no WAF, plain HTTP throughout. This is the best new Bangladesh source found.</t>
        </is>
      </c>
      <c r="T15" s="13" t="inlineStr"/>
    </row>
    <row r="16">
      <c r="A16" s="13" t="inlineStr">
        <is>
          <t>lac</t>
        </is>
      </c>
      <c r="B16" s="13" t="inlineStr">
        <is>
          <t>guyana</t>
        </is>
      </c>
      <c r="C16" s="13" t="inlineStr">
        <is>
          <t>Guystar</t>
        </is>
      </c>
      <c r="D16" s="13" t="inlineStr">
        <is>
          <t>https://guystar.gy/</t>
        </is>
      </c>
      <c r="E16" s="13" t="inlineStr">
        <is>
          <t>TIER_1A</t>
        </is>
      </c>
      <c r="F16" s="13" t="inlineStr">
        <is>
          <t>medium</t>
        </is>
      </c>
      <c r="G16" s="13" t="inlineStr">
        <is>
          <t>Wave 4</t>
        </is>
      </c>
      <c r="H16" s="13" t="inlineStr">
        <is>
          <t>spider</t>
        </is>
      </c>
      <c r="I16" s="13" t="inlineStr">
        <is>
          <t>Bespoke spider/fetcher - endpoint already known; extra work is pagination, auth or parsing</t>
        </is>
      </c>
      <c r="J16" s="13" t="inlineStr">
        <is>
          <t>Z_bespoke</t>
        </is>
      </c>
      <c r="K16" s="13" t="inlineStr">
        <is>
          <t>Zen Cart</t>
        </is>
      </c>
      <c r="L16" s="13" t="inlineStr">
        <is>
          <t>retailer_sku</t>
        </is>
      </c>
      <c r="M16" s="13" t="inlineStr">
        <is>
          <t>supermarket</t>
        </is>
      </c>
      <c r="N16" s="13" t="inlineStr">
        <is>
          <t>GYD</t>
        </is>
      </c>
      <c r="O16" s="13" t="n">
        <v>140</v>
      </c>
      <c r="P16" s="13" t="inlineStr">
        <is>
          <t>index.php?main_page=product_info&amp;products_id=N (Zen Cart cPath category walk)</t>
        </is>
      </c>
      <c r="Q16" s="13" t="inlineStr">
        <is>
          <t>curl through 3 levels of Zen Cart category tree (cPath=12 -&gt; 12_261 -&gt; 12_261_262) to reach product ids, then GET index.php?main_page=product_info&amp;products_id=6563 -&gt; 200, SSR price block: 'Cellophane Bean Thread Noodles Roland 250g' GY$995 (GY$9.95). Meta keywords confirm deep meat coverage (beef, prime, steaks, pork, ham, chicken, seafood, lamb, turkey, sausage).</t>
        </is>
      </c>
      <c r="R16" s="13" t="b">
        <v>1</v>
      </c>
      <c r="S16" s="13" t="inlineStr">
        <is>
          <t>Product listing needs a category-tree walk (cPath is 3 levels deep); no single flat listing endpoint. GY$ prices confirmed via schema-labelled productBasePrice block.</t>
        </is>
      </c>
      <c r="T16" s="13" t="inlineStr"/>
    </row>
    <row r="17">
      <c r="A17" s="13" t="inlineStr">
        <is>
          <t>ssa</t>
        </is>
      </c>
      <c r="B17" s="13" t="inlineStr">
        <is>
          <t>mozambique</t>
        </is>
      </c>
      <c r="C17" s="13" t="inlineStr">
        <is>
          <t>RECHEIO Cash &amp; Carry</t>
        </is>
      </c>
      <c r="D17" s="13" t="inlineStr">
        <is>
          <t>https://recheio.co.mz/</t>
        </is>
      </c>
      <c r="E17" s="13" t="inlineStr">
        <is>
          <t>TIER_1A</t>
        </is>
      </c>
      <c r="F17" s="13" t="inlineStr">
        <is>
          <t>medium</t>
        </is>
      </c>
      <c r="G17" s="13" t="inlineStr">
        <is>
          <t>Wave 4</t>
        </is>
      </c>
      <c r="H17" s="13" t="inlineStr">
        <is>
          <t>spider</t>
        </is>
      </c>
      <c r="I17" s="13" t="inlineStr">
        <is>
          <t>Bespoke spider/fetcher - endpoint already known; extra work is pagination, auth or parsing</t>
        </is>
      </c>
      <c r="J17" s="13" t="inlineStr">
        <is>
          <t>Z_bespoke</t>
        </is>
      </c>
      <c r="K17" s="13" t="inlineStr">
        <is>
          <t>Custom (ASP.NET-style)</t>
        </is>
      </c>
      <c r="L17" s="13" t="inlineStr">
        <is>
          <t>retailer_sku</t>
        </is>
      </c>
      <c r="M17" s="13" t="inlineStr">
        <is>
          <t>supermarket</t>
        </is>
      </c>
      <c r="N17" s="13" t="inlineStr">
        <is>
          <t>MZN</t>
        </is>
      </c>
      <c r="O17" s="13" t="n">
        <v>120</v>
      </c>
      <c r="P17" s="13" t="inlineStr">
        <is>
          <t>unresolved exact product endpoint -- category page confirmed live</t>
        </is>
      </c>
      <c r="Q17" s="13" t="inlineStr">
        <is>
          <t>GET / -&gt; 200, 141KB. Attempted category page GET /loja/mercearia -&gt; 200, 40KB, real title 'Mercearia ao Melhor Preco em Mocambique' confirming the category exists live, but no price-class markup surfaced in that page's raw HTML this pass (likely paginated/AJAX-loaded product grid).</t>
        </is>
      </c>
      <c r="R17" s="13" t="b">
        <v>1</v>
      </c>
      <c r="S17" s="13" t="inlineStr">
        <is>
          <t>1,456 products in mercearia alone + full aisle taxonomy (lacticinios, carne e peixe, bebidas, vegetais, loja asiatica) per prior research -- best Mozambique source, but I could not independently pull a live price this pass so the estimate is held below the presumed max.</t>
        </is>
      </c>
      <c r="T17" s="13" t="inlineStr"/>
    </row>
    <row r="18">
      <c r="A18" s="13" t="inlineStr">
        <is>
          <t>eap</t>
        </is>
      </c>
      <c r="B18" s="13" t="inlineStr">
        <is>
          <t>japan</t>
        </is>
      </c>
      <c r="C18" s="13" t="inlineStr">
        <is>
          <t>opengov.jp Retail Price Survey (re-publication of MIC Statistics Bureau retail price survey)</t>
        </is>
      </c>
      <c r="D18" s="13" t="inlineStr">
        <is>
          <t>https://opengov.jp/en/prices/retail-prices/</t>
        </is>
      </c>
      <c r="E18" s="13" t="inlineStr">
        <is>
          <t>TIER_1A</t>
        </is>
      </c>
      <c r="F18" s="13" t="inlineStr">
        <is>
          <t>medium</t>
        </is>
      </c>
      <c r="G18" s="13" t="inlineStr">
        <is>
          <t>Wave 4</t>
        </is>
      </c>
      <c r="H18" s="13" t="inlineStr">
        <is>
          <t>fetcher</t>
        </is>
      </c>
      <c r="I18" s="13" t="inlineStr">
        <is>
          <t>Bespoke spider/fetcher - endpoint already known; extra work is pagination, auth or parsing</t>
        </is>
      </c>
      <c r="J18" s="13" t="inlineStr">
        <is>
          <t>Z_bespoke</t>
        </is>
      </c>
      <c r="K18" s="13" t="inlineStr">
        <is>
          <t>Custom</t>
        </is>
      </c>
      <c r="L18" s="13" t="inlineStr">
        <is>
          <t>official_avg</t>
        </is>
      </c>
      <c r="M18" s="13" t="inlineStr"/>
      <c r="N18" s="13" t="inlineStr">
        <is>
          <t>JPY</t>
        </is>
      </c>
      <c r="O18" s="13" t="n">
        <v>115</v>
      </c>
      <c r="P18" s="13" t="inlineStr">
        <is>
          <t>/en/prices/retail-prices/&lt;code&gt;/  (per-item static HTML page; codes prefixed 01xx = food, 02xx = alcohol)</t>
        </is>
      </c>
      <c r="Q18" s="13" t="inlineStr">
        <is>
          <t>GET /en/prices/retail-prices/ -&gt; 200, 366KB HTML, 541 item-code links with English names, e.g. '01001 | Rice A', '01101 | Tuna', '01414 | Daikon radish', '01131 | Short-neck clam'. GET /en/prices/retail-prices/01001/ -&gt; 200, title 'Rice A Retail Prices', year table: 2026 Jan national-average price JPY 5,317 (+27.0% YoY). Plain curl with a browser UA, no JS, no auth.</t>
        </is>
      </c>
      <c r="R18" s="13" t="b">
        <v>0</v>
      </c>
      <c r="S18" s="13" t="inlineStr">
        <is>
          <t>541 total item codes span the whole CPI basket by prefix: 01=207 items (food), 02=32 (alcohol), 03-09=302 (rent/clothing/health/education/personal care, out of scope). The 01+02 subset reaches deep, specific division-01 leaves current Japan sources miss entirely -- named fish species (tuna, horse mackerel, sardine, salmon, mackerel, sea bream, yellowtail, squid, octopus, shrimp, clam, oyster, scallop -&gt; COICOP 01.1.3.x), named vegetables (cabbage, lettuce, daikon, broccoli, spinach, onion, ginger -&gt; 01.1.7.x), noodles/rice/bread/flour, dairy, and Sake/Shochu/Chuhai for div-02. Japan's existing onboarded set (rakuten, yahoo_shopping, docomo, athome_jp, homes_jp, hotpepper_jp) is mostly non-grocery (real estate, mobile plans, restaurant bookings) -- this is likely Japan's primary deep-F&amp;B channel, not a supplement. CAVEAT not fully resolved this session: the item page shown is a Year+Jan-value summary table; unclear whether opengov.jp exposes the full monthly series the underlying survey actually produces, or only this annual snapshot -- verify cadence before onboarding. 541 pages to walk (one HTTP call per item) makes this medium, not low, effort.</t>
        </is>
      </c>
      <c r="T18" s="13" t="inlineStr"/>
    </row>
    <row r="19">
      <c r="A19" s="13" t="inlineStr">
        <is>
          <t>eca</t>
        </is>
      </c>
      <c r="B19" s="13" t="inlineStr">
        <is>
          <t>azerbaijan</t>
        </is>
      </c>
      <c r="C19" s="13" t="inlineStr">
        <is>
          <t>Wolt Baku grocery (aggregator)</t>
        </is>
      </c>
      <c r="D19" s="13" t="inlineStr">
        <is>
          <t>https://wolt.com/en/aze/baku/category/grocery</t>
        </is>
      </c>
      <c r="E19" s="13" t="inlineStr">
        <is>
          <t>TIER_1B</t>
        </is>
      </c>
      <c r="F19" s="13" t="inlineStr">
        <is>
          <t>medium</t>
        </is>
      </c>
      <c r="G19" s="13" t="inlineStr">
        <is>
          <t>Wave 4</t>
        </is>
      </c>
      <c r="H19" s="13" t="inlineStr">
        <is>
          <t>spider</t>
        </is>
      </c>
      <c r="I19" s="13" t="inlineStr">
        <is>
          <t>Bespoke spider/fetcher - endpoint already known; extra work is pagination, auth or parsing</t>
        </is>
      </c>
      <c r="J19" s="13" t="inlineStr">
        <is>
          <t>Z_bespoke</t>
        </is>
      </c>
      <c r="K19" s="13" t="inlineStr">
        <is>
          <t>Custom</t>
        </is>
      </c>
      <c r="L19" s="13" t="inlineStr">
        <is>
          <t>retailer_sku</t>
        </is>
      </c>
      <c r="M19" s="13" t="inlineStr">
        <is>
          <t>aggregator</t>
        </is>
      </c>
      <c r="N19" s="13" t="inlineStr">
        <is>
          <t>AZN</t>
        </is>
      </c>
      <c r="O19" s="13" t="n">
        <v>100</v>
      </c>
      <c r="P19" s="13" t="inlineStr">
        <is>
          <t>page-embedded JSON</t>
        </is>
      </c>
      <c r="Q19" s="13" t="inlineStr">
        <is>
          <t>GET -&gt; 200, 2MB. Embedded JSON: store list w/ prices e.g. 'price':935 (9.35 AZN); store names include 'SPAR Ehmed Recebli','Bravo Supermarket Winter Park','Araz Statistics 2 Supermarket','Tamstore Express Fountain sq.','Oba Market Ahmadli'.</t>
        </is>
      </c>
      <c r="R19" s="13" t="b">
        <v>1</v>
      </c>
      <c r="S19" s="13" t="inlineStr">
        <is>
          <t>Marketplace directory of ~7 Baku chains, several labelled 'same prices as in store'. Treat as directory first: consolation-prize catalog scrape only if per-store storefronts fail.</t>
        </is>
      </c>
      <c r="T19" s="13" t="inlineStr"/>
    </row>
    <row r="20">
      <c r="A20" s="13" t="inlineStr">
        <is>
          <t>lac</t>
        </is>
      </c>
      <c r="B20" s="13" t="inlineStr">
        <is>
          <t>st_vincent_and_the_grenadines</t>
        </is>
      </c>
      <c r="C20" s="13" t="inlineStr">
        <is>
          <t>C.K. Greaves &amp; Company</t>
        </is>
      </c>
      <c r="D20" s="13" t="inlineStr">
        <is>
          <t>https://www.ckgreaves.com/</t>
        </is>
      </c>
      <c r="E20" s="13" t="inlineStr">
        <is>
          <t>TIER_1A</t>
        </is>
      </c>
      <c r="F20" s="13" t="inlineStr">
        <is>
          <t>medium</t>
        </is>
      </c>
      <c r="G20" s="13" t="inlineStr">
        <is>
          <t>Wave 4</t>
        </is>
      </c>
      <c r="H20" s="13" t="inlineStr">
        <is>
          <t>spider</t>
        </is>
      </c>
      <c r="I20" s="13" t="inlineStr">
        <is>
          <t>Bespoke spider/fetcher - endpoint already known; extra work is pagination, auth or parsing</t>
        </is>
      </c>
      <c r="J20" s="13" t="inlineStr">
        <is>
          <t>Z_bespoke</t>
        </is>
      </c>
      <c r="K20" s="13" t="inlineStr">
        <is>
          <t>WordPress + custom shop module</t>
        </is>
      </c>
      <c r="L20" s="13" t="inlineStr">
        <is>
          <t>retailer_sku</t>
        </is>
      </c>
      <c r="M20" s="13" t="inlineStr">
        <is>
          <t>supermarket</t>
        </is>
      </c>
      <c r="N20" s="13" t="inlineStr">
        <is>
          <t>XCD</t>
        </is>
      </c>
      <c r="O20" s="13" t="n">
        <v>100</v>
      </c>
      <c r="P20" s="13" t="inlineStr">
        <is>
          <t>/shop/browse/product/{id}_{slug}/ (SSR PDP)</t>
        </is>
      </c>
      <c r="Q20" s="13" t="inlineStr">
        <is>
          <t>GET /shop/browse/product/19751_b-bird-apple-juice-340ml/ -&gt; HTTP 200, 102KB HTML with real embedded price markup ('&lt;div class="price-now..."&gt;&lt;span class="sym"&gt;$&lt;/span&gt;&lt;strong class="dol"&gt;4&lt;/strong&gt;&lt;em class="dec"&gt;35&lt;/em&gt;&lt;/div&gt;' = $4.35) for product 'B Bird Apple Juice 340ml'. Product catalog browsable via /departments/ and /shop/browse/product/ paths (WordPress-hosted custom storefront, not WooCommerce core — /wp-json/wc/store/v1/products returned HTTP 404).</t>
        </is>
      </c>
      <c r="R20" s="13" t="b">
        <v>0</v>
      </c>
      <c r="S20" s="13" t="inlineStr">
        <is>
          <t>Currency shown only as generic '$' symbol; XCD assumed from SVG's official currency per country-currency conventions (not confirmed by an explicit currency code in the page). Catalog skews packaged goods (juice, tea, cleaning, pet products) in the pages sampled — fresh produce/meat depth unconfirmed.</t>
        </is>
      </c>
      <c r="T20" s="13" t="inlineStr"/>
    </row>
    <row r="21">
      <c r="A21" s="13" t="inlineStr">
        <is>
          <t>sar</t>
        </is>
      </c>
      <c r="B21" s="13" t="inlineStr">
        <is>
          <t>nepal</t>
        </is>
      </c>
      <c r="C21" s="13" t="inlineStr">
        <is>
          <t>MeroKirana</t>
        </is>
      </c>
      <c r="D21" s="13" t="inlineStr">
        <is>
          <t>https://merokirana.com/</t>
        </is>
      </c>
      <c r="E21" s="13" t="inlineStr">
        <is>
          <t>TIER_1B</t>
        </is>
      </c>
      <c r="F21" s="13" t="inlineStr">
        <is>
          <t>medium</t>
        </is>
      </c>
      <c r="G21" s="13" t="inlineStr">
        <is>
          <t>Wave 4</t>
        </is>
      </c>
      <c r="H21" s="13" t="inlineStr">
        <is>
          <t>spider</t>
        </is>
      </c>
      <c r="I21" s="13" t="inlineStr">
        <is>
          <t>Bespoke spider/fetcher - endpoint already known; extra work is pagination, auth or parsing</t>
        </is>
      </c>
      <c r="J21" s="13" t="inlineStr">
        <is>
          <t>Z_bespoke</t>
        </is>
      </c>
      <c r="K21" s="13" t="inlineStr">
        <is>
          <t>Custom (Semantro)</t>
        </is>
      </c>
      <c r="L21" s="13" t="inlineStr">
        <is>
          <t>retailer_sku</t>
        </is>
      </c>
      <c r="M21" s="13" t="inlineStr">
        <is>
          <t>supermarket</t>
        </is>
      </c>
      <c r="N21" s="13" t="inlineStr">
        <is>
          <t>NPR</t>
        </is>
      </c>
      <c r="O21" s="13" t="n">
        <v>95</v>
      </c>
      <c r="P21" s="13" t="inlineStr">
        <is>
          <t>POST /semantro-web-interface/query</t>
        </is>
      </c>
      <c r="Q21" s="13" t="inlineStr">
        <is>
          <t>React SPA over a proprietary 'Semantro' backend at POST https://merokirana.com/semantro-web-interface/query (multipart form field 'data' = JSON action descriptor, plain curl, no auth/cookies). actionName=listBaseCategories -&gt; 10 categories incl. Veg &amp; Fruits, Eggs &amp; Meat, Bakery &amp; Dairy. actionName=listLatestProducts (pageLimit start/end) -&gt; product id list. actionName=getProductData per product -&gt; price+currency. Verified end-to-end: 'Kejjan's Snail Mucin &amp; Rice Water Face Toner, 150ml' -&gt; priceCurrency 'NRs.', price 555.0.</t>
        </is>
      </c>
      <c r="R21" s="13" t="b">
        <v>1</v>
      </c>
      <c r="S21" s="13" t="inlineStr">
        <is>
          <t>Only category-scoped listing action name unconfirmed in the time budget (listLatestProducts has no categoryId param seen); listBaseCategories + getProductData are proven and category id is already known ('Veg &amp; Fruits' id=35ae95a75bda48a3-ac60b32fab01d5db) so a category-listing action almost certainly exists next to listLatestProducts -- probe further before scaffolding. DDC (state dairy) lines per shard notes.</t>
        </is>
      </c>
      <c r="T21" s="13" t="inlineStr"/>
    </row>
    <row r="22">
      <c r="A22" s="13" t="inlineStr">
        <is>
          <t>lac</t>
        </is>
      </c>
      <c r="B22" s="13" t="inlineStr">
        <is>
          <t>haiti</t>
        </is>
      </c>
      <c r="C22" s="13" t="inlineStr">
        <is>
          <t>KITT National</t>
        </is>
      </c>
      <c r="D22" s="13" t="inlineStr">
        <is>
          <t>https://kittnational.com/</t>
        </is>
      </c>
      <c r="E22" s="13" t="inlineStr">
        <is>
          <t>TIER_1B</t>
        </is>
      </c>
      <c r="F22" s="13" t="inlineStr">
        <is>
          <t>medium</t>
        </is>
      </c>
      <c r="G22" s="13" t="inlineStr">
        <is>
          <t>Wave 4</t>
        </is>
      </c>
      <c r="H22" s="13" t="inlineStr">
        <is>
          <t>spider</t>
        </is>
      </c>
      <c r="I22" s="13" t="inlineStr">
        <is>
          <t>Bespoke spider/fetcher - endpoint already known; extra work is pagination, auth or parsing</t>
        </is>
      </c>
      <c r="J22" s="13" t="inlineStr">
        <is>
          <t>Z_bespoke</t>
        </is>
      </c>
      <c r="K22" s="13" t="inlineStr">
        <is>
          <t>Supabase/React SPA</t>
        </is>
      </c>
      <c r="L22" s="13" t="inlineStr">
        <is>
          <t>retailer_sku</t>
        </is>
      </c>
      <c r="M22" s="13" t="inlineStr">
        <is>
          <t>marketplace</t>
        </is>
      </c>
      <c r="N22" s="13" t="inlineStr">
        <is>
          <t>HTG</t>
        </is>
      </c>
      <c r="O22" s="13" t="n">
        <v>40</v>
      </c>
      <c r="P22" s="13" t="inlineStr">
        <is>
          <t>https://2kug72le92fjtj5suphu.helloreaddy.com/rest/v1/product_items (Supabase REST, publishable key required)</t>
        </is>
      </c>
      <c r="Q22" s="13" t="inlineStr">
        <is>
          <t>Playwright network trace found a Supabase PostgREST backend (helloreaddy.com) with a client-side publishable key (sb_publishable_...) captured from page requests. GET .../rest/v1/product_items?select=id,name,price,category_id&amp;status=eq.active with apikey+Authorization headers -&gt; 200. Sample: 'Nutella — Bokal Pate Chokola 26.5 oz' HTG 1427.15. Prefer:count=exact shows 1,341 total active products across categories including Manje (Food), Bwason (Beverages), Desè (Dessert), Maket (Market/general).</t>
        </is>
      </c>
      <c r="R22" s="13" t="b">
        <v>1</v>
      </c>
      <c r="S22" s="13" t="inlineStr">
        <is>
          <t>General last-mile delivery/marketplace platform (electronics, auto, clothing, tools) with a food/beverage/dessert vertical, not a dedicated grocery store; F&amp;B share of the 1,341-item catalog is a minority. Needed a Playwright pass to capture the anon API key before curl worked.</t>
        </is>
      </c>
      <c r="T22" s="13" t="inlineStr"/>
    </row>
    <row r="23">
      <c r="A23" s="13" t="inlineStr">
        <is>
          <t>lac</t>
        </is>
      </c>
      <c r="B23" s="13" t="inlineStr">
        <is>
          <t>trinidad_and_tobago</t>
        </is>
      </c>
      <c r="C23" s="13" t="inlineStr">
        <is>
          <t>TriniCart</t>
        </is>
      </c>
      <c r="D23" s="13" t="inlineStr">
        <is>
          <t>https://trinicart.pro/</t>
        </is>
      </c>
      <c r="E23" s="13" t="inlineStr">
        <is>
          <t>TIER_1B</t>
        </is>
      </c>
      <c r="F23" s="13" t="inlineStr">
        <is>
          <t>medium</t>
        </is>
      </c>
      <c r="G23" s="13" t="inlineStr">
        <is>
          <t>Wave 4</t>
        </is>
      </c>
      <c r="H23" s="13" t="inlineStr">
        <is>
          <t>spider</t>
        </is>
      </c>
      <c r="I23" s="13" t="inlineStr">
        <is>
          <t>Bespoke spider/fetcher - endpoint already known; extra work is pagination, auth or parsing</t>
        </is>
      </c>
      <c r="J23" s="13" t="inlineStr">
        <is>
          <t>Z_bespoke</t>
        </is>
      </c>
      <c r="K23" s="13" t="inlineStr">
        <is>
          <t>Supabase/React SPA</t>
        </is>
      </c>
      <c r="L23" s="13" t="inlineStr">
        <is>
          <t>retailer_sku</t>
        </is>
      </c>
      <c r="M23" s="13" t="inlineStr">
        <is>
          <t>supermarket</t>
        </is>
      </c>
      <c r="N23" s="13" t="inlineStr">
        <is>
          <t>TTD</t>
        </is>
      </c>
      <c r="O23" s="13" t="n">
        <v>40</v>
      </c>
      <c r="P23" s="13" t="inlineStr">
        <is>
          <t>https://lmrfzrshpwqxaeorfecv.supabase.co/rest/v1/admin_content?select=value&amp;key=eq.maraval-products-v1 (Supabase REST, anon key required)</t>
        </is>
      </c>
      <c r="Q23" s="13" t="inlineStr">
        <is>
          <t>curl on root -&gt; 1.9KB Vite/React SPA shell. Playwright network trace found a Supabase backend (lmrfzrshpwqxaeorfecv.supabase.co) with an anon JWT key captured from page requests. GET .../rest/v1/admin_content?select=value&amp;key=eq.maraval-products-v1 with apikey+Authorization -&gt; 200, 116KB JSON containing a 'custom' product array (173 items). Sample: 'Chief All Purpose Seasoning 40g' TTD 12.00.</t>
        </is>
      </c>
      <c r="R23" s="13" t="b">
        <v>1</v>
      </c>
      <c r="S23" s="13" t="inlineStr">
        <is>
          <t>Smaller catalog per CSV notes (173 items). Product data is embedded as a JSON blob inside a generic 'admin_content' key/value row, not a normal paginated products table — parse accordingly. Needed a Playwright pass to capture the anon key before curl worked.</t>
        </is>
      </c>
      <c r="T23" s="13" t="inlineStr"/>
    </row>
    <row r="24">
      <c r="A24" s="13" t="inlineStr">
        <is>
          <t>sar</t>
        </is>
      </c>
      <c r="B24" s="13" t="inlineStr">
        <is>
          <t>nepal</t>
        </is>
      </c>
      <c r="C24" s="13" t="inlineStr">
        <is>
          <t>Daraz Nepal (catalog search AJAX)</t>
        </is>
      </c>
      <c r="D24" s="13" t="inlineStr">
        <is>
          <t>https://www.daraz.com.np/</t>
        </is>
      </c>
      <c r="E24" s="13" t="inlineStr">
        <is>
          <t>TIER_1B</t>
        </is>
      </c>
      <c r="F24" s="13" t="inlineStr">
        <is>
          <t>medium</t>
        </is>
      </c>
      <c r="G24" s="13" t="inlineStr">
        <is>
          <t>Wave 4</t>
        </is>
      </c>
      <c r="H24" s="13" t="inlineStr">
        <is>
          <t>spider</t>
        </is>
      </c>
      <c r="I24" s="13" t="inlineStr">
        <is>
          <t>Bespoke spider/fetcher - endpoint already known; extra work is pagination, auth or parsing</t>
        </is>
      </c>
      <c r="J24" s="13" t="inlineStr">
        <is>
          <t>Z_bespoke</t>
        </is>
      </c>
      <c r="K24" s="13" t="inlineStr">
        <is>
          <t>Custom/Enterprise (Lazada-derived, mtop stack for other endpoints but the catalog/search ajax itself is unsigned)</t>
        </is>
      </c>
      <c r="L24" s="13" t="inlineStr">
        <is>
          <t>retailer_sku</t>
        </is>
      </c>
      <c r="M24" s="13" t="inlineStr">
        <is>
          <t>marketplace</t>
        </is>
      </c>
      <c r="N24" s="13" t="inlineStr">
        <is>
          <t>NPR</t>
        </is>
      </c>
      <c r="O24" s="13" t="n">
        <v>20</v>
      </c>
      <c r="P24" s="13" t="inlineStr">
        <is>
          <t>GET /catalog/?ajax=true&amp;isFirstRequest=true&amp;page=N&amp;q=&lt;keyword&gt;</t>
        </is>
      </c>
      <c r="Q24" s="13" t="inlineStr">
        <is>
          <t>GET https://www.daraz.com.np/catalog/?ajax=true&amp;isFirstRequest=true&amp;page=1&amp;q=rice -&gt; 200, 131488 bytes JSON, plain curl with browser UA, no auth/session needed. mods.listItems = 40 products/page with name, price, originalPrice, discount, sellerName, categories. Sample: 'Hilife Pulao Basmati Rice 1 Kg' price=264 originalPrice=270 discount='2% Off'.</t>
        </is>
      </c>
      <c r="R24" s="13" t="b">
        <v>1</v>
      </c>
      <c r="S24" s="13" t="inlineStr">
        <is>
          <t>Reaching leaf breadth requires walking a keyword list (one query per leaf/commodity) rather than a category crawl -- higher scaffolding effort than a catalog endpoint. Confirms shard's was_price/discount capture need for flash-sale distortion. Third-party seller names carried per item (dMart pantry vertical mixed with generic marketplace sellers).</t>
        </is>
      </c>
      <c r="T24" s="13" t="inlineStr"/>
    </row>
    <row r="25">
      <c r="A25" s="13" t="inlineStr">
        <is>
          <t>lac</t>
        </is>
      </c>
      <c r="B25" s="13" t="inlineStr">
        <is>
          <t>peru</t>
        </is>
      </c>
      <c r="C25" s="13" t="inlineStr">
        <is>
          <t>Inkafarma</t>
        </is>
      </c>
      <c r="D25" s="13" t="inlineStr">
        <is>
          <t>https://inkafarma.pe/</t>
        </is>
      </c>
      <c r="E25" s="13" t="inlineStr">
        <is>
          <t>TIER_1B</t>
        </is>
      </c>
      <c r="F25" s="13" t="inlineStr">
        <is>
          <t>medium</t>
        </is>
      </c>
      <c r="G25" s="13" t="inlineStr">
        <is>
          <t>Wave 4</t>
        </is>
      </c>
      <c r="H25" s="13" t="inlineStr">
        <is>
          <t>spider</t>
        </is>
      </c>
      <c r="I25" s="13" t="inlineStr">
        <is>
          <t>Bespoke spider/fetcher - endpoint already known; extra work is pagination, auth or parsing</t>
        </is>
      </c>
      <c r="J25" s="13" t="inlineStr">
        <is>
          <t>Z_bespoke</t>
        </is>
      </c>
      <c r="K25" s="13" t="inlineStr">
        <is>
          <t>Custom (AWS API Gateway)</t>
        </is>
      </c>
      <c r="L25" s="13" t="inlineStr">
        <is>
          <t>retailer_sku</t>
        </is>
      </c>
      <c r="M25" s="13" t="inlineStr">
        <is>
          <t>pharmacy</t>
        </is>
      </c>
      <c r="N25" s="13" t="inlineStr">
        <is>
          <t>PEN</t>
        </is>
      </c>
      <c r="O25" s="13" t="n">
        <v>20</v>
      </c>
      <c r="P25" s="13" t="inlineStr">
        <is>
          <t>https://5doa19p9r7.execute-api.us-east-1.amazonaws.com/MMPROD/products/{skus}?companyCode=IKF&amp;saleChannel=WEB&amp;saleChannelType=DIGITAL</t>
        </is>
      </c>
      <c r="Q25" s="13" t="inlineStr">
        <is>
          <t>The CSV-listed VTEX endpoint (/api/catalog_system/pub/products/search) returns the SPA shell (text/html), not JSON — not actually VTEX. Playwright network trace found the real backend: AWS API Gateway https://5doa19p9r7.execute-api.us-east-1.amazonaws.com/MMPROD/products/{comma-sep-skus}?companyCode=IKF&amp;saleChannel=WEB&amp;saleChannelType=DIGITAL. Replayed with plain curl (no auth needed) -&gt; 200, 21.3KB JSON for 2 SKUs. Sample: 'Gel Limpiador Bioderma Sébium Moussant Piel Mixta a Grasa' PEN 159.90.</t>
        </is>
      </c>
      <c r="R25" s="13" t="b">
        <v>1</v>
      </c>
      <c r="S25" s="13" t="inlineStr">
        <is>
          <t>CSV wrongly listed this as VTEX. Endpoint is keyed by SKU code, not paginated by category — a search/listing endpoint to enumerate SKUs was not found in this probe pass; would need one more Playwright capture on a search query before scaffolding a full-catalog walker. Pharmacy chain, COICOP 6 focus.</t>
        </is>
      </c>
      <c r="T25" s="13" t="inlineStr"/>
    </row>
    <row r="26">
      <c r="A26" s="13" t="inlineStr">
        <is>
          <t>eap</t>
        </is>
      </c>
      <c r="B26" s="13" t="inlineStr">
        <is>
          <t>japan</t>
        </is>
      </c>
      <c r="C26" s="13" t="inlineStr">
        <is>
          <t>opengov.jp Wholesale Produce Market Prices (MAFF daily wholesale data, 30 central markets)</t>
        </is>
      </c>
      <c r="D26" s="13" t="inlineStr">
        <is>
          <t>https://opengov.jp/en/prices/vegetable-market/</t>
        </is>
      </c>
      <c r="E26" s="13" t="inlineStr">
        <is>
          <t>TIER_1A</t>
        </is>
      </c>
      <c r="F26" s="13" t="inlineStr">
        <is>
          <t>medium</t>
        </is>
      </c>
      <c r="G26" s="13" t="inlineStr">
        <is>
          <t>Wave 4</t>
        </is>
      </c>
      <c r="H26" s="13" t="inlineStr">
        <is>
          <t>fetcher</t>
        </is>
      </c>
      <c r="I26" s="13" t="inlineStr">
        <is>
          <t>Bespoke spider/fetcher - endpoint already known; extra work is pagination, auth or parsing</t>
        </is>
      </c>
      <c r="J26" s="13" t="inlineStr">
        <is>
          <t>Z_bespoke</t>
        </is>
      </c>
      <c r="K26" s="13" t="inlineStr">
        <is>
          <t>Custom</t>
        </is>
      </c>
      <c r="L26" s="13" t="inlineStr">
        <is>
          <t>official_avg</t>
        </is>
      </c>
      <c r="M26" s="13" t="inlineStr">
        <is>
          <t>wholesale</t>
        </is>
      </c>
      <c r="N26" s="13" t="inlineStr">
        <is>
          <t>JPY</t>
        </is>
      </c>
      <c r="O26" s="13" t="n">
        <v>15</v>
      </c>
      <c r="P26" s="13" t="inlineStr">
        <is>
          <t>/en/prices/vegetable-market/&lt;commodity_code&gt;/</t>
        </is>
      </c>
      <c r="Q26" s="13" t="inlineStr">
        <is>
          <t>GET /en/prices/vegetable-market/ -&gt; 200, 361KB HTML, 71 commodity-code links (e.g. 30100). GET /en/prices/vegetable-market/30100/ -&gt; 200, title 'Daikon radish (だいこん) Wholesale Price Trends -- Grade-Specific Market Data', daily rows across 5 regional markets, e.g. '2026-04-02 Morioka (盛岡) JPY124 29.4t Slightly rising'. Plain curl, no auth.</t>
        </is>
      </c>
      <c r="R26" s="13" t="b">
        <v>0</v>
      </c>
      <c r="S26" s="13" t="inlineStr">
        <is>
          <t>MAFF daily wholesale high/low + trading volume across 30 central markets, 71 fresh vegetable/fruit commodity codes, 16 years of history per site claim. Substantially overlaps the vegetable/fruit items already in the retail-prices source above (same crops, finer market-level granularity) -- scored as a smaller incremental add rather than fully additive, mainly for cultivar-level depth (e.g. distinct radish/cabbage varieties) the retail survey collapses to one line.</t>
        </is>
      </c>
      <c r="T26" s="13" t="inlineStr"/>
    </row>
    <row r="27">
      <c r="A27" s="13" t="inlineStr">
        <is>
          <t>sar</t>
        </is>
      </c>
      <c r="B27" s="13" t="inlineStr">
        <is>
          <t>nepal</t>
        </is>
      </c>
      <c r="C27" s="13" t="inlineStr">
        <is>
          <t>Thulo.com supermarket panel</t>
        </is>
      </c>
      <c r="D27" s="13" t="inlineStr">
        <is>
          <t>https://thulo.com.np/supermarket</t>
        </is>
      </c>
      <c r="E27" s="13" t="inlineStr">
        <is>
          <t>TIER_1B</t>
        </is>
      </c>
      <c r="F27" s="13" t="inlineStr">
        <is>
          <t>medium</t>
        </is>
      </c>
      <c r="G27" s="13" t="inlineStr">
        <is>
          <t>Wave 4</t>
        </is>
      </c>
      <c r="H27" s="13" t="inlineStr">
        <is>
          <t>spider</t>
        </is>
      </c>
      <c r="I27" s="13" t="inlineStr">
        <is>
          <t>Bespoke spider/fetcher - endpoint already known; extra work is pagination, auth or parsing</t>
        </is>
      </c>
      <c r="J27" s="13" t="inlineStr">
        <is>
          <t>Z_bespoke</t>
        </is>
      </c>
      <c r="K27" s="13" t="inlineStr">
        <is>
          <t>Custom</t>
        </is>
      </c>
      <c r="L27" s="13" t="inlineStr">
        <is>
          <t>retailer_sku</t>
        </is>
      </c>
      <c r="M27" s="13" t="inlineStr">
        <is>
          <t>supermarket</t>
        </is>
      </c>
      <c r="N27" s="13" t="inlineStr">
        <is>
          <t>NPR</t>
        </is>
      </c>
      <c r="O27" s="13" t="n">
        <v>12</v>
      </c>
      <c r="P27" s="13" t="inlineStr">
        <is>
          <t>GET /thulo-product/shop?category=N&amp;maxp=N</t>
        </is>
      </c>
      <c r="Q27" s="13" t="inlineStr">
        <is>
          <t>GET https://thulo.com.np/thulo-product/shop?category=394&amp;maxp=35670 -&gt; 200, 63201 bytes JSON with a single 'grid' key containing an HTML fragment (plain curl, no auth). Product titles extracted from 'global-card-contents-title' anchors, e.g. 'Maghe Special Combo Set 3'; PDP links point to named-vendor subdomains (pasal101.thulo.com.np/shop/...), confirming the multi-vendor panel structure the shard notes describe.</t>
        </is>
      </c>
      <c r="R27" s="13" t="b">
        <v>1</v>
      </c>
      <c r="S27" s="13" t="inlineStr">
        <is>
          <t>category=394 sampled was a promo/combo bucket, not necessarily representative; full category id list (dairy-products-en link seen on the listing page) not enumerated in the time budget. Must dedupe on vendor+SKU (same product repeats across named vendors) per shard AI_NOTES. Price extraction needs a second regex pass -- offerPrice/productPrice classes present but not cleanly captured in this probe.</t>
        </is>
      </c>
      <c r="T27" s="13" t="inlineStr"/>
    </row>
    <row r="28">
      <c r="A28" s="13" t="inlineStr">
        <is>
          <t>sar</t>
        </is>
      </c>
      <c r="B28" s="13" t="inlineStr">
        <is>
          <t>nepal</t>
        </is>
      </c>
      <c r="C28" s="13" t="inlineStr">
        <is>
          <t>Goket Groceries</t>
        </is>
      </c>
      <c r="D28" s="13" t="inlineStr">
        <is>
          <t>https://www.goket.com.np/</t>
        </is>
      </c>
      <c r="E28" s="13" t="inlineStr">
        <is>
          <t>TIER_1A</t>
        </is>
      </c>
      <c r="F28" s="13" t="inlineStr">
        <is>
          <t>medium</t>
        </is>
      </c>
      <c r="G28" s="13" t="inlineStr">
        <is>
          <t>Wave 4</t>
        </is>
      </c>
      <c r="H28" s="13" t="inlineStr">
        <is>
          <t>spider</t>
        </is>
      </c>
      <c r="I28" s="13" t="inlineStr">
        <is>
          <t>Bespoke spider/fetcher - endpoint already known; extra work is pagination, auth or parsing</t>
        </is>
      </c>
      <c r="J28" s="13" t="inlineStr">
        <is>
          <t>Z_bespoke</t>
        </is>
      </c>
      <c r="K28" s="13" t="inlineStr">
        <is>
          <t>Custom (Next.js)</t>
        </is>
      </c>
      <c r="L28" s="13" t="inlineStr">
        <is>
          <t>retailer_sku</t>
        </is>
      </c>
      <c r="M28" s="13" t="inlineStr">
        <is>
          <t>supermarket</t>
        </is>
      </c>
      <c r="N28" s="13" t="inlineStr">
        <is>
          <t>NPR</t>
        </is>
      </c>
      <c r="O28" s="13" t="n">
        <v>3</v>
      </c>
      <c r="P28" s="13" t="inlineStr">
        <is>
          <t>GET /categories (category listing only; product/price endpoint unconfirmed)</t>
        </is>
      </c>
      <c r="Q28" s="13" t="inlineStr">
        <is>
          <t>GET https://www.goket.com.np/categories -&gt; 200, 32671 bytes, plain curl, no auth. Real category names embedded in HTML: Baby Care, Beverages, Cleaning Supplies, Packaged Foods, Pantry Staples, Personal Care -- but zero price or product-slug tokens found on that page (products load one level deeper, not confirmed in time budget). Next.js app.</t>
        </is>
      </c>
      <c r="R28" s="13" t="b">
        <v>1</v>
      </c>
      <c r="S28" s="13" t="inlineStr">
        <is>
          <t>Matches shard's SUSPECT verdict: app-led catalog (dedicated iOS app), thin 6-category set with no visible fresh produce/dairy/meat. Low priority relative to MeroKirana/Vhandar which are already deeper and confirmed end-to-end.</t>
        </is>
      </c>
      <c r="T28" s="13" t="inlineStr"/>
    </row>
    <row r="29">
      <c r="A29" s="13" t="inlineStr">
        <is>
          <t>menaap</t>
        </is>
      </c>
      <c r="B29" s="13" t="inlineStr">
        <is>
          <t>egypt</t>
        </is>
      </c>
      <c r="C29" s="13" t="inlineStr">
        <is>
          <t>Talabat Egypt</t>
        </is>
      </c>
      <c r="D29" s="13" t="inlineStr">
        <is>
          <t>https://www.talabat.com/egypt/groceries</t>
        </is>
      </c>
      <c r="E29" s="13" t="inlineStr">
        <is>
          <t>TIER_1A</t>
        </is>
      </c>
      <c r="F29" s="13" t="inlineStr">
        <is>
          <t>medium</t>
        </is>
      </c>
      <c r="G29" s="13" t="inlineStr">
        <is>
          <t>Wave 4</t>
        </is>
      </c>
      <c r="H29" s="13" t="inlineStr">
        <is>
          <t>spider</t>
        </is>
      </c>
      <c r="I29" s="13" t="inlineStr">
        <is>
          <t>Bespoke spider/fetcher - endpoint already known; extra work is pagination, auth or parsing</t>
        </is>
      </c>
      <c r="J29" s="13" t="inlineStr">
        <is>
          <t>Z_bespoke</t>
        </is>
      </c>
      <c r="K29" s="13" t="inlineStr">
        <is>
          <t>Custom (Next.js)</t>
        </is>
      </c>
      <c r="L29" s="13" t="inlineStr">
        <is>
          <t>seller_directory</t>
        </is>
      </c>
      <c r="M29" s="13" t="inlineStr">
        <is>
          <t>marketplace</t>
        </is>
      </c>
      <c r="N29" s="13" t="inlineStr">
        <is>
          <t>EGP</t>
        </is>
      </c>
      <c r="O29" s="13" t="n">
        <v>0</v>
      </c>
      <c r="P29" s="13" t="inlineStr">
        <is>
          <t>/egypt/groceries/{areaId}/{slug} (SSR __NEXT_DATA__) + /nextLocationApi/location/country-areas/{countryId} for area enumeration</t>
        </is>
      </c>
      <c r="Q29" s="13" t="inlineStr">
        <is>
          <t>curl on /egypt/groceries/&lt;areaId&gt;/&lt;slug&gt; server-renders a __NEXT_DATA__ blob with props.pageProps.vendors[] -- 20 vendors per area, no auth. First attempt with a guessed area id (59) accidentally returned Kuwaiti vendors (Talabat area IDs are NOT country-namespaced in the URL). Fixed by first calling https://www.talabat.com/nextLocationApi/location/country-areas/9 (curl, 200, 466KB JSON) which lists real Egypt area ids/slugs (country id 9 = Egypt, areas keyed by Arabic city/area names e.g. القاهرة=Cairo). Re-probed /egypt/groceries/10032/faisal-el-taawon-2 -&gt; 20 genuine Egyptian vendors: 'Souq El Aasr', 'Akher Sa'a Bakery', 'Elsuhagi For Poultry &amp; Butchery', 'Kheir Zaman', 'Carrefour', 'Metro Market', 'talabat mart', 'tKiosk by tMart'.</t>
        </is>
      </c>
      <c r="R29" s="13" t="b">
        <v>1</v>
      </c>
      <c r="S29" s="13" t="inlineStr">
        <is>
          <t>MAJOR discovery asset confirmed live: enumerates independent traditional retailers with no web presence (dairies, roasteries, butchers, fruit sellers) across every Egyptian area/city. Prices include platform margin per CSV -- use as a store/seller directory, not a price series, except where no alternative exists (traditional retail). Walking all areas from country-areas/9 would produce a full seller census.</t>
        </is>
      </c>
      <c r="T29" s="13" t="inlineStr">
        <is>
          <t>Area IDs are global across Talabat's whole footprint, not scoped per country segment in the URL -- always resolve area ids via nextLocationApi/location/country-areas/{countryId} first, never guess small integers.</t>
        </is>
      </c>
    </row>
    <row r="30">
      <c r="A30" s="13" t="inlineStr">
        <is>
          <t>eca</t>
        </is>
      </c>
      <c r="B30" s="13" t="inlineStr">
        <is>
          <t>malta</t>
        </is>
      </c>
      <c r="C30" s="13" t="inlineStr">
        <is>
          <t>Greens Supermarket</t>
        </is>
      </c>
      <c r="D30" s="13" t="inlineStr">
        <is>
          <t>https://www.greens.com.mt/</t>
        </is>
      </c>
      <c r="E30" s="13" t="inlineStr">
        <is>
          <t>TIER_2</t>
        </is>
      </c>
      <c r="F30" s="13" t="inlineStr">
        <is>
          <t>medium</t>
        </is>
      </c>
      <c r="G30" s="13" t="inlineStr">
        <is>
          <t>Wave 5</t>
        </is>
      </c>
      <c r="H30" s="13" t="inlineStr">
        <is>
          <t>spider</t>
        </is>
      </c>
      <c r="I30" s="13" t="inlineStr">
        <is>
          <t>Playwright DISCOVERY pass first - find the internal JSON endpoint, then scrape it over plain HTTP</t>
        </is>
      </c>
      <c r="J30" s="13" t="inlineStr">
        <is>
          <t>D_woocommerce</t>
        </is>
      </c>
      <c r="K30" s="13" t="inlineStr">
        <is>
          <t>Custom (not WooCommerce, despite CSV label)</t>
        </is>
      </c>
      <c r="L30" s="13" t="inlineStr">
        <is>
          <t>retailer_sku</t>
        </is>
      </c>
      <c r="M30" s="13" t="inlineStr">
        <is>
          <t>supermarket</t>
        </is>
      </c>
      <c r="N30" s="13" t="inlineStr">
        <is>
          <t>EUR</t>
        </is>
      </c>
      <c r="O30" s="13" t="n">
        <v>0</v>
      </c>
      <c r="P30" s="13" t="inlineStr">
        <is>
          <t>not WooCommerce - platform misidentified in CSV</t>
        </is>
      </c>
      <c r="Q30" s="13" t="inlineStr">
        <is>
          <t>curl 200 (after -L redirect to www.), but the WooCommerce Store API path returned the homepage HTML (bootstrap-based custom theme), not JSON - CSV's 'WordPress/WooCommerce' platform tag appears wrong for this site</t>
        </is>
      </c>
      <c r="R30" s="13" t="b">
        <v>1</v>
      </c>
      <c r="S30" s="13" t="inlineStr">
        <is>
          <t>Needs a proper platform re-identification pass; not blocked, just not WooCommerce as labeled.</t>
        </is>
      </c>
      <c r="T30" s="13" t="inlineStr"/>
    </row>
    <row r="31">
      <c r="A31" s="13" t="inlineStr">
        <is>
          <t>eca</t>
        </is>
      </c>
      <c r="B31" s="13" t="inlineStr">
        <is>
          <t>slovenia</t>
        </is>
      </c>
      <c r="C31" s="13" t="inlineStr">
        <is>
          <t>Tus</t>
        </is>
      </c>
      <c r="D31" s="13" t="inlineStr">
        <is>
          <t>https://www.tus.si/</t>
        </is>
      </c>
      <c r="E31" s="13" t="inlineStr">
        <is>
          <t>TIER_2</t>
        </is>
      </c>
      <c r="F31" s="13" t="inlineStr">
        <is>
          <t>medium</t>
        </is>
      </c>
      <c r="G31" s="13" t="inlineStr">
        <is>
          <t>Wave 5</t>
        </is>
      </c>
      <c r="H31" s="13" t="inlineStr">
        <is>
          <t>spider</t>
        </is>
      </c>
      <c r="I31" s="13" t="inlineStr">
        <is>
          <t>Playwright DISCOVERY pass first - find the internal JSON endpoint, then scrape it over plain HTTP</t>
        </is>
      </c>
      <c r="J31" s="13" t="inlineStr">
        <is>
          <t>D_woocommerce</t>
        </is>
      </c>
      <c r="K31" s="13" t="inlineStr">
        <is>
          <t>possibly WooCommerce</t>
        </is>
      </c>
      <c r="L31" s="13" t="inlineStr">
        <is>
          <t>retailer_sku</t>
        </is>
      </c>
      <c r="M31" s="13" t="inlineStr">
        <is>
          <t>supermarket</t>
        </is>
      </c>
      <c r="N31" s="13" t="inlineStr">
        <is>
          <t>EUR</t>
        </is>
      </c>
      <c r="O31" s="13" t="n">
        <v>0</v>
      </c>
      <c r="P31" s="13" t="inlineStr">
        <is>
          <t>not confirmed</t>
        </is>
      </c>
      <c r="Q31" s="13" t="inlineStr">
        <is>
          <t>curl 200, 181KB, woocommerce string found but no product prices confirmed on homepage</t>
        </is>
      </c>
      <c r="R31" s="13" t="b">
        <v>1</v>
      </c>
      <c r="S31" s="13" t="inlineStr">
        <is>
          <t>Worth a follow-up WooCommerce Store API check given the platform hint.</t>
        </is>
      </c>
      <c r="T31" s="13" t="inlineStr"/>
    </row>
    <row r="32">
      <c r="A32" s="13" t="inlineStr">
        <is>
          <t>eca</t>
        </is>
      </c>
      <c r="B32" s="13" t="inlineStr">
        <is>
          <t>uzbekistan</t>
        </is>
      </c>
      <c r="C32" s="13" t="inlineStr">
        <is>
          <t>Korzinka</t>
        </is>
      </c>
      <c r="D32" s="13" t="inlineStr">
        <is>
          <t>https://www.korzinka.uz/en</t>
        </is>
      </c>
      <c r="E32" s="13" t="inlineStr">
        <is>
          <t>TIER_2</t>
        </is>
      </c>
      <c r="F32" s="13" t="inlineStr">
        <is>
          <t>medium</t>
        </is>
      </c>
      <c r="G32" s="13" t="inlineStr">
        <is>
          <t>Wave 5</t>
        </is>
      </c>
      <c r="H32" s="13" t="inlineStr">
        <is>
          <t>spider</t>
        </is>
      </c>
      <c r="I32" s="13" t="inlineStr">
        <is>
          <t>Playwright DISCOVERY pass first - find the internal JSON endpoint, then scrape it over plain HTTP</t>
        </is>
      </c>
      <c r="J32" s="13" t="inlineStr">
        <is>
          <t>Z_bespoke</t>
        </is>
      </c>
      <c r="K32" s="13" t="inlineStr">
        <is>
          <t>Nuxt/Vue</t>
        </is>
      </c>
      <c r="L32" s="13" t="inlineStr">
        <is>
          <t>retailer_sku</t>
        </is>
      </c>
      <c r="M32" s="13" t="inlineStr">
        <is>
          <t>supermarket</t>
        </is>
      </c>
      <c r="N32" s="13" t="inlineStr">
        <is>
          <t>UZS</t>
        </is>
      </c>
      <c r="O32" s="13" t="n">
        <v>140</v>
      </c>
      <c r="P32" s="13" t="inlineStr">
        <is>
          <t>api.korzinka.uz (exact route TBD)</t>
        </is>
      </c>
      <c r="Q32" s="13" t="inlineStr">
        <is>
          <t>curl -&gt; 403 'Just a moment...' Cloudflare challenge. Playwright render (homepage and /en/catalog) -&gt; HTTP 200, real content: 'product__price'/'product__price-current' DOM classes present, soum-denominated values visible after render (e.g. '300 000 soum'). Backend host api.korzinka.uz confirmed live (returns a structured JSON error for a wrong method rather than a block), but the correct catalog route was not found within the time budget.</t>
        </is>
      </c>
      <c r="R32" s="13" t="b">
        <v>1</v>
      </c>
      <c r="S32" s="13" t="inlineStr">
        <is>
          <t>250+ stores, 12 regions, own online supermarket since 2005 per shard. curl-blocked but Playwright bypasses cleanly -- needs a render-then-scrape approach or the right api.korzinka.uz route.</t>
        </is>
      </c>
      <c r="T32" s="13" t="inlineStr"/>
    </row>
    <row r="33">
      <c r="A33" s="13" t="inlineStr">
        <is>
          <t>eca</t>
        </is>
      </c>
      <c r="B33" s="13" t="inlineStr">
        <is>
          <t>moldova</t>
        </is>
      </c>
      <c r="C33" s="13" t="inlineStr">
        <is>
          <t>Casa Mega</t>
        </is>
      </c>
      <c r="D33" s="13" t="inlineStr">
        <is>
          <t>https://casamega.md/</t>
        </is>
      </c>
      <c r="E33" s="13" t="inlineStr">
        <is>
          <t>TIER_2</t>
        </is>
      </c>
      <c r="F33" s="13" t="inlineStr">
        <is>
          <t>medium</t>
        </is>
      </c>
      <c r="G33" s="13" t="inlineStr">
        <is>
          <t>Wave 5</t>
        </is>
      </c>
      <c r="H33" s="13" t="inlineStr">
        <is>
          <t>spider</t>
        </is>
      </c>
      <c r="I33" s="13" t="inlineStr">
        <is>
          <t>Playwright DISCOVERY pass first - find the internal JSON endpoint, then scrape it over plain HTTP</t>
        </is>
      </c>
      <c r="J33" s="13" t="inlineStr">
        <is>
          <t>Z_bespoke</t>
        </is>
      </c>
      <c r="K33" s="13" t="inlineStr">
        <is>
          <t>CS-Cart</t>
        </is>
      </c>
      <c r="L33" s="13" t="inlineStr">
        <is>
          <t>retailer_sku</t>
        </is>
      </c>
      <c r="M33" s="13" t="inlineStr">
        <is>
          <t>supermarket</t>
        </is>
      </c>
      <c r="N33" s="13" t="inlineStr">
        <is>
          <t>MDL</t>
        </is>
      </c>
      <c r="O33" s="13" t="n">
        <v>130</v>
      </c>
      <c r="P33" s="13" t="inlineStr">
        <is>
          <t>SSR after JS challenge clears</t>
        </is>
      </c>
      <c r="Q33" s="13" t="inlineStr">
        <is>
          <t>curl -&gt; 403 'DDOS protection page'. Playwright render -&gt; 200, 2.57MB, CS-Cart platform confirmed ('ty-price-num' class), real prices visible after render: '2 399.00' / '599.00' / '1 699.00' MDL.</t>
        </is>
      </c>
      <c r="R33" s="13" t="b">
        <v>1</v>
      </c>
      <c r="S33" s="13" t="inlineStr">
        <is>
          <t>curl-blocked but Playwright bypasses cleanly -- not a hard Cloudflare-strict block, needs a headless-render step in the spider or cookie replay.</t>
        </is>
      </c>
      <c r="T33" s="13" t="inlineStr"/>
    </row>
    <row r="34">
      <c r="A34" s="13" t="inlineStr">
        <is>
          <t>lac</t>
        </is>
      </c>
      <c r="B34" s="13" t="inlineStr">
        <is>
          <t>barbados</t>
        </is>
      </c>
      <c r="C34" s="13" t="inlineStr">
        <is>
          <t>PriceSmart Barbados</t>
        </is>
      </c>
      <c r="D34" s="13" t="inlineStr">
        <is>
          <t>https://www.pricesmart.com/en-BB/category/Groceries/G10D03</t>
        </is>
      </c>
      <c r="E34" s="13" t="inlineStr">
        <is>
          <t>TIER_2</t>
        </is>
      </c>
      <c r="F34" s="13" t="inlineStr">
        <is>
          <t>medium</t>
        </is>
      </c>
      <c r="G34" s="13" t="inlineStr">
        <is>
          <t>Wave 5</t>
        </is>
      </c>
      <c r="H34" s="13" t="inlineStr">
        <is>
          <t>spider</t>
        </is>
      </c>
      <c r="I34" s="13" t="inlineStr">
        <is>
          <t>Playwright DISCOVERY pass first - find the internal JSON endpoint, then scrape it over plain HTTP</t>
        </is>
      </c>
      <c r="J34" s="13" t="inlineStr">
        <is>
          <t>Z_bespoke</t>
        </is>
      </c>
      <c r="K34" s="13" t="inlineStr">
        <is>
          <t>Custom/Nuxt</t>
        </is>
      </c>
      <c r="L34" s="13" t="inlineStr">
        <is>
          <t>retailer_sku</t>
        </is>
      </c>
      <c r="M34" s="13" t="inlineStr">
        <is>
          <t>warehouse_club</t>
        </is>
      </c>
      <c r="N34" s="13" t="inlineStr">
        <is>
          <t>USD (site header shows $, region en-BB; verify BBD vs USD display before scaffolding)</t>
        </is>
      </c>
      <c r="O34" s="13" t="n">
        <v>90</v>
      </c>
      <c r="P34" s="13" t="inlineStr">
        <is>
          <t>POST /api/ct/getCategory (session-gated, Playwright only)</t>
        </is>
      </c>
      <c r="Q34" s="13" t="inlineStr">
        <is>
          <t>curl: 200/383KB but Nuxt SPA shell, zero prices in raw HTML (only account/login form fields). Playwright render (8s wait): prices visible ($49.00-$399.99 range) and product names extracted via a[href*='/product/'] selector: 'Maeva Avocado Oil Spray 2 Units / 200 mL', 'Froot Loops Chocolate Flavored Cereal 878 g'. Internal API is POST https://www.pricesmart.com/api/ct/getCategory (not GET-replayable with curl; needs session state).</t>
        </is>
      </c>
      <c r="R34" s="13" t="b">
        <v>1</v>
      </c>
      <c r="S34" s="13" t="inlineStr">
        <is>
          <t>Warehouse-club pack sizes; needs Playwright render at collection time since API is POST + session-cookie gated.</t>
        </is>
      </c>
      <c r="T34" s="13" t="inlineStr"/>
    </row>
    <row r="35">
      <c r="A35" s="13" t="inlineStr">
        <is>
          <t>eca</t>
        </is>
      </c>
      <c r="B35" s="13" t="inlineStr">
        <is>
          <t>romania</t>
        </is>
      </c>
      <c r="C35" s="13" t="inlineStr">
        <is>
          <t>Monitorul Preturilor (Competition Council)</t>
        </is>
      </c>
      <c r="D35" s="13" t="inlineStr">
        <is>
          <t>https://monitorulpreturilor.info/Home/Monitor</t>
        </is>
      </c>
      <c r="E35" s="13" t="inlineStr">
        <is>
          <t>TIER_2</t>
        </is>
      </c>
      <c r="F35" s="13" t="inlineStr">
        <is>
          <t>medium</t>
        </is>
      </c>
      <c r="G35" s="13" t="inlineStr">
        <is>
          <t>Wave 5</t>
        </is>
      </c>
      <c r="H35" s="13" t="inlineStr">
        <is>
          <t>fetcher</t>
        </is>
      </c>
      <c r="I35" s="13" t="inlineStr">
        <is>
          <t>Playwright DISCOVERY pass first - find the internal JSON endpoint, then scrape it over plain HTTP</t>
        </is>
      </c>
      <c r="J35" s="13" t="inlineStr">
        <is>
          <t>Z_bespoke</t>
        </is>
      </c>
      <c r="K35" s="13" t="inlineStr">
        <is>
          <t>Custom (Kendo UI + Firebase)</t>
        </is>
      </c>
      <c r="L35" s="13" t="inlineStr">
        <is>
          <t>official_avg</t>
        </is>
      </c>
      <c r="M35" s="13" t="inlineStr">
        <is>
          <t>official</t>
        </is>
      </c>
      <c r="N35" s="13" t="inlineStr">
        <is>
          <t>RON</t>
        </is>
      </c>
      <c r="O35" s="13" t="n">
        <v>41</v>
      </c>
      <c r="P35" s="13" t="inlineStr">
        <is>
          <t>unresolved - needs interactive location-selection flow</t>
        </is>
      </c>
      <c r="Q35" s="13" t="inlineStr">
        <is>
          <t>curl 200, 11.8KB Kendo-UI shell (no inline data). Playwright 7s network capture triggered zero XHR to a data endpoint -&gt; page likely gates behind a location/county selector (site references '/Settings/Location') before the grid loads.</t>
        </is>
      </c>
      <c r="R35" s="13" t="b">
        <v>1</v>
      </c>
      <c r="S35" s="13" t="inlineStr">
        <is>
          <t>Official Competition Council feed, 7 participating chains (Mega Image, Lidl, Kaufland, Selgros, Carrefour, Penny, Profi) with a dedicated capped-commercial-margin section (41 products: bread, milk, telemea, yoghurt, flour, eggs, oil, chicken, pork, tomatoes, onions, sugar, potatoes). High value but needs one more probing session to find the grid's data endpoint.</t>
        </is>
      </c>
      <c r="T35" s="13" t="inlineStr"/>
    </row>
    <row r="36">
      <c r="A36" s="13" t="inlineStr">
        <is>
          <t>eca</t>
        </is>
      </c>
      <c r="B36" s="13" t="inlineStr">
        <is>
          <t>germany</t>
        </is>
      </c>
      <c r="C36" s="13" t="inlineStr">
        <is>
          <t>mytime.de</t>
        </is>
      </c>
      <c r="D36" s="13" t="inlineStr">
        <is>
          <t>https://www.mytime.de/</t>
        </is>
      </c>
      <c r="E36" s="13" t="inlineStr">
        <is>
          <t>TIER_2</t>
        </is>
      </c>
      <c r="F36" s="13" t="inlineStr">
        <is>
          <t>medium</t>
        </is>
      </c>
      <c r="G36" s="13" t="inlineStr">
        <is>
          <t>Wave 5</t>
        </is>
      </c>
      <c r="H36" s="13" t="inlineStr">
        <is>
          <t>spider</t>
        </is>
      </c>
      <c r="I36" s="13" t="inlineStr">
        <is>
          <t>Playwright DISCOVERY pass first - find the internal JSON endpoint, then scrape it over plain HTTP</t>
        </is>
      </c>
      <c r="J36" s="13" t="inlineStr">
        <is>
          <t>Z_bespoke</t>
        </is>
      </c>
      <c r="K36" s="13" t="inlineStr">
        <is>
          <t>Custom</t>
        </is>
      </c>
      <c r="L36" s="13" t="inlineStr">
        <is>
          <t>retailer_sku</t>
        </is>
      </c>
      <c r="M36" s="13" t="inlineStr">
        <is>
          <t>supermarket</t>
        </is>
      </c>
      <c r="N36" s="13" t="inlineStr">
        <is>
          <t>EUR</t>
        </is>
      </c>
      <c r="O36" s="13" t="n">
        <v>40</v>
      </c>
      <c r="P36" s="13" t="inlineStr">
        <is>
          <t>not fully isolated</t>
        </is>
      </c>
      <c r="Q36" s="13" t="inlineStr">
        <is>
          <t>curl 200, 300KB, some real prices found in raw HTML: '2,49 €', '3,49 €' mixed with '0,00 €' cart placeholders</t>
        </is>
      </c>
      <c r="R36" s="13" t="b">
        <v>1</v>
      </c>
      <c r="S36" s="13" t="inlineStr">
        <is>
          <t>Full-assortment nationwide per CSV; partial price evidence found, category page would confirm depth.</t>
        </is>
      </c>
      <c r="T36" s="13" t="inlineStr"/>
    </row>
    <row r="37">
      <c r="A37" s="13" t="inlineStr">
        <is>
          <t>ssa</t>
        </is>
      </c>
      <c r="B37" s="13" t="inlineStr">
        <is>
          <t>senegal</t>
        </is>
      </c>
      <c r="C37" s="13" t="inlineStr">
        <is>
          <t>DiborMarket</t>
        </is>
      </c>
      <c r="D37" s="13" t="inlineStr">
        <is>
          <t>https://lafermededibor.com/</t>
        </is>
      </c>
      <c r="E37" s="13" t="inlineStr">
        <is>
          <t>TIER_2</t>
        </is>
      </c>
      <c r="F37" s="13" t="inlineStr">
        <is>
          <t>medium</t>
        </is>
      </c>
      <c r="G37" s="13" t="inlineStr">
        <is>
          <t>Wave 5</t>
        </is>
      </c>
      <c r="H37" s="13" t="inlineStr">
        <is>
          <t>spider</t>
        </is>
      </c>
      <c r="I37" s="13" t="inlineStr">
        <is>
          <t>Playwright DISCOVERY pass first - find the internal JSON endpoint, then scrape it over plain HTTP</t>
        </is>
      </c>
      <c r="J37" s="13" t="inlineStr">
        <is>
          <t>Z_bespoke</t>
        </is>
      </c>
      <c r="K37" s="13" t="inlineStr">
        <is>
          <t>Custom</t>
        </is>
      </c>
      <c r="L37" s="13" t="inlineStr">
        <is>
          <t>retailer_sku</t>
        </is>
      </c>
      <c r="M37" s="13" t="inlineStr">
        <is>
          <t>supermarket</t>
        </is>
      </c>
      <c r="N37" s="13" t="inlineStr">
        <is>
          <t>XOF</t>
        </is>
      </c>
      <c r="O37" s="13" t="n">
        <v>25</v>
      </c>
      <c r="P37" s="13" t="inlineStr">
        <is>
          <t>unresolved -- homepage only</t>
        </is>
      </c>
      <c r="Q37" s="13" t="inlineStr">
        <is>
          <t>GET / -&gt; 200, 15.8KB HTML, no SPA markers (no id=app/root, no ng-version), but no price class or FCFA pattern matched in the homepage HTML either -- catalogue likely lives on a /shop or category path not probed this pass.</t>
        </is>
      </c>
      <c r="R37" s="13" t="b">
        <v>1</v>
      </c>
      <c r="S37" s="13" t="inlineStr">
        <is>
          <t>Prior research is specific enough to trust directionally (feuille de manioc, madd, gombo, diakhatou aubergine, graded 5/10/25kg onion and potato sacks) -- this is the only source in the shard reaching those local-item leaves, but I could not independently re-verify a live price this pass.</t>
        </is>
      </c>
      <c r="T37" s="13" t="inlineStr"/>
    </row>
    <row r="38">
      <c r="A38" s="13" t="inlineStr">
        <is>
          <t>eca</t>
        </is>
      </c>
      <c r="B38" s="13" t="inlineStr">
        <is>
          <t>serbia</t>
        </is>
      </c>
      <c r="C38" s="13" t="inlineStr">
        <is>
          <t>Maxi</t>
        </is>
      </c>
      <c r="D38" s="13" t="inlineStr">
        <is>
          <t>https://www.maxi.rs/</t>
        </is>
      </c>
      <c r="E38" s="13" t="inlineStr">
        <is>
          <t>TIER_2</t>
        </is>
      </c>
      <c r="F38" s="13" t="inlineStr">
        <is>
          <t>medium</t>
        </is>
      </c>
      <c r="G38" s="13" t="inlineStr">
        <is>
          <t>Wave 5</t>
        </is>
      </c>
      <c r="H38" s="13" t="inlineStr">
        <is>
          <t>spider</t>
        </is>
      </c>
      <c r="I38" s="13" t="inlineStr">
        <is>
          <t>Playwright DISCOVERY pass first - find the internal JSON endpoint, then scrape it over plain HTTP</t>
        </is>
      </c>
      <c r="J38" s="13" t="inlineStr">
        <is>
          <t>Z_bespoke</t>
        </is>
      </c>
      <c r="K38" s="13" t="inlineStr">
        <is>
          <t>Next.js</t>
        </is>
      </c>
      <c r="L38" s="13" t="inlineStr">
        <is>
          <t>retailer_sku</t>
        </is>
      </c>
      <c r="M38" s="13" t="inlineStr">
        <is>
          <t>supermarket</t>
        </is>
      </c>
      <c r="N38" s="13" t="inlineStr">
        <is>
          <t>RSD</t>
        </is>
      </c>
      <c r="O38" s="13" t="n">
        <v>20</v>
      </c>
      <c r="P38" s="13" t="inlineStr">
        <is>
          <t>category tree confirmed, product/price endpoint not isolated</t>
        </is>
      </c>
      <c r="Q38" s="13" t="inlineStr">
        <is>
          <t>curl 200, 1.14MB, Next.js + GraphQL detected. Real top-level category tile confirmed in raw HTML: data-testid='category-tile' aria-label='Mlecni proizvodi i jaja' (Dairy products and eggs) linking to /Mlechni-proizvodi-i-jaja/c/02 - category structure confirmed but per-product prices not yet isolated</t>
        </is>
      </c>
      <c r="R38" s="13" t="b">
        <v>1</v>
      </c>
      <c r="S38" s="13" t="inlineStr">
        <is>
          <t>Delhaize-group national leader; also on Wolt/Glovo in 14 cities per CSV. Small partial credit given confirmed dairy category.</t>
        </is>
      </c>
      <c r="T38" s="13" t="inlineStr"/>
    </row>
    <row r="39">
      <c r="A39" s="13" t="inlineStr">
        <is>
          <t>sar</t>
        </is>
      </c>
      <c r="B39" s="13" t="inlineStr">
        <is>
          <t>sri_lanka</t>
        </is>
      </c>
      <c r="C39" s="13" t="inlineStr">
        <is>
          <t>HARTI -- Daily &amp; Weekly Food Commodities Bulletin</t>
        </is>
      </c>
      <c r="D39" s="13" t="inlineStr">
        <is>
          <t>http://www.harti.gov.lk/daily-price.php</t>
        </is>
      </c>
      <c r="E39" s="13" t="inlineStr">
        <is>
          <t>TIER_2</t>
        </is>
      </c>
      <c r="F39" s="13" t="inlineStr">
        <is>
          <t>medium</t>
        </is>
      </c>
      <c r="G39" s="13" t="inlineStr">
        <is>
          <t>Wave 5</t>
        </is>
      </c>
      <c r="H39" s="13" t="inlineStr">
        <is>
          <t>fetcher</t>
        </is>
      </c>
      <c r="I39" s="13" t="inlineStr">
        <is>
          <t>Playwright DISCOVERY pass first - find the internal JSON endpoint, then scrape it over plain HTTP</t>
        </is>
      </c>
      <c r="J39" s="13" t="inlineStr">
        <is>
          <t>Z_bespoke</t>
        </is>
      </c>
      <c r="K39" s="13" t="inlineStr">
        <is>
          <t>PDF bulletin archive (no auth)</t>
        </is>
      </c>
      <c r="L39" s="13" t="inlineStr">
        <is>
          <t>official_avg</t>
        </is>
      </c>
      <c r="M39" s="13" t="inlineStr">
        <is>
          <t>official_avg</t>
        </is>
      </c>
      <c r="N39" s="13" t="inlineStr">
        <is>
          <t>LKR</t>
        </is>
      </c>
      <c r="O39" s="13" t="n">
        <v>10</v>
      </c>
      <c r="P39" s="13" t="inlineStr">
        <is>
          <t>assets/pdf/food_price/{daily,weekly}/{eng,sin}/{year}/[month/]{file}.pdf</t>
        </is>
      </c>
      <c r="Q39" s="13" t="inlineStr">
        <is>
          <t>GET /daily-price.php -&gt; 200, listing daily PDF bulletins back to 2015 at a predictable path (assets/pdf/food_price/daily/eng/{year}/{month}/daily_{DD-MM-YYYY}.pdf). Sampled 2015-08-03 PDF (200/99KB) via pdftotext: 'Wholesale Prices of Rice &amp; Subsidiary Food Crops', Pettah market, item/range/average/change columns for Nadu/Samba/Kekulu rice grades, Dried Chillies, Onions (Sinnan/Vedalan/imported), Potatoes. Weekly bulletin also exists in English (assets/pdf/food_price/weekly/eng/2026/weekly_10_2026_Eng.pdf, confirmed link present) and Sinhala; sampled Sinhala weekly PDF (2.97MB) shows broader coverage: rice, onions, potatoes, imported dried chillies, vegetables (carrots, cabbage), fish (mackerel).</t>
        </is>
      </c>
      <c r="R39" s="13" t="b">
        <v>0</v>
      </c>
      <c r="S39" s="13" t="inlineStr">
        <is>
          <t>Wholesale (Pettah market) rice + subsidiary-crop feed, PDF-only (needs a table-extraction step, e.g. pdftotext/camelot, not a JSON walk). fnb_leaves_est is the INCREMENTAL contribution over DCS's retail feed -- most of what HARTI covers (rice grades, onions, chilies, potatoes) already overlaps DCS. Kept mainly for the wholesale/retail cross-check it enables, and because the weekly bulletin's vegetable/fish mentions suggest slightly broader coverage than the daily one -- would need a full PDF parse to confirm exact leaf count.</t>
        </is>
      </c>
      <c r="T39" s="13" t="inlineStr"/>
    </row>
    <row r="40">
      <c r="A40" s="13" t="inlineStr">
        <is>
          <t>eca</t>
        </is>
      </c>
      <c r="B40" s="13" t="inlineStr">
        <is>
          <t>norway</t>
        </is>
      </c>
      <c r="C40" s="13" t="inlineStr">
        <is>
          <t>Vinmonopolet</t>
        </is>
      </c>
      <c r="D40" s="13" t="inlineStr">
        <is>
          <t>https://www.vinmonopolet.no/</t>
        </is>
      </c>
      <c r="E40" s="13" t="inlineStr">
        <is>
          <t>TIER_2</t>
        </is>
      </c>
      <c r="F40" s="13" t="inlineStr">
        <is>
          <t>medium</t>
        </is>
      </c>
      <c r="G40" s="13" t="inlineStr">
        <is>
          <t>Wave 5</t>
        </is>
      </c>
      <c r="H40" s="13" t="inlineStr">
        <is>
          <t>fetcher</t>
        </is>
      </c>
      <c r="I40" s="13" t="inlineStr">
        <is>
          <t>Playwright DISCOVERY pass first - find the internal JSON endpoint, then scrape it over plain HTTP</t>
        </is>
      </c>
      <c r="J40" s="13" t="inlineStr">
        <is>
          <t>Z_bespoke</t>
        </is>
      </c>
      <c r="K40" s="13" t="inlineStr">
        <is>
          <t>Custom</t>
        </is>
      </c>
      <c r="L40" s="13" t="inlineStr">
        <is>
          <t>official_avg</t>
        </is>
      </c>
      <c r="M40" s="13" t="inlineStr">
        <is>
          <t>official</t>
        </is>
      </c>
      <c r="N40" s="13" t="inlineStr">
        <is>
          <t>NOK</t>
        </is>
      </c>
      <c r="O40" s="13" t="n">
        <v>9</v>
      </c>
      <c r="P40" s="13" t="inlineStr">
        <is>
          <t>not found (search guess 404'd)</t>
        </is>
      </c>
      <c r="Q40" s="13" t="inlineStr">
        <is>
          <t>curl 200, 38.2KB homepage; nav grep confirms real alcohol-category names: 'Alkoholfritt' (non-alcoholic), 'Aromatisert vin' (aromatized wine), 'Brennevin' (spirits), 'Fruktvin' (fruit wine), 'Alle varer' (all products) - a guessed /sok?q= search path 404'd</t>
        </is>
      </c>
      <c r="R40" s="13" t="b">
        <v>1</v>
      </c>
      <c r="S40" s="13" t="inlineStr">
        <is>
          <t>State alcohol monopoly - administered prices per CSV. Category evidence confirms full COICOP 02.1 alcohol range; complete national catalogue once the product/search endpoint is found.</t>
        </is>
      </c>
      <c r="T40" s="13" t="inlineStr"/>
    </row>
    <row r="41">
      <c r="A41" s="13" t="inlineStr">
        <is>
          <t>eca</t>
        </is>
      </c>
      <c r="B41" s="13" t="inlineStr">
        <is>
          <t>romania</t>
        </is>
      </c>
      <c r="C41" s="13" t="inlineStr">
        <is>
          <t>Mega Image</t>
        </is>
      </c>
      <c r="D41" s="13" t="inlineStr">
        <is>
          <t>https://www.mega-image.ro/</t>
        </is>
      </c>
      <c r="E41" s="13" t="inlineStr">
        <is>
          <t>TIER_2</t>
        </is>
      </c>
      <c r="F41" s="13" t="inlineStr">
        <is>
          <t>medium</t>
        </is>
      </c>
      <c r="G41" s="13" t="inlineStr">
        <is>
          <t>Wave 5</t>
        </is>
      </c>
      <c r="H41" s="13" t="inlineStr">
        <is>
          <t>spider</t>
        </is>
      </c>
      <c r="I41" s="13" t="inlineStr">
        <is>
          <t>Playwright DISCOVERY pass first - find the internal JSON endpoint, then scrape it over plain HTTP</t>
        </is>
      </c>
      <c r="J41" s="13" t="inlineStr">
        <is>
          <t>Z_bespoke</t>
        </is>
      </c>
      <c r="K41" s="13" t="inlineStr">
        <is>
          <t>Next.js</t>
        </is>
      </c>
      <c r="L41" s="13" t="inlineStr">
        <is>
          <t>retailer_sku</t>
        </is>
      </c>
      <c r="M41" s="13" t="inlineStr">
        <is>
          <t>supermarket</t>
        </is>
      </c>
      <c r="N41" s="13" t="inlineStr">
        <is>
          <t>RON</t>
        </is>
      </c>
      <c r="O41" s="13" t="n">
        <v>0</v>
      </c>
      <c r="P41" s="13" t="inlineStr">
        <is>
          <t>not found</t>
        </is>
      </c>
      <c r="Q41" s="13" t="inlineStr">
        <is>
          <t>curl 200, 1.29MB, Next.js + GraphQL detected; only match on homepage was a '0,00 Lei' basket-total placeholder, no product prices confirmed yet</t>
        </is>
      </c>
      <c r="R41" s="13" t="b">
        <v>1</v>
      </c>
      <c r="S41" s="13" t="inlineStr">
        <is>
          <t>CSV flags CONNECT loyalty price vs standard price as a distinct field worth capturing once the category page is probed.</t>
        </is>
      </c>
      <c r="T41" s="13" t="inlineStr"/>
    </row>
    <row r="42">
      <c r="A42" s="13" t="inlineStr">
        <is>
          <t>eca</t>
        </is>
      </c>
      <c r="B42" s="13" t="inlineStr">
        <is>
          <t>romania</t>
        </is>
      </c>
      <c r="C42" s="13" t="inlineStr">
        <is>
          <t>Kaufland Romania</t>
        </is>
      </c>
      <c r="D42" s="13" t="inlineStr">
        <is>
          <t>https://www.kaufland.ro/</t>
        </is>
      </c>
      <c r="E42" s="13" t="inlineStr">
        <is>
          <t>TIER_2</t>
        </is>
      </c>
      <c r="F42" s="13" t="inlineStr">
        <is>
          <t>medium</t>
        </is>
      </c>
      <c r="G42" s="13" t="inlineStr">
        <is>
          <t>Wave 5</t>
        </is>
      </c>
      <c r="H42" s="13" t="inlineStr">
        <is>
          <t>spider</t>
        </is>
      </c>
      <c r="I42" s="13" t="inlineStr">
        <is>
          <t>Playwright DISCOVERY pass first - find the internal JSON endpoint, then scrape it over plain HTTP</t>
        </is>
      </c>
      <c r="J42" s="13" t="inlineStr">
        <is>
          <t>Z_bespoke</t>
        </is>
      </c>
      <c r="K42" s="13" t="inlineStr">
        <is>
          <t>Custom/Enterprise</t>
        </is>
      </c>
      <c r="L42" s="13" t="inlineStr">
        <is>
          <t>retailer_sku</t>
        </is>
      </c>
      <c r="M42" s="13" t="inlineStr">
        <is>
          <t>supermarket</t>
        </is>
      </c>
      <c r="N42" s="13" t="inlineStr">
        <is>
          <t>RON</t>
        </is>
      </c>
      <c r="O42" s="13" t="n">
        <v>0</v>
      </c>
      <c r="P42" s="13" t="inlineStr">
        <is>
          <t>not found</t>
        </is>
      </c>
      <c r="Q42" s="13" t="inlineStr">
        <is>
          <t>curl 200, 323KB (NOT blocked, unlike kaufland.de which shows an explicit 'Zugriff blockiert' page) - only match was a loyalty-copy '0,01 lei' placeholder, no product prices confirmed</t>
        </is>
      </c>
      <c r="R42" s="13" t="b">
        <v>1</v>
      </c>
      <c r="S42" s="13" t="inlineStr">
        <is>
          <t>WAF posture differs by country/TLD from the German tenant - worth a follow-up category probe.</t>
        </is>
      </c>
      <c r="T42" s="13" t="inlineStr"/>
    </row>
    <row r="43">
      <c r="A43" s="13" t="inlineStr">
        <is>
          <t>eca</t>
        </is>
      </c>
      <c r="B43" s="13" t="inlineStr">
        <is>
          <t>romania</t>
        </is>
      </c>
      <c r="C43" s="13" t="inlineStr">
        <is>
          <t>Auchan Romania</t>
        </is>
      </c>
      <c r="D43" s="13" t="inlineStr">
        <is>
          <t>https://www.auchan.ro/</t>
        </is>
      </c>
      <c r="E43" s="13" t="inlineStr">
        <is>
          <t>TIER_2</t>
        </is>
      </c>
      <c r="F43" s="13" t="inlineStr">
        <is>
          <t>medium</t>
        </is>
      </c>
      <c r="G43" s="13" t="inlineStr">
        <is>
          <t>Wave 5</t>
        </is>
      </c>
      <c r="H43" s="13" t="inlineStr">
        <is>
          <t>spider</t>
        </is>
      </c>
      <c r="I43" s="13" t="inlineStr">
        <is>
          <t>Playwright DISCOVERY pass first - find the internal JSON endpoint, then scrape it over plain HTTP</t>
        </is>
      </c>
      <c r="J43" s="13" t="inlineStr">
        <is>
          <t>Z_bespoke</t>
        </is>
      </c>
      <c r="K43" s="13" t="inlineStr">
        <is>
          <t>Custom/Enterprise</t>
        </is>
      </c>
      <c r="L43" s="13" t="inlineStr">
        <is>
          <t>retailer_sku</t>
        </is>
      </c>
      <c r="M43" s="13" t="inlineStr">
        <is>
          <t>supermarket</t>
        </is>
      </c>
      <c r="N43" s="13" t="inlineStr">
        <is>
          <t>RON</t>
        </is>
      </c>
      <c r="O43" s="13" t="n">
        <v>0</v>
      </c>
      <c r="P43" s="13" t="inlineStr">
        <is>
          <t>not found</t>
        </is>
      </c>
      <c r="Q43" s="13" t="inlineStr">
        <is>
          <t>curl 200, 4.0MB page, GraphQL detected, no price pattern matched in raw regex sweep (page too large/complex for a quick grep to be conclusive)</t>
        </is>
      </c>
      <c r="R43" s="13" t="b">
        <v>1</v>
      </c>
      <c r="S43" s="13" t="inlineStr">
        <is>
          <t>MyCLUB loyalty tier per CSV; not blocked, just not confirmed within budget.</t>
        </is>
      </c>
      <c r="T43" s="13" t="inlineStr"/>
    </row>
    <row r="44">
      <c r="A44" s="13" t="inlineStr">
        <is>
          <t>eca</t>
        </is>
      </c>
      <c r="B44" s="13" t="inlineStr">
        <is>
          <t>romania</t>
        </is>
      </c>
      <c r="C44" s="13" t="inlineStr">
        <is>
          <t>AlimentaraOnline</t>
        </is>
      </c>
      <c r="D44" s="13" t="inlineStr">
        <is>
          <t>https://www.alimentaraonline.com/</t>
        </is>
      </c>
      <c r="E44" s="13" t="inlineStr">
        <is>
          <t>TIER_2</t>
        </is>
      </c>
      <c r="F44" s="13" t="inlineStr">
        <is>
          <t>medium</t>
        </is>
      </c>
      <c r="G44" s="13" t="inlineStr">
        <is>
          <t>Wave 5</t>
        </is>
      </c>
      <c r="H44" s="13" t="inlineStr">
        <is>
          <t>spider</t>
        </is>
      </c>
      <c r="I44" s="13" t="inlineStr">
        <is>
          <t>Playwright DISCOVERY pass first - find the internal JSON endpoint, then scrape it over plain HTTP</t>
        </is>
      </c>
      <c r="J44" s="13" t="inlineStr">
        <is>
          <t>Z_bespoke</t>
        </is>
      </c>
      <c r="K44" s="13" t="inlineStr">
        <is>
          <t>Custom</t>
        </is>
      </c>
      <c r="L44" s="13" t="inlineStr">
        <is>
          <t>retailer_sku</t>
        </is>
      </c>
      <c r="M44" s="13" t="inlineStr">
        <is>
          <t>supermarket</t>
        </is>
      </c>
      <c r="N44" s="13" t="inlineStr">
        <is>
          <t>RON</t>
        </is>
      </c>
      <c r="O44" s="13" t="n">
        <v>0</v>
      </c>
      <c r="P44" s="13" t="inlineStr">
        <is>
          <t>not found</t>
        </is>
      </c>
      <c r="Q44" s="13" t="inlineStr">
        <is>
          <t>curl 200, 1.38MB, no price pattern matched on homepage</t>
        </is>
      </c>
      <c r="R44" s="13" t="b">
        <v>1</v>
      </c>
      <c r="S44" s="13" t="inlineStr">
        <is>
          <t>Romanian-products and plant-based verticals per CSV.</t>
        </is>
      </c>
      <c r="T44" s="13" t="inlineStr"/>
    </row>
    <row r="45">
      <c r="A45" s="13" t="inlineStr">
        <is>
          <t>eca</t>
        </is>
      </c>
      <c r="B45" s="13" t="inlineStr">
        <is>
          <t>malta</t>
        </is>
      </c>
      <c r="C45" s="13" t="inlineStr">
        <is>
          <t>Welbee's</t>
        </is>
      </c>
      <c r="D45" s="13" t="inlineStr">
        <is>
          <t>https://welbees.mt/</t>
        </is>
      </c>
      <c r="E45" s="13" t="inlineStr">
        <is>
          <t>TIER_2</t>
        </is>
      </c>
      <c r="F45" s="13" t="inlineStr">
        <is>
          <t>medium</t>
        </is>
      </c>
      <c r="G45" s="13" t="inlineStr">
        <is>
          <t>Wave 5</t>
        </is>
      </c>
      <c r="H45" s="13" t="inlineStr">
        <is>
          <t>spider</t>
        </is>
      </c>
      <c r="I45" s="13" t="inlineStr">
        <is>
          <t>Playwright DISCOVERY pass first - find the internal JSON endpoint, then scrape it over plain HTTP</t>
        </is>
      </c>
      <c r="J45" s="13" t="inlineStr">
        <is>
          <t>Z_bespoke</t>
        </is>
      </c>
      <c r="K45" s="13" t="inlineStr">
        <is>
          <t>Custom</t>
        </is>
      </c>
      <c r="L45" s="13" t="inlineStr">
        <is>
          <t>retailer_sku</t>
        </is>
      </c>
      <c r="M45" s="13" t="inlineStr">
        <is>
          <t>supermarket</t>
        </is>
      </c>
      <c r="N45" s="13" t="inlineStr">
        <is>
          <t>EUR</t>
        </is>
      </c>
      <c r="O45" s="13" t="n">
        <v>0</v>
      </c>
      <c r="P45" s="13" t="inlineStr">
        <is>
          <t>not isolated yet - needs a longer/targeted network trace</t>
        </is>
      </c>
      <c r="Q45" s="13" t="inlineStr">
        <is>
          <t>curl 200 on root but static HTML shows only EUR0.00 cart-total placeholders; Playwright-hydrated render of /shop/category/D-5431/bakery shows real prices (EUR0.80, EUR0.92 strikethrough, EUR0.25, EUR5.50, EUR6.25) but network-response capture found no internal JSON API in the 15s window - prices likely arrive via an inline data blob or a call outside the API/JSON content-type filter used</t>
        </is>
      </c>
      <c r="R45" s="13" t="b">
        <v>1</v>
      </c>
      <c r="S45" s="13" t="inlineStr">
        <is>
          <t>CSV URL (welbees.com.mt) had ZERO DNS records (NXDOMAIN, no A/AAAA/MX). Correct current domain found via WebSearch: welbees.mt. Deep category tree confirmed in nav: baby, bakery, butcher-counter, chilled-food, delicatessen, drinks, food-cupboard, frozen-food - a genuine full-line grocer once the endpoint is isolated.</t>
        </is>
      </c>
      <c r="T45" s="13" t="inlineStr"/>
    </row>
    <row r="46">
      <c r="A46" s="13" t="inlineStr">
        <is>
          <t>eca</t>
        </is>
      </c>
      <c r="B46" s="13" t="inlineStr">
        <is>
          <t>austria</t>
        </is>
      </c>
      <c r="C46" s="13" t="inlineStr">
        <is>
          <t>Unimarkt</t>
        </is>
      </c>
      <c r="D46" s="13" t="inlineStr">
        <is>
          <t>https://www.unimarkt.at/</t>
        </is>
      </c>
      <c r="E46" s="13" t="inlineStr">
        <is>
          <t>TIER_2</t>
        </is>
      </c>
      <c r="F46" s="13" t="inlineStr">
        <is>
          <t>medium</t>
        </is>
      </c>
      <c r="G46" s="13" t="inlineStr">
        <is>
          <t>Wave 5</t>
        </is>
      </c>
      <c r="H46" s="13" t="inlineStr">
        <is>
          <t>spider</t>
        </is>
      </c>
      <c r="I46" s="13" t="inlineStr">
        <is>
          <t>Playwright DISCOVERY pass first - find the internal JSON endpoint, then scrape it over plain HTTP</t>
        </is>
      </c>
      <c r="J46" s="13" t="inlineStr">
        <is>
          <t>Z_bespoke</t>
        </is>
      </c>
      <c r="K46" s="13" t="inlineStr">
        <is>
          <t>Custom/WordPress-hybrid</t>
        </is>
      </c>
      <c r="L46" s="13" t="inlineStr">
        <is>
          <t>retailer_sku</t>
        </is>
      </c>
      <c r="M46" s="13" t="inlineStr">
        <is>
          <t>supermarket</t>
        </is>
      </c>
      <c r="N46" s="13" t="inlineStr">
        <is>
          <t>EUR</t>
        </is>
      </c>
      <c r="O46" s="13" t="n">
        <v>0</v>
      </c>
      <c r="P46" s="13" t="inlineStr">
        <is>
          <t>not found</t>
        </is>
      </c>
      <c r="Q46" s="13" t="inlineStr">
        <is>
          <t>curl 200, 82.7KB, wp-content string found (likely a WP blog section, not necessarily the shop), no prices confirmed on homepage</t>
        </is>
      </c>
      <c r="R46" s="13" t="b">
        <v>0</v>
      </c>
      <c r="S46" s="13" t="inlineStr">
        <is>
          <t>Net-new discovery; upper-Austria regional chain.</t>
        </is>
      </c>
      <c r="T46" s="13" t="inlineStr"/>
    </row>
    <row r="47">
      <c r="A47" s="13" t="inlineStr">
        <is>
          <t>eca</t>
        </is>
      </c>
      <c r="B47" s="13" t="inlineStr">
        <is>
          <t>austria</t>
        </is>
      </c>
      <c r="C47" s="13" t="inlineStr">
        <is>
          <t>ADEG</t>
        </is>
      </c>
      <c r="D47" s="13" t="inlineStr">
        <is>
          <t>https://www.adeg.at/</t>
        </is>
      </c>
      <c r="E47" s="13" t="inlineStr">
        <is>
          <t>TIER_2</t>
        </is>
      </c>
      <c r="F47" s="13" t="inlineStr">
        <is>
          <t>medium</t>
        </is>
      </c>
      <c r="G47" s="13" t="inlineStr">
        <is>
          <t>Wave 5</t>
        </is>
      </c>
      <c r="H47" s="13" t="inlineStr">
        <is>
          <t>spider</t>
        </is>
      </c>
      <c r="I47" s="13" t="inlineStr">
        <is>
          <t>Playwright DISCOVERY pass first - find the internal JSON endpoint, then scrape it over plain HTTP</t>
        </is>
      </c>
      <c r="J47" s="13" t="inlineStr">
        <is>
          <t>Z_bespoke</t>
        </is>
      </c>
      <c r="K47" s="13" t="inlineStr">
        <is>
          <t>Custom</t>
        </is>
      </c>
      <c r="L47" s="13" t="inlineStr">
        <is>
          <t>retailer_sku</t>
        </is>
      </c>
      <c r="M47" s="13" t="inlineStr">
        <is>
          <t>supermarket</t>
        </is>
      </c>
      <c r="N47" s="13" t="inlineStr">
        <is>
          <t>EUR</t>
        </is>
      </c>
      <c r="O47" s="13" t="n">
        <v>0</v>
      </c>
      <c r="P47" s="13" t="inlineStr">
        <is>
          <t>not found</t>
        </is>
      </c>
      <c r="Q47" s="13" t="inlineStr">
        <is>
          <t>curl 200, 53.2KB, no prices confirmed on homepage</t>
        </is>
      </c>
      <c r="R47" s="13" t="b">
        <v>0</v>
      </c>
      <c r="S47" s="13" t="inlineStr">
        <is>
          <t>Net-new discovery; REWE-Austria-owned convenience/rural chain.</t>
        </is>
      </c>
      <c r="T47" s="13" t="inlineStr"/>
    </row>
    <row r="48">
      <c r="A48" s="13" t="inlineStr">
        <is>
          <t>eca</t>
        </is>
      </c>
      <c r="B48" s="13" t="inlineStr">
        <is>
          <t>germany</t>
        </is>
      </c>
      <c r="C48" s="13" t="inlineStr">
        <is>
          <t>Flaschenpost</t>
        </is>
      </c>
      <c r="D48" s="13" t="inlineStr">
        <is>
          <t>https://www.flaschenpost.de/</t>
        </is>
      </c>
      <c r="E48" s="13" t="inlineStr">
        <is>
          <t>TIER_2</t>
        </is>
      </c>
      <c r="F48" s="13" t="inlineStr">
        <is>
          <t>medium</t>
        </is>
      </c>
      <c r="G48" s="13" t="inlineStr">
        <is>
          <t>Wave 5</t>
        </is>
      </c>
      <c r="H48" s="13" t="inlineStr">
        <is>
          <t>spider</t>
        </is>
      </c>
      <c r="I48" s="13" t="inlineStr">
        <is>
          <t>Playwright DISCOVERY pass first - find the internal JSON endpoint, then scrape it over plain HTTP</t>
        </is>
      </c>
      <c r="J48" s="13" t="inlineStr">
        <is>
          <t>Z_bespoke</t>
        </is>
      </c>
      <c r="K48" s="13" t="inlineStr">
        <is>
          <t>Custom</t>
        </is>
      </c>
      <c r="L48" s="13" t="inlineStr">
        <is>
          <t>retailer_sku</t>
        </is>
      </c>
      <c r="M48" s="13" t="inlineStr">
        <is>
          <t>supermarket</t>
        </is>
      </c>
      <c r="N48" s="13" t="inlineStr">
        <is>
          <t>EUR</t>
        </is>
      </c>
      <c r="O48" s="13" t="n">
        <v>0</v>
      </c>
      <c r="P48" s="13" t="inlineStr">
        <is>
          <t>not found</t>
        </is>
      </c>
      <c r="Q48" s="13" t="inlineStr">
        <is>
          <t>curl 200, 2.5MB, no price pattern matched on homepage</t>
        </is>
      </c>
      <c r="R48" s="13" t="b">
        <v>1</v>
      </c>
      <c r="S48" s="13" t="inlineStr">
        <is>
          <t>Beverage specialist per CSV - narrow scope even if resolved, mostly COICOP 02 alcohol/beverage leaves.</t>
        </is>
      </c>
      <c r="T48" s="13" t="inlineStr"/>
    </row>
    <row r="49">
      <c r="A49" s="13" t="inlineStr">
        <is>
          <t>eca</t>
        </is>
      </c>
      <c r="B49" s="13" t="inlineStr">
        <is>
          <t>germany</t>
        </is>
      </c>
      <c r="C49" s="13" t="inlineStr">
        <is>
          <t>Picnic Germany</t>
        </is>
      </c>
      <c r="D49" s="13" t="inlineStr">
        <is>
          <t>https://picnic.app/de/</t>
        </is>
      </c>
      <c r="E49" s="13" t="inlineStr">
        <is>
          <t>TIER_2</t>
        </is>
      </c>
      <c r="F49" s="13" t="inlineStr">
        <is>
          <t>medium</t>
        </is>
      </c>
      <c r="G49" s="13" t="inlineStr">
        <is>
          <t>Wave 5</t>
        </is>
      </c>
      <c r="H49" s="13" t="inlineStr">
        <is>
          <t>spider</t>
        </is>
      </c>
      <c r="I49" s="13" t="inlineStr">
        <is>
          <t>Playwright DISCOVERY pass first - find the internal JSON endpoint, then scrape it over plain HTTP</t>
        </is>
      </c>
      <c r="J49" s="13" t="inlineStr">
        <is>
          <t>Z_bespoke</t>
        </is>
      </c>
      <c r="K49" s="13" t="inlineStr">
        <is>
          <t>Custom</t>
        </is>
      </c>
      <c r="L49" s="13" t="inlineStr">
        <is>
          <t>retailer_sku</t>
        </is>
      </c>
      <c r="M49" s="13" t="inlineStr">
        <is>
          <t>supermarket</t>
        </is>
      </c>
      <c r="N49" s="13" t="inlineStr">
        <is>
          <t>EUR</t>
        </is>
      </c>
      <c r="O49" s="13" t="n">
        <v>0</v>
      </c>
      <c r="P49" s="13" t="inlineStr">
        <is>
          <t>not checked</t>
        </is>
      </c>
      <c r="Q49" s="13" t="inlineStr">
        <is>
          <t>curl 200, 57KB, real supermarket landing page (not blocked), prices not checked within budget</t>
        </is>
      </c>
      <c r="R49" s="13" t="b">
        <v>1</v>
      </c>
      <c r="S49" s="13" t="inlineStr">
        <is>
          <t>-</t>
        </is>
      </c>
      <c r="T49" s="13" t="inlineStr"/>
    </row>
    <row r="50">
      <c r="A50" s="13" t="inlineStr">
        <is>
          <t>eca</t>
        </is>
      </c>
      <c r="B50" s="13" t="inlineStr">
        <is>
          <t>germany</t>
        </is>
      </c>
      <c r="C50" s="13" t="inlineStr">
        <is>
          <t>getnow.de</t>
        </is>
      </c>
      <c r="D50" s="13" t="inlineStr">
        <is>
          <t>https://www.getnow.de/</t>
        </is>
      </c>
      <c r="E50" s="13" t="inlineStr">
        <is>
          <t>TIER_2</t>
        </is>
      </c>
      <c r="F50" s="13" t="inlineStr">
        <is>
          <t>medium</t>
        </is>
      </c>
      <c r="G50" s="13" t="inlineStr">
        <is>
          <t>Wave 5</t>
        </is>
      </c>
      <c r="H50" s="13" t="inlineStr">
        <is>
          <t>spider</t>
        </is>
      </c>
      <c r="I50" s="13" t="inlineStr">
        <is>
          <t>Playwright DISCOVERY pass first - find the internal JSON endpoint, then scrape it over plain HTTP</t>
        </is>
      </c>
      <c r="J50" s="13" t="inlineStr">
        <is>
          <t>Z_bespoke</t>
        </is>
      </c>
      <c r="K50" s="13" t="inlineStr">
        <is>
          <t>Custom</t>
        </is>
      </c>
      <c r="L50" s="13" t="inlineStr">
        <is>
          <t>retailer_sku</t>
        </is>
      </c>
      <c r="M50" s="13" t="inlineStr">
        <is>
          <t>supermarket</t>
        </is>
      </c>
      <c r="N50" s="13" t="inlineStr">
        <is>
          <t>EUR</t>
        </is>
      </c>
      <c r="O50" s="13" t="n">
        <v>0</v>
      </c>
      <c r="P50" s="13" t="inlineStr">
        <is>
          <t>not resolved</t>
        </is>
      </c>
      <c r="Q50" s="13" t="inlineStr">
        <is>
          <t>curl 301 redirect, not fully resolved within budget</t>
        </is>
      </c>
      <c r="R50" s="13" t="b">
        <v>1</v>
      </c>
      <c r="S50" s="13" t="inlineStr">
        <is>
          <t>METRO-supplied online supermarket per CSV.</t>
        </is>
      </c>
      <c r="T50" s="13" t="inlineStr"/>
    </row>
    <row r="51">
      <c r="A51" s="13" t="inlineStr">
        <is>
          <t>eca</t>
        </is>
      </c>
      <c r="B51" s="13" t="inlineStr">
        <is>
          <t>kazakhstan</t>
        </is>
      </c>
      <c r="C51" s="13" t="inlineStr">
        <is>
          <t>Arbuz.kz</t>
        </is>
      </c>
      <c r="D51" s="13" t="inlineStr">
        <is>
          <t>https://arbuz.kz/</t>
        </is>
      </c>
      <c r="E51" s="13" t="inlineStr">
        <is>
          <t>TIER_2</t>
        </is>
      </c>
      <c r="F51" s="13" t="inlineStr">
        <is>
          <t>medium</t>
        </is>
      </c>
      <c r="G51" s="13" t="inlineStr">
        <is>
          <t>Wave 5</t>
        </is>
      </c>
      <c r="H51" s="13" t="inlineStr">
        <is>
          <t>spider</t>
        </is>
      </c>
      <c r="I51" s="13" t="inlineStr">
        <is>
          <t>Playwright DISCOVERY pass first - find the internal JSON endpoint, then scrape it over plain HTTP</t>
        </is>
      </c>
      <c r="J51" s="13" t="inlineStr">
        <is>
          <t>Z_bespoke</t>
        </is>
      </c>
      <c r="K51" s="13" t="inlineStr">
        <is>
          <t>Custom</t>
        </is>
      </c>
      <c r="L51" s="13" t="inlineStr">
        <is>
          <t>retailer_sku</t>
        </is>
      </c>
      <c r="M51" s="13" t="inlineStr">
        <is>
          <t>supermarket</t>
        </is>
      </c>
      <c r="N51" s="13" t="inlineStr">
        <is>
          <t>KZT</t>
        </is>
      </c>
      <c r="O51" s="13" t="n">
        <v>0</v>
      </c>
      <c r="P51" s="13" t="inlineStr">
        <is>
          <t>not found</t>
        </is>
      </c>
      <c r="Q51" s="13" t="inlineStr">
        <is>
          <t>curl 200, 1.03MB homepage, no catalog links or price pattern matched</t>
        </is>
      </c>
      <c r="R51" s="13" t="b">
        <v>1</v>
      </c>
      <c r="S51" s="13" t="inlineStr">
        <is>
          <t>Major national online grocer per CSV; needs a category-page probe.</t>
        </is>
      </c>
      <c r="T51" s="13" t="inlineStr"/>
    </row>
    <row r="52">
      <c r="A52" s="13" t="inlineStr">
        <is>
          <t>eca</t>
        </is>
      </c>
      <c r="B52" s="13" t="inlineStr">
        <is>
          <t>kazakhstan</t>
        </is>
      </c>
      <c r="C52" s="13" t="inlineStr">
        <is>
          <t>Instashop.kz</t>
        </is>
      </c>
      <c r="D52" s="13" t="inlineStr">
        <is>
          <t>https://instashop.kz/en/almaty/stores</t>
        </is>
      </c>
      <c r="E52" s="13" t="inlineStr">
        <is>
          <t>TIER_2</t>
        </is>
      </c>
      <c r="F52" s="13" t="inlineStr">
        <is>
          <t>medium</t>
        </is>
      </c>
      <c r="G52" s="13" t="inlineStr">
        <is>
          <t>Wave 5</t>
        </is>
      </c>
      <c r="H52" s="13" t="inlineStr">
        <is>
          <t>fetcher</t>
        </is>
      </c>
      <c r="I52" s="13" t="inlineStr">
        <is>
          <t>Playwright DISCOVERY pass first - find the internal JSON endpoint, then scrape it over plain HTTP</t>
        </is>
      </c>
      <c r="J52" s="13" t="inlineStr">
        <is>
          <t>Z_bespoke</t>
        </is>
      </c>
      <c r="K52" s="13" t="inlineStr">
        <is>
          <t>Custom</t>
        </is>
      </c>
      <c r="L52" s="13" t="inlineStr">
        <is>
          <t>aggregate_proxy</t>
        </is>
      </c>
      <c r="M52" s="13" t="inlineStr">
        <is>
          <t>aggregator</t>
        </is>
      </c>
      <c r="N52" s="13" t="inlineStr">
        <is>
          <t>KZT</t>
        </is>
      </c>
      <c r="O52" s="13" t="n">
        <v>0</v>
      </c>
      <c r="P52" s="13" t="inlineStr">
        <is>
          <t>not found (store list only)</t>
        </is>
      </c>
      <c r="Q52" s="13" t="inlineStr">
        <is>
          <t>curl 200, 60KB - this is the store directory page (by design, no product prices here); need a per-store product listing URL</t>
        </is>
      </c>
      <c r="R52" s="13" t="b">
        <v>1</v>
      </c>
      <c r="S52" s="13" t="inlineStr">
        <is>
          <t>51+ Almaty stores incl. traditional bazaar verticals (Green bazar, Turksib) alongside supermarkets - formal/informal price-gap potential once a store's product page is found.</t>
        </is>
      </c>
      <c r="T52" s="13" t="inlineStr"/>
    </row>
    <row r="53">
      <c r="A53" s="13" t="inlineStr">
        <is>
          <t>eca</t>
        </is>
      </c>
      <c r="B53" s="13" t="inlineStr">
        <is>
          <t>kazakhstan</t>
        </is>
      </c>
      <c r="C53" s="13" t="inlineStr">
        <is>
          <t>Magnum</t>
        </is>
      </c>
      <c r="D53" s="13" t="inlineStr">
        <is>
          <t>https://magnum.kz/</t>
        </is>
      </c>
      <c r="E53" s="13" t="inlineStr">
        <is>
          <t>TIER_2</t>
        </is>
      </c>
      <c r="F53" s="13" t="inlineStr">
        <is>
          <t>medium</t>
        </is>
      </c>
      <c r="G53" s="13" t="inlineStr">
        <is>
          <t>Wave 5</t>
        </is>
      </c>
      <c r="H53" s="13" t="inlineStr">
        <is>
          <t>spider</t>
        </is>
      </c>
      <c r="I53" s="13" t="inlineStr">
        <is>
          <t>Playwright DISCOVERY pass first - find the internal JSON endpoint, then scrape it over plain HTTP</t>
        </is>
      </c>
      <c r="J53" s="13" t="inlineStr">
        <is>
          <t>Z_bespoke</t>
        </is>
      </c>
      <c r="K53" s="13" t="inlineStr">
        <is>
          <t>Nuxt</t>
        </is>
      </c>
      <c r="L53" s="13" t="inlineStr">
        <is>
          <t>retailer_sku</t>
        </is>
      </c>
      <c r="M53" s="13" t="inlineStr">
        <is>
          <t>supermarket</t>
        </is>
      </c>
      <c r="N53" s="13" t="inlineStr">
        <is>
          <t>KZT</t>
        </is>
      </c>
      <c r="O53" s="13" t="n">
        <v>0</v>
      </c>
      <c r="P53" s="13" t="inlineStr">
        <is>
          <t>not found</t>
        </is>
      </c>
      <c r="Q53" s="13" t="inlineStr">
        <is>
          <t>curl 200, 748KB, Nuxt detected, no price pattern matched on homepage</t>
        </is>
      </c>
      <c r="R53" s="13" t="b">
        <v>1</v>
      </c>
      <c r="S53" s="13" t="inlineStr">
        <is>
          <t>Largest Kazakh chain per CSV, 200+ branches; Kazakh/Russian bilingual names.</t>
        </is>
      </c>
      <c r="T53" s="13" t="inlineStr"/>
    </row>
    <row r="54">
      <c r="A54" s="13" t="inlineStr">
        <is>
          <t>eca</t>
        </is>
      </c>
      <c r="B54" s="13" t="inlineStr">
        <is>
          <t>kazakhstan</t>
        </is>
      </c>
      <c r="C54" s="13" t="inlineStr">
        <is>
          <t>MagnumOpt (wholesale)</t>
        </is>
      </c>
      <c r="D54" s="13" t="inlineStr">
        <is>
          <t>https://magnumopt.kz/</t>
        </is>
      </c>
      <c r="E54" s="13" t="inlineStr">
        <is>
          <t>TIER_2</t>
        </is>
      </c>
      <c r="F54" s="13" t="inlineStr">
        <is>
          <t>medium</t>
        </is>
      </c>
      <c r="G54" s="13" t="inlineStr">
        <is>
          <t>Wave 5</t>
        </is>
      </c>
      <c r="H54" s="13" t="inlineStr">
        <is>
          <t>fetcher</t>
        </is>
      </c>
      <c r="I54" s="13" t="inlineStr">
        <is>
          <t>Playwright DISCOVERY pass first - find the internal JSON endpoint, then scrape it over plain HTTP</t>
        </is>
      </c>
      <c r="J54" s="13" t="inlineStr">
        <is>
          <t>Z_bespoke</t>
        </is>
      </c>
      <c r="K54" s="13" t="inlineStr">
        <is>
          <t>Custom</t>
        </is>
      </c>
      <c r="L54" s="13" t="inlineStr">
        <is>
          <t>wholesale_avg</t>
        </is>
      </c>
      <c r="M54" s="13" t="inlineStr">
        <is>
          <t>wholesale</t>
        </is>
      </c>
      <c r="N54" s="13" t="inlineStr">
        <is>
          <t>KZT</t>
        </is>
      </c>
      <c r="O54" s="13" t="n">
        <v>0</v>
      </c>
      <c r="P54" s="13" t="inlineStr">
        <is>
          <t>not found</t>
        </is>
      </c>
      <c r="Q54" s="13" t="inlineStr">
        <is>
          <t>curl 200, 466KB homepage, no price pattern matched</t>
        </is>
      </c>
      <c r="R54" s="13" t="b">
        <v>1</v>
      </c>
      <c r="S54" s="13" t="inlineStr">
        <is>
          <t>Magnum's wholesale arm; CSV notes some pricing may need registration.</t>
        </is>
      </c>
      <c r="T54" s="13" t="inlineStr"/>
    </row>
    <row r="55">
      <c r="A55" s="13" t="inlineStr">
        <is>
          <t>eca</t>
        </is>
      </c>
      <c r="B55" s="13" t="inlineStr">
        <is>
          <t>kazakhstan</t>
        </is>
      </c>
      <c r="C55" s="13" t="inlineStr">
        <is>
          <t>Wolt Kazakhstan</t>
        </is>
      </c>
      <c r="D55" s="13" t="inlineStr">
        <is>
          <t>https://wolt.com/en/kaz/almaty/category/supermarkets</t>
        </is>
      </c>
      <c r="E55" s="13" t="inlineStr">
        <is>
          <t>TIER_2</t>
        </is>
      </c>
      <c r="F55" s="13" t="inlineStr">
        <is>
          <t>medium</t>
        </is>
      </c>
      <c r="G55" s="13" t="inlineStr">
        <is>
          <t>Wave 5</t>
        </is>
      </c>
      <c r="H55" s="13" t="inlineStr">
        <is>
          <t>fetcher</t>
        </is>
      </c>
      <c r="I55" s="13" t="inlineStr">
        <is>
          <t>Playwright DISCOVERY pass first - find the internal JSON endpoint, then scrape it over plain HTTP</t>
        </is>
      </c>
      <c r="J55" s="13" t="inlineStr">
        <is>
          <t>Z_bespoke</t>
        </is>
      </c>
      <c r="K55" s="13" t="inlineStr">
        <is>
          <t>React SPA</t>
        </is>
      </c>
      <c r="L55" s="13" t="inlineStr">
        <is>
          <t>aggregate_proxy</t>
        </is>
      </c>
      <c r="M55" s="13" t="inlineStr">
        <is>
          <t>aggregator</t>
        </is>
      </c>
      <c r="N55" s="13" t="inlineStr">
        <is>
          <t>KZT</t>
        </is>
      </c>
      <c r="O55" s="13" t="n">
        <v>0</v>
      </c>
      <c r="P55" s="13" t="inlineStr">
        <is>
          <t>SPA - needs Playwright render</t>
        </is>
      </c>
      <c r="Q55" s="13" t="inlineStr">
        <is>
          <t>curl 200, 1.79MB SPA shell; prices render as 'KZT0' placeholder pre-hydration - needs Playwright</t>
        </is>
      </c>
      <c r="R55" s="13" t="b">
        <v>1</v>
      </c>
      <c r="S55" s="13" t="inlineStr">
        <is>
          <t>Enumerates SMALL, TOIMART, Kulikov, damdala, M-Mart, A-Store, Birge Mart, Ruby Market, VkusVill, Eurospar, FlaminGo per CSV.</t>
        </is>
      </c>
      <c r="T55" s="13" t="inlineStr"/>
    </row>
    <row r="56">
      <c r="A56" s="13" t="inlineStr">
        <is>
          <t>eca</t>
        </is>
      </c>
      <c r="B56" s="13" t="inlineStr">
        <is>
          <t>serbia</t>
        </is>
      </c>
      <c r="C56" s="13" t="inlineStr">
        <is>
          <t>IDEA online</t>
        </is>
      </c>
      <c r="D56" s="13" t="inlineStr">
        <is>
          <t>https://online.idea.rs/</t>
        </is>
      </c>
      <c r="E56" s="13" t="inlineStr">
        <is>
          <t>TIER_2</t>
        </is>
      </c>
      <c r="F56" s="13" t="inlineStr">
        <is>
          <t>medium</t>
        </is>
      </c>
      <c r="G56" s="13" t="inlineStr">
        <is>
          <t>Wave 5</t>
        </is>
      </c>
      <c r="H56" s="13" t="inlineStr">
        <is>
          <t>spider</t>
        </is>
      </c>
      <c r="I56" s="13" t="inlineStr">
        <is>
          <t>Playwright DISCOVERY pass first - find the internal JSON endpoint, then scrape it over plain HTTP</t>
        </is>
      </c>
      <c r="J56" s="13" t="inlineStr">
        <is>
          <t>Z_bespoke</t>
        </is>
      </c>
      <c r="K56" s="13" t="inlineStr">
        <is>
          <t>AngularJS</t>
        </is>
      </c>
      <c r="L56" s="13" t="inlineStr">
        <is>
          <t>retailer_sku</t>
        </is>
      </c>
      <c r="M56" s="13" t="inlineStr">
        <is>
          <t>supermarket</t>
        </is>
      </c>
      <c r="N56" s="13" t="inlineStr">
        <is>
          <t>RSD</t>
        </is>
      </c>
      <c r="O56" s="13" t="n">
        <v>0</v>
      </c>
      <c r="P56" s="13" t="inlineStr">
        <is>
          <t>SPA, needs render</t>
        </is>
      </c>
      <c r="Q56" s="13" t="inlineStr">
        <is>
          <t>curl 200, only 5.5KB (AngularJS app shell, ng-app='im.webshop.ideaRsWsm') - needs Playwright render</t>
        </is>
      </c>
      <c r="R56" s="13" t="b">
        <v>1</v>
      </c>
      <c r="S56" s="13" t="inlineStr">
        <is>
          <t>-</t>
        </is>
      </c>
      <c r="T56" s="13" t="inlineStr"/>
    </row>
    <row r="57">
      <c r="A57" s="13" t="inlineStr">
        <is>
          <t>eca</t>
        </is>
      </c>
      <c r="B57" s="13" t="inlineStr">
        <is>
          <t>serbia</t>
        </is>
      </c>
      <c r="C57" s="13" t="inlineStr">
        <is>
          <t>Roda</t>
        </is>
      </c>
      <c r="D57" s="13" t="inlineStr">
        <is>
          <t>https://roda.rs/</t>
        </is>
      </c>
      <c r="E57" s="13" t="inlineStr">
        <is>
          <t>TIER_2</t>
        </is>
      </c>
      <c r="F57" s="13" t="inlineStr">
        <is>
          <t>medium</t>
        </is>
      </c>
      <c r="G57" s="13" t="inlineStr">
        <is>
          <t>Wave 5</t>
        </is>
      </c>
      <c r="H57" s="13" t="inlineStr">
        <is>
          <t>spider</t>
        </is>
      </c>
      <c r="I57" s="13" t="inlineStr">
        <is>
          <t>Playwright DISCOVERY pass first - find the internal JSON endpoint, then scrape it over plain HTTP</t>
        </is>
      </c>
      <c r="J57" s="13" t="inlineStr">
        <is>
          <t>Z_bespoke</t>
        </is>
      </c>
      <c r="K57" s="13" t="inlineStr">
        <is>
          <t>Next.js</t>
        </is>
      </c>
      <c r="L57" s="13" t="inlineStr">
        <is>
          <t>retailer_sku</t>
        </is>
      </c>
      <c r="M57" s="13" t="inlineStr">
        <is>
          <t>supermarket</t>
        </is>
      </c>
      <c r="N57" s="13" t="inlineStr">
        <is>
          <t>RSD</t>
        </is>
      </c>
      <c r="O57" s="13" t="n">
        <v>0</v>
      </c>
      <c r="P57" s="13" t="inlineStr">
        <is>
          <t>not found</t>
        </is>
      </c>
      <c r="Q57" s="13" t="inlineStr">
        <is>
          <t>curl 200, 237KB, __NEXT_DATA__ + wp-content mixed signals; regex matches on homepage were installment-plan copy ('Minimalni iznos rate: 1.000 RSD'), not product prices</t>
        </is>
      </c>
      <c r="R57" s="13" t="b">
        <v>1</v>
      </c>
      <c r="S57" s="13" t="inlineStr">
        <is>
          <t>IDEA-group banner with dated weekly catalogues per CSV.</t>
        </is>
      </c>
      <c r="T57" s="13" t="inlineStr"/>
    </row>
    <row r="58">
      <c r="A58" s="13" t="inlineStr">
        <is>
          <t>eca</t>
        </is>
      </c>
      <c r="B58" s="13" t="inlineStr">
        <is>
          <t>serbia</t>
        </is>
      </c>
      <c r="C58" s="13" t="inlineStr">
        <is>
          <t>eLakolije (Univerexport)</t>
        </is>
      </c>
      <c r="D58" s="13" t="inlineStr">
        <is>
          <t>https://elakolije.rs/</t>
        </is>
      </c>
      <c r="E58" s="13" t="inlineStr">
        <is>
          <t>TIER_2</t>
        </is>
      </c>
      <c r="F58" s="13" t="inlineStr">
        <is>
          <t>medium</t>
        </is>
      </c>
      <c r="G58" s="13" t="inlineStr">
        <is>
          <t>Wave 5</t>
        </is>
      </c>
      <c r="H58" s="13" t="inlineStr">
        <is>
          <t>spider</t>
        </is>
      </c>
      <c r="I58" s="13" t="inlineStr">
        <is>
          <t>Playwright DISCOVERY pass first - find the internal JSON endpoint, then scrape it over plain HTTP</t>
        </is>
      </c>
      <c r="J58" s="13" t="inlineStr">
        <is>
          <t>Z_bespoke</t>
        </is>
      </c>
      <c r="K58" s="13" t="inlineStr">
        <is>
          <t>Custom</t>
        </is>
      </c>
      <c r="L58" s="13" t="inlineStr">
        <is>
          <t>retailer_sku</t>
        </is>
      </c>
      <c r="M58" s="13" t="inlineStr">
        <is>
          <t>supermarket</t>
        </is>
      </c>
      <c r="N58" s="13" t="inlineStr">
        <is>
          <t>RSD</t>
        </is>
      </c>
      <c r="O58" s="13" t="n">
        <v>0</v>
      </c>
      <c r="P58" s="13" t="inlineStr">
        <is>
          <t>not found</t>
        </is>
      </c>
      <c r="Q58" s="13" t="inlineStr">
        <is>
          <t>curl 200, 151KB, no price pattern or category names matched</t>
        </is>
      </c>
      <c r="R58" s="13" t="b">
        <v>1</v>
      </c>
      <c r="S58" s="13" t="inlineStr">
        <is>
          <t>Largest domestic Serbian chain per CSV (190+ stores), owns its own meat/organic farm - would be a strong get if resolved.</t>
        </is>
      </c>
      <c r="T58" s="13" t="inlineStr"/>
    </row>
    <row r="59">
      <c r="A59" s="13" t="inlineStr">
        <is>
          <t>eca</t>
        </is>
      </c>
      <c r="B59" s="13" t="inlineStr">
        <is>
          <t>serbia</t>
        </is>
      </c>
      <c r="C59" s="13" t="inlineStr">
        <is>
          <t>Mercator Serbia</t>
        </is>
      </c>
      <c r="D59" s="13" t="inlineStr">
        <is>
          <t>https://www.mercator.rs/</t>
        </is>
      </c>
      <c r="E59" s="13" t="inlineStr">
        <is>
          <t>TIER_2</t>
        </is>
      </c>
      <c r="F59" s="13" t="inlineStr">
        <is>
          <t>medium</t>
        </is>
      </c>
      <c r="G59" s="13" t="inlineStr">
        <is>
          <t>Wave 5</t>
        </is>
      </c>
      <c r="H59" s="13" t="inlineStr">
        <is>
          <t>spider</t>
        </is>
      </c>
      <c r="I59" s="13" t="inlineStr">
        <is>
          <t>Playwright DISCOVERY pass first - find the internal JSON endpoint, then scrape it over plain HTTP</t>
        </is>
      </c>
      <c r="J59" s="13" t="inlineStr">
        <is>
          <t>Z_bespoke</t>
        </is>
      </c>
      <c r="K59" s="13" t="inlineStr">
        <is>
          <t>Custom</t>
        </is>
      </c>
      <c r="L59" s="13" t="inlineStr">
        <is>
          <t>retailer_sku</t>
        </is>
      </c>
      <c r="M59" s="13" t="inlineStr">
        <is>
          <t>supermarket</t>
        </is>
      </c>
      <c r="N59" s="13" t="inlineStr">
        <is>
          <t>RSD</t>
        </is>
      </c>
      <c r="O59" s="13" t="n">
        <v>0</v>
      </c>
      <c r="P59" s="13" t="inlineStr">
        <is>
          <t>not found</t>
        </is>
      </c>
      <c r="Q59" s="13" t="inlineStr">
        <is>
          <t>curl 200, 44.4KB (small - likely corporate landing, not the shop)</t>
        </is>
      </c>
      <c r="R59" s="13" t="b">
        <v>1</v>
      </c>
      <c r="S59" s="13" t="inlineStr">
        <is>
          <t>CSV itself flags 'may redirect to IDEA; confirm independence' - probe suggests this may indeed just be a corporate/brand page.</t>
        </is>
      </c>
      <c r="T59" s="13" t="inlineStr"/>
    </row>
    <row r="60">
      <c r="A60" s="13" t="inlineStr">
        <is>
          <t>eca</t>
        </is>
      </c>
      <c r="B60" s="13" t="inlineStr">
        <is>
          <t>serbia</t>
        </is>
      </c>
      <c r="C60" s="13" t="inlineStr">
        <is>
          <t>Lidl Serbia</t>
        </is>
      </c>
      <c r="D60" s="13" t="inlineStr">
        <is>
          <t>https://www.lidl.rs/</t>
        </is>
      </c>
      <c r="E60" s="13" t="inlineStr">
        <is>
          <t>TIER_2</t>
        </is>
      </c>
      <c r="F60" s="13" t="inlineStr">
        <is>
          <t>medium</t>
        </is>
      </c>
      <c r="G60" s="13" t="inlineStr">
        <is>
          <t>Wave 5</t>
        </is>
      </c>
      <c r="H60" s="13" t="inlineStr">
        <is>
          <t>spider</t>
        </is>
      </c>
      <c r="I60" s="13" t="inlineStr">
        <is>
          <t>Playwright DISCOVERY pass first - find the internal JSON endpoint, then scrape it over plain HTTP</t>
        </is>
      </c>
      <c r="J60" s="13" t="inlineStr">
        <is>
          <t>Z_bespoke</t>
        </is>
      </c>
      <c r="K60" s="13" t="inlineStr">
        <is>
          <t>Nuxt</t>
        </is>
      </c>
      <c r="L60" s="13" t="inlineStr">
        <is>
          <t>retailer_sku</t>
        </is>
      </c>
      <c r="M60" s="13" t="inlineStr">
        <is>
          <t>supermarket</t>
        </is>
      </c>
      <c r="N60" s="13" t="inlineStr">
        <is>
          <t>RSD</t>
        </is>
      </c>
      <c r="O60" s="13" t="n">
        <v>0</v>
      </c>
      <c r="P60" s="13" t="inlineStr">
        <is>
          <t>not found</t>
        </is>
      </c>
      <c r="Q60" s="13" t="inlineStr">
        <is>
          <t>curl 200, 368KB, Nuxt detected, only non-food category names matched in nav grep (auto, garden, DIY) - no F&amp;B categories visible without render</t>
        </is>
      </c>
      <c r="R60" s="13" t="b">
        <v>1</v>
      </c>
      <c r="S60" s="13" t="inlineStr">
        <is>
          <t>Leaflet-led promo pattern per CSV.</t>
        </is>
      </c>
      <c r="T60" s="13" t="inlineStr"/>
    </row>
    <row r="61">
      <c r="A61" s="13" t="inlineStr">
        <is>
          <t>eca</t>
        </is>
      </c>
      <c r="B61" s="13" t="inlineStr">
        <is>
          <t>serbia</t>
        </is>
      </c>
      <c r="C61" s="13" t="inlineStr">
        <is>
          <t>Wolt Serbia</t>
        </is>
      </c>
      <c r="D61" s="13" t="inlineStr">
        <is>
          <t>https://wolt.com/en/srb/belgrade/category/grocery</t>
        </is>
      </c>
      <c r="E61" s="13" t="inlineStr">
        <is>
          <t>TIER_2</t>
        </is>
      </c>
      <c r="F61" s="13" t="inlineStr">
        <is>
          <t>medium</t>
        </is>
      </c>
      <c r="G61" s="13" t="inlineStr">
        <is>
          <t>Wave 5</t>
        </is>
      </c>
      <c r="H61" s="13" t="inlineStr">
        <is>
          <t>fetcher</t>
        </is>
      </c>
      <c r="I61" s="13" t="inlineStr">
        <is>
          <t>Playwright DISCOVERY pass first - find the internal JSON endpoint, then scrape it over plain HTTP</t>
        </is>
      </c>
      <c r="J61" s="13" t="inlineStr">
        <is>
          <t>Z_bespoke</t>
        </is>
      </c>
      <c r="K61" s="13" t="inlineStr">
        <is>
          <t>React SPA</t>
        </is>
      </c>
      <c r="L61" s="13" t="inlineStr">
        <is>
          <t>aggregate_proxy</t>
        </is>
      </c>
      <c r="M61" s="13" t="inlineStr">
        <is>
          <t>aggregator</t>
        </is>
      </c>
      <c r="N61" s="13" t="inlineStr">
        <is>
          <t>RSD</t>
        </is>
      </c>
      <c r="O61" s="13" t="n">
        <v>0</v>
      </c>
      <c r="P61" s="13" t="inlineStr">
        <is>
          <t>SPA - needs Playwright render</t>
        </is>
      </c>
      <c r="Q61" s="13" t="inlineStr">
        <is>
          <t>curl 200, 1.79MB SPA, prices did not resolve to real values in raw regex (placeholder pattern)</t>
        </is>
      </c>
      <c r="R61" s="13" t="b">
        <v>1</v>
      </c>
      <c r="S61" s="13" t="inlineStr">
        <is>
          <t>Enumerates Maxi and partners across 14 Serbian cities per CSV.</t>
        </is>
      </c>
      <c r="T61" s="13" t="inlineStr"/>
    </row>
    <row r="62">
      <c r="A62" s="13" t="inlineStr">
        <is>
          <t>eca</t>
        </is>
      </c>
      <c r="B62" s="13" t="inlineStr">
        <is>
          <t>slovenia</t>
        </is>
      </c>
      <c r="C62" s="13" t="inlineStr">
        <is>
          <t>Spar Slovenia</t>
        </is>
      </c>
      <c r="D62" s="13" t="inlineStr">
        <is>
          <t>https://www.spar.si/online</t>
        </is>
      </c>
      <c r="E62" s="13" t="inlineStr">
        <is>
          <t>TIER_2</t>
        </is>
      </c>
      <c r="F62" s="13" t="inlineStr">
        <is>
          <t>medium</t>
        </is>
      </c>
      <c r="G62" s="13" t="inlineStr">
        <is>
          <t>Wave 5</t>
        </is>
      </c>
      <c r="H62" s="13" t="inlineStr">
        <is>
          <t>spider</t>
        </is>
      </c>
      <c r="I62" s="13" t="inlineStr">
        <is>
          <t>Playwright DISCOVERY pass first - find the internal JSON endpoint, then scrape it over plain HTTP</t>
        </is>
      </c>
      <c r="J62" s="13" t="inlineStr">
        <is>
          <t>Z_bespoke</t>
        </is>
      </c>
      <c r="K62" s="13" t="inlineStr">
        <is>
          <t>Custom</t>
        </is>
      </c>
      <c r="L62" s="13" t="inlineStr">
        <is>
          <t>retailer_sku</t>
        </is>
      </c>
      <c r="M62" s="13" t="inlineStr">
        <is>
          <t>supermarket</t>
        </is>
      </c>
      <c r="N62" s="13" t="inlineStr">
        <is>
          <t>EUR</t>
        </is>
      </c>
      <c r="O62" s="13" t="n">
        <v>0</v>
      </c>
      <c r="P62" s="13" t="inlineStr">
        <is>
          <t>not found</t>
        </is>
      </c>
      <c r="Q62" s="13" t="inlineStr">
        <is>
          <t>curl 200, 1.33MB homepage, no price pattern matched</t>
        </is>
      </c>
      <c r="R62" s="13" t="b">
        <v>1</v>
      </c>
      <c r="S62" s="13" t="inlineStr">
        <is>
          <t>-</t>
        </is>
      </c>
      <c r="T62" s="13" t="inlineStr"/>
    </row>
    <row r="63">
      <c r="A63" s="13" t="inlineStr">
        <is>
          <t>eca</t>
        </is>
      </c>
      <c r="B63" s="13" t="inlineStr">
        <is>
          <t>switzerland</t>
        </is>
      </c>
      <c r="C63" s="13" t="inlineStr">
        <is>
          <t>Rappn (aggregator)</t>
        </is>
      </c>
      <c r="D63" s="13" t="inlineStr">
        <is>
          <t>https://rappn.ch/</t>
        </is>
      </c>
      <c r="E63" s="13" t="inlineStr">
        <is>
          <t>TIER_2</t>
        </is>
      </c>
      <c r="F63" s="13" t="inlineStr">
        <is>
          <t>medium</t>
        </is>
      </c>
      <c r="G63" s="13" t="inlineStr">
        <is>
          <t>Wave 5</t>
        </is>
      </c>
      <c r="H63" s="13" t="inlineStr">
        <is>
          <t>fetcher</t>
        </is>
      </c>
      <c r="I63" s="13" t="inlineStr">
        <is>
          <t>Playwright DISCOVERY pass first - find the internal JSON endpoint, then scrape it over plain HTTP</t>
        </is>
      </c>
      <c r="J63" s="13" t="inlineStr">
        <is>
          <t>Z_bespoke</t>
        </is>
      </c>
      <c r="K63" s="13" t="inlineStr">
        <is>
          <t>Custom</t>
        </is>
      </c>
      <c r="L63" s="13" t="inlineStr">
        <is>
          <t>aggregate_proxy</t>
        </is>
      </c>
      <c r="M63" s="13" t="inlineStr">
        <is>
          <t>aggregator</t>
        </is>
      </c>
      <c r="N63" s="13" t="inlineStr">
        <is>
          <t>CHF</t>
        </is>
      </c>
      <c r="O63" s="13" t="n">
        <v>0</v>
      </c>
      <c r="P63" s="13" t="inlineStr">
        <is>
          <t>not isolated to per-SKU level</t>
        </is>
      </c>
      <c r="Q63" s="13" t="inlineStr">
        <is>
          <t>curl 200, 525KB, real basket-comparison prices in raw HTML: 'CHF 2,00', 'CHF 609.28', 'CHF 230.94' - these read as basket totals/comparison figures, not confirmed as individual per-SKU prices</t>
        </is>
      </c>
      <c r="R63" s="13" t="b">
        <v>1</v>
      </c>
      <c r="S63" s="13" t="inlineStr">
        <is>
          <t>Neutral Swiss grocery comparator per CSV, no retailer commercial ties - would need per-SKU breakdown, not just basket totals.</t>
        </is>
      </c>
      <c r="T63" s="13" t="inlineStr"/>
    </row>
    <row r="64">
      <c r="A64" s="13" t="inlineStr">
        <is>
          <t>eca</t>
        </is>
      </c>
      <c r="B64" s="13" t="inlineStr">
        <is>
          <t>switzerland</t>
        </is>
      </c>
      <c r="C64" s="13" t="inlineStr">
        <is>
          <t>Aldi now</t>
        </is>
      </c>
      <c r="D64" s="13" t="inlineStr">
        <is>
          <t>https://www.aldi-now.ch/</t>
        </is>
      </c>
      <c r="E64" s="13" t="inlineStr">
        <is>
          <t>TIER_2</t>
        </is>
      </c>
      <c r="F64" s="13" t="inlineStr">
        <is>
          <t>medium</t>
        </is>
      </c>
      <c r="G64" s="13" t="inlineStr">
        <is>
          <t>Wave 5</t>
        </is>
      </c>
      <c r="H64" s="13" t="inlineStr">
        <is>
          <t>spider</t>
        </is>
      </c>
      <c r="I64" s="13" t="inlineStr">
        <is>
          <t>Playwright DISCOVERY pass first - find the internal JSON endpoint, then scrape it over plain HTTP</t>
        </is>
      </c>
      <c r="J64" s="13" t="inlineStr">
        <is>
          <t>Z_bespoke</t>
        </is>
      </c>
      <c r="K64" s="13" t="inlineStr">
        <is>
          <t>Custom</t>
        </is>
      </c>
      <c r="L64" s="13" t="inlineStr">
        <is>
          <t>retailer_sku</t>
        </is>
      </c>
      <c r="M64" s="13" t="inlineStr">
        <is>
          <t>supermarket</t>
        </is>
      </c>
      <c r="N64" s="13" t="inlineStr">
        <is>
          <t>CHF</t>
        </is>
      </c>
      <c r="O64" s="13" t="n">
        <v>0</v>
      </c>
      <c r="P64" s="13" t="inlineStr">
        <is>
          <t>not found</t>
        </is>
      </c>
      <c r="Q64" s="13" t="inlineStr">
        <is>
          <t>curl 200, 1.0MB, only price-like match was 'CHF 50.00' minimum-order-value copy, not a product price</t>
        </is>
      </c>
      <c r="R64" s="13" t="b">
        <v>1</v>
      </c>
      <c r="S64" s="13" t="inlineStr">
        <is>
          <t>-</t>
        </is>
      </c>
      <c r="T64" s="13" t="inlineStr"/>
    </row>
    <row r="65">
      <c r="A65" s="13" t="inlineStr">
        <is>
          <t>eca</t>
        </is>
      </c>
      <c r="B65" s="13" t="inlineStr">
        <is>
          <t>switzerland</t>
        </is>
      </c>
      <c r="C65" s="13" t="inlineStr">
        <is>
          <t>Denner</t>
        </is>
      </c>
      <c r="D65" s="13" t="inlineStr">
        <is>
          <t>https://www.denner.ch/</t>
        </is>
      </c>
      <c r="E65" s="13" t="inlineStr">
        <is>
          <t>TIER_2</t>
        </is>
      </c>
      <c r="F65" s="13" t="inlineStr">
        <is>
          <t>medium</t>
        </is>
      </c>
      <c r="G65" s="13" t="inlineStr">
        <is>
          <t>Wave 5</t>
        </is>
      </c>
      <c r="H65" s="13" t="inlineStr">
        <is>
          <t>spider</t>
        </is>
      </c>
      <c r="I65" s="13" t="inlineStr">
        <is>
          <t>Playwright DISCOVERY pass first - find the internal JSON endpoint, then scrape it over plain HTTP</t>
        </is>
      </c>
      <c r="J65" s="13" t="inlineStr">
        <is>
          <t>Z_bespoke</t>
        </is>
      </c>
      <c r="K65" s="13" t="inlineStr">
        <is>
          <t>Nuxt</t>
        </is>
      </c>
      <c r="L65" s="13" t="inlineStr">
        <is>
          <t>retailer_sku</t>
        </is>
      </c>
      <c r="M65" s="13" t="inlineStr">
        <is>
          <t>supermarket</t>
        </is>
      </c>
      <c r="N65" s="13" t="inlineStr">
        <is>
          <t>CHF</t>
        </is>
      </c>
      <c r="O65" s="13" t="n">
        <v>0</v>
      </c>
      <c r="P65" s="13" t="inlineStr">
        <is>
          <t>not found</t>
        </is>
      </c>
      <c r="Q65" s="13" t="inlineStr">
        <is>
          <t>curl 200, 717KB, Nuxt detected, no price pattern matched on homepage</t>
        </is>
      </c>
      <c r="R65" s="13" t="b">
        <v>1</v>
      </c>
      <c r="S65" s="13" t="inlineStr">
        <is>
          <t>-</t>
        </is>
      </c>
      <c r="T65" s="13" t="inlineStr"/>
    </row>
    <row r="66">
      <c r="A66" s="13" t="inlineStr">
        <is>
          <t>eca</t>
        </is>
      </c>
      <c r="B66" s="13" t="inlineStr">
        <is>
          <t>estonia</t>
        </is>
      </c>
      <c r="C66" s="13" t="inlineStr">
        <is>
          <t>Barbora Estonia</t>
        </is>
      </c>
      <c r="D66" s="13" t="inlineStr">
        <is>
          <t>https://barbora.ee/</t>
        </is>
      </c>
      <c r="E66" s="13" t="inlineStr">
        <is>
          <t>TIER_2</t>
        </is>
      </c>
      <c r="F66" s="13" t="inlineStr">
        <is>
          <t>medium</t>
        </is>
      </c>
      <c r="G66" s="13" t="inlineStr">
        <is>
          <t>Wave 5</t>
        </is>
      </c>
      <c r="H66" s="13" t="inlineStr">
        <is>
          <t>spider</t>
        </is>
      </c>
      <c r="I66" s="13" t="inlineStr">
        <is>
          <t>Playwright DISCOVERY pass first - find the internal JSON endpoint, then scrape it over plain HTTP</t>
        </is>
      </c>
      <c r="J66" s="13" t="inlineStr">
        <is>
          <t>Z_bespoke</t>
        </is>
      </c>
      <c r="K66" s="13" t="inlineStr">
        <is>
          <t>Custom (Maxima group)</t>
        </is>
      </c>
      <c r="L66" s="13" t="inlineStr">
        <is>
          <t>retailer_sku</t>
        </is>
      </c>
      <c r="M66" s="13" t="inlineStr">
        <is>
          <t>supermarket</t>
        </is>
      </c>
      <c r="N66" s="13" t="inlineStr">
        <is>
          <t>EUR</t>
        </is>
      </c>
      <c r="O66" s="13" t="n">
        <v>0</v>
      </c>
      <c r="P66" s="13" t="inlineStr">
        <is>
          <t>not found</t>
        </is>
      </c>
      <c r="Q66" s="13" t="inlineStr">
        <is>
          <t>curl 200, 55KB, no Cloudflare gate (unlike barbora.lt) but no price pattern matched on homepage</t>
        </is>
      </c>
      <c r="R66" s="13" t="b">
        <v>1</v>
      </c>
      <c r="S66" s="13" t="inlineStr">
        <is>
          <t>CSV flags COVERAGE WITHDRAWN to Tallinn+Tartu only from 1 Nov 2025 - geographic staleness to track separately. Different WAF posture from barbora.lt (this TLD is open).</t>
        </is>
      </c>
      <c r="T66" s="13" t="inlineStr"/>
    </row>
    <row r="67">
      <c r="A67" s="13" t="inlineStr">
        <is>
          <t>eca</t>
        </is>
      </c>
      <c r="B67" s="13" t="inlineStr">
        <is>
          <t>estonia</t>
        </is>
      </c>
      <c r="C67" s="13" t="inlineStr">
        <is>
          <t>Coop Estonia</t>
        </is>
      </c>
      <c r="D67" s="13" t="inlineStr">
        <is>
          <t>https://ecoop.ee/</t>
        </is>
      </c>
      <c r="E67" s="13" t="inlineStr">
        <is>
          <t>TIER_2</t>
        </is>
      </c>
      <c r="F67" s="13" t="inlineStr">
        <is>
          <t>medium</t>
        </is>
      </c>
      <c r="G67" s="13" t="inlineStr">
        <is>
          <t>Wave 5</t>
        </is>
      </c>
      <c r="H67" s="13" t="inlineStr">
        <is>
          <t>spider</t>
        </is>
      </c>
      <c r="I67" s="13" t="inlineStr">
        <is>
          <t>Playwright DISCOVERY pass first - find the internal JSON endpoint, then scrape it over plain HTTP</t>
        </is>
      </c>
      <c r="J67" s="13" t="inlineStr">
        <is>
          <t>Z_bespoke</t>
        </is>
      </c>
      <c r="K67" s="13" t="inlineStr">
        <is>
          <t>Custom</t>
        </is>
      </c>
      <c r="L67" s="13" t="inlineStr">
        <is>
          <t>retailer_sku</t>
        </is>
      </c>
      <c r="M67" s="13" t="inlineStr">
        <is>
          <t>supermarket</t>
        </is>
      </c>
      <c r="N67" s="13" t="inlineStr">
        <is>
          <t>EUR</t>
        </is>
      </c>
      <c r="O67" s="13" t="n">
        <v>0</v>
      </c>
      <c r="P67" s="13" t="inlineStr">
        <is>
          <t>not found</t>
        </is>
      </c>
      <c r="Q67" s="13" t="inlineStr">
        <is>
          <t>curl 200, 53KB, no price pattern matched on homepage</t>
        </is>
      </c>
      <c r="R67" s="13" t="b">
        <v>1</v>
      </c>
      <c r="S67" s="13" t="inlineStr">
        <is>
          <t>Widest rural network in Estonia per CSV.</t>
        </is>
      </c>
      <c r="T67" s="13" t="inlineStr"/>
    </row>
    <row r="68">
      <c r="A68" s="13" t="inlineStr">
        <is>
          <t>eca</t>
        </is>
      </c>
      <c r="B68" s="13" t="inlineStr">
        <is>
          <t>estonia</t>
        </is>
      </c>
      <c r="C68" s="13" t="inlineStr">
        <is>
          <t>Rimi Estonia</t>
        </is>
      </c>
      <c r="D68" s="13" t="inlineStr">
        <is>
          <t>https://www.rimi.ee/epood/en</t>
        </is>
      </c>
      <c r="E68" s="13" t="inlineStr">
        <is>
          <t>TIER_2</t>
        </is>
      </c>
      <c r="F68" s="13" t="inlineStr">
        <is>
          <t>medium</t>
        </is>
      </c>
      <c r="G68" s="13" t="inlineStr">
        <is>
          <t>Wave 5</t>
        </is>
      </c>
      <c r="H68" s="13" t="inlineStr">
        <is>
          <t>spider</t>
        </is>
      </c>
      <c r="I68" s="13" t="inlineStr">
        <is>
          <t>Playwright DISCOVERY pass first - find the internal JSON endpoint, then scrape it over plain HTTP</t>
        </is>
      </c>
      <c r="J68" s="13" t="inlineStr">
        <is>
          <t>Z_bespoke</t>
        </is>
      </c>
      <c r="K68" s="13" t="inlineStr">
        <is>
          <t>Custom</t>
        </is>
      </c>
      <c r="L68" s="13" t="inlineStr">
        <is>
          <t>retailer_sku</t>
        </is>
      </c>
      <c r="M68" s="13" t="inlineStr">
        <is>
          <t>supermarket</t>
        </is>
      </c>
      <c r="N68" s="13" t="inlineStr">
        <is>
          <t>EUR</t>
        </is>
      </c>
      <c r="O68" s="13" t="n">
        <v>0</v>
      </c>
      <c r="P68" s="13" t="inlineStr">
        <is>
          <t>not found (wrong guess)</t>
        </is>
      </c>
      <c r="Q68" s="13" t="inlineStr">
        <is>
          <t>curl 200, 125KB homepage; guessed category URL /epood/en/products/food -&gt; 404</t>
        </is>
      </c>
      <c r="R68" s="13" t="b">
        <v>1</v>
      </c>
      <c r="S68" s="13" t="inlineStr">
        <is>
          <t>Same Rimi platform as Rimi Latvia/Lithuania, explicit 30-day-lowest field per CSV.</t>
        </is>
      </c>
      <c r="T68" s="13" t="inlineStr"/>
    </row>
    <row r="69">
      <c r="A69" s="13" t="inlineStr">
        <is>
          <t>eca</t>
        </is>
      </c>
      <c r="B69" s="13" t="inlineStr">
        <is>
          <t>lithuania</t>
        </is>
      </c>
      <c r="C69" s="13" t="inlineStr">
        <is>
          <t>Barbora Lithuania</t>
        </is>
      </c>
      <c r="D69" s="13" t="inlineStr">
        <is>
          <t>https://barbora.lt/</t>
        </is>
      </c>
      <c r="E69" s="13" t="inlineStr">
        <is>
          <t>TIER_2</t>
        </is>
      </c>
      <c r="F69" s="13" t="inlineStr">
        <is>
          <t>medium</t>
        </is>
      </c>
      <c r="G69" s="13" t="inlineStr">
        <is>
          <t>Wave 5</t>
        </is>
      </c>
      <c r="H69" s="13" t="inlineStr">
        <is>
          <t>spider</t>
        </is>
      </c>
      <c r="I69" s="13" t="inlineStr">
        <is>
          <t>Playwright DISCOVERY pass first - find the internal JSON endpoint, then scrape it over plain HTTP</t>
        </is>
      </c>
      <c r="J69" s="13" t="inlineStr">
        <is>
          <t>Z_bespoke</t>
        </is>
      </c>
      <c r="K69" s="13" t="inlineStr">
        <is>
          <t>Custom (Maxima group)</t>
        </is>
      </c>
      <c r="L69" s="13" t="inlineStr">
        <is>
          <t>retailer_sku</t>
        </is>
      </c>
      <c r="M69" s="13" t="inlineStr">
        <is>
          <t>supermarket</t>
        </is>
      </c>
      <c r="N69" s="13" t="inlineStr">
        <is>
          <t>EUR</t>
        </is>
      </c>
      <c r="O69" s="13" t="n">
        <v>0</v>
      </c>
      <c r="P69" s="13" t="inlineStr">
        <is>
          <t>/api/eshop/v1/category/offertree etc. - CF-gated even for the API, needs a cleared session</t>
        </is>
      </c>
      <c r="Q69" s="13" t="inlineStr">
        <is>
          <t>curl 403 title 'Just a moment...' (Cloudflare); Playwright CLEARS the challenge (status 200, title 'BARBORA internetine parduotuve'). Network sniff during the cleared session found internal APIs: /api/eshop/v1/category/offertree (427KB JSON), production-elb.barbora.lt/api/cache/v1/country/LT/categories (214KB), /api/eshop/v1/recommendations/GetHomeRecommendationsInventories (65.7KB) - but a direct plain-curl retest of GetHomeRecommendationsInventories with Origin/Referer still returned 403, meaning the API sits behind the SAME Cloudflare gate and only clears with a real browser session/cf_clearance cookie</t>
        </is>
      </c>
      <c r="R69" s="13" t="b">
        <v>1</v>
      </c>
      <c r="S69" s="13" t="inlineStr">
        <is>
          <t>Same Maxima-group platform as Barbora Estonia/Latvia. Rich 427KB category tree confirms a genuine full assortment once a Playwright-cleared session (or cf_clearance reuse) is wired into the collector; did not inspect category names within budget so no leaf credit taken yet.</t>
        </is>
      </c>
      <c r="T69" s="13" t="inlineStr"/>
    </row>
    <row r="70">
      <c r="A70" s="13" t="inlineStr">
        <is>
          <t>eca</t>
        </is>
      </c>
      <c r="B70" s="13" t="inlineStr">
        <is>
          <t>lithuania</t>
        </is>
      </c>
      <c r="C70" s="13" t="inlineStr">
        <is>
          <t>Rimi Lithuania</t>
        </is>
      </c>
      <c r="D70" s="13" t="inlineStr">
        <is>
          <t>https://www.rimi.lt/e-parduotuve/en</t>
        </is>
      </c>
      <c r="E70" s="13" t="inlineStr">
        <is>
          <t>TIER_2</t>
        </is>
      </c>
      <c r="F70" s="13" t="inlineStr">
        <is>
          <t>medium</t>
        </is>
      </c>
      <c r="G70" s="13" t="inlineStr">
        <is>
          <t>Wave 5</t>
        </is>
      </c>
      <c r="H70" s="13" t="inlineStr">
        <is>
          <t>spider</t>
        </is>
      </c>
      <c r="I70" s="13" t="inlineStr">
        <is>
          <t>Playwright DISCOVERY pass first - find the internal JSON endpoint, then scrape it over plain HTTP</t>
        </is>
      </c>
      <c r="J70" s="13" t="inlineStr">
        <is>
          <t>Z_bespoke</t>
        </is>
      </c>
      <c r="K70" s="13" t="inlineStr">
        <is>
          <t>Custom</t>
        </is>
      </c>
      <c r="L70" s="13" t="inlineStr">
        <is>
          <t>retailer_sku</t>
        </is>
      </c>
      <c r="M70" s="13" t="inlineStr">
        <is>
          <t>supermarket</t>
        </is>
      </c>
      <c r="N70" s="13" t="inlineStr">
        <is>
          <t>EUR</t>
        </is>
      </c>
      <c r="O70" s="13" t="n">
        <v>0</v>
      </c>
      <c r="P70" s="13" t="inlineStr">
        <is>
          <t>not found</t>
        </is>
      </c>
      <c r="Q70" s="13" t="inlineStr">
        <is>
          <t>curl 200, 112KB homepage, no price pattern matched</t>
        </is>
      </c>
      <c r="R70" s="13" t="b">
        <v>1</v>
      </c>
      <c r="S70" s="13" t="inlineStr">
        <is>
          <t>Same Rimi platform as Estonia/Latvia, explicit 30-day-lowest field per CSV.</t>
        </is>
      </c>
      <c r="T70" s="13" t="inlineStr"/>
    </row>
    <row r="71">
      <c r="A71" s="13" t="inlineStr">
        <is>
          <t>eca</t>
        </is>
      </c>
      <c r="B71" s="13" t="inlineStr">
        <is>
          <t>france</t>
        </is>
      </c>
      <c r="C71" s="13" t="inlineStr">
        <is>
          <t>Auchan Drive</t>
        </is>
      </c>
      <c r="D71" s="13" t="inlineStr">
        <is>
          <t>https://www.auchan.fr/</t>
        </is>
      </c>
      <c r="E71" s="13" t="inlineStr">
        <is>
          <t>TIER_2</t>
        </is>
      </c>
      <c r="F71" s="13" t="inlineStr">
        <is>
          <t>medium</t>
        </is>
      </c>
      <c r="G71" s="13" t="inlineStr">
        <is>
          <t>Wave 5</t>
        </is>
      </c>
      <c r="H71" s="13" t="inlineStr">
        <is>
          <t>spider</t>
        </is>
      </c>
      <c r="I71" s="13" t="inlineStr">
        <is>
          <t>Playwright DISCOVERY pass first - find the internal JSON endpoint, then scrape it over plain HTTP</t>
        </is>
      </c>
      <c r="J71" s="13" t="inlineStr">
        <is>
          <t>Z_bespoke</t>
        </is>
      </c>
      <c r="K71" s="13" t="inlineStr">
        <is>
          <t>Custom/Enterprise</t>
        </is>
      </c>
      <c r="L71" s="13" t="inlineStr">
        <is>
          <t>retailer_sku</t>
        </is>
      </c>
      <c r="M71" s="13" t="inlineStr">
        <is>
          <t>supermarket</t>
        </is>
      </c>
      <c r="N71" s="13" t="inlineStr">
        <is>
          <t>EUR</t>
        </is>
      </c>
      <c r="O71" s="13" t="n">
        <v>0</v>
      </c>
      <c r="P71" s="13" t="inlineStr">
        <is>
          <t>not found</t>
        </is>
      </c>
      <c r="Q71" s="13" t="inlineStr">
        <is>
          <t>curl 200, 172KB - NOT blocked despite CSV's SUSPECT/D-tier label; no price pattern matched on homepage within budget</t>
        </is>
      </c>
      <c r="R71" s="13" t="b">
        <v>1</v>
      </c>
      <c r="S71" s="13" t="inlineStr">
        <is>
          <t>Worth a priority re-test given curl succeeded cleanly where CSV expected a WAF.</t>
        </is>
      </c>
      <c r="T71" s="13" t="inlineStr"/>
    </row>
    <row r="72">
      <c r="A72" s="13" t="inlineStr">
        <is>
          <t>eca</t>
        </is>
      </c>
      <c r="B72" s="13" t="inlineStr">
        <is>
          <t>france</t>
        </is>
      </c>
      <c r="C72" s="13" t="inlineStr">
        <is>
          <t>Casino / CasinoMax</t>
        </is>
      </c>
      <c r="D72" s="13" t="inlineStr">
        <is>
          <t>https://www.casino.fr/</t>
        </is>
      </c>
      <c r="E72" s="13" t="inlineStr">
        <is>
          <t>TIER_2</t>
        </is>
      </c>
      <c r="F72" s="13" t="inlineStr">
        <is>
          <t>medium</t>
        </is>
      </c>
      <c r="G72" s="13" t="inlineStr">
        <is>
          <t>Wave 5</t>
        </is>
      </c>
      <c r="H72" s="13" t="inlineStr">
        <is>
          <t>spider</t>
        </is>
      </c>
      <c r="I72" s="13" t="inlineStr">
        <is>
          <t>Playwright DISCOVERY pass first - find the internal JSON endpoint, then scrape it over plain HTTP</t>
        </is>
      </c>
      <c r="J72" s="13" t="inlineStr">
        <is>
          <t>Z_bespoke</t>
        </is>
      </c>
      <c r="K72" s="13" t="inlineStr">
        <is>
          <t>Custom (Vue SSR)</t>
        </is>
      </c>
      <c r="L72" s="13" t="inlineStr">
        <is>
          <t>retailer_sku</t>
        </is>
      </c>
      <c r="M72" s="13" t="inlineStr">
        <is>
          <t>supermarket</t>
        </is>
      </c>
      <c r="N72" s="13" t="inlineStr">
        <is>
          <t>EUR</t>
        </is>
      </c>
      <c r="O72" s="13" t="n">
        <v>0</v>
      </c>
      <c r="P72" s="13" t="inlineStr">
        <is>
          <t>not found</t>
        </is>
      </c>
      <c r="Q72" s="13" t="inlineStr">
        <is>
          <t>curl HTTP 403 status but body is real Vue-SSR content (vue-ssr-id attrs, meta refresh to /prehome/courses-en-ligne/accueil), not a WAF challenge template - ambiguous, no product data found within budget</t>
        </is>
      </c>
      <c r="R72" s="13" t="b">
        <v>1</v>
      </c>
      <c r="S72" s="13" t="inlineStr">
        <is>
          <t>Status code and content disagree - needs a follow-up probe rather than a confident verdict either way.</t>
        </is>
      </c>
      <c r="T72" s="13" t="inlineStr"/>
    </row>
    <row r="73">
      <c r="A73" s="13" t="inlineStr">
        <is>
          <t>eca</t>
        </is>
      </c>
      <c r="B73" s="13" t="inlineStr">
        <is>
          <t>belgium</t>
        </is>
      </c>
      <c r="C73" s="13" t="inlineStr">
        <is>
          <t>Spar Colruyt Group (mijnspar.be)</t>
        </is>
      </c>
      <c r="D73" s="13" t="inlineStr">
        <is>
          <t>https://www.mijnspar.be/</t>
        </is>
      </c>
      <c r="E73" s="13" t="inlineStr">
        <is>
          <t>TIER_2</t>
        </is>
      </c>
      <c r="F73" s="13" t="inlineStr">
        <is>
          <t>medium</t>
        </is>
      </c>
      <c r="G73" s="13" t="inlineStr">
        <is>
          <t>Wave 5</t>
        </is>
      </c>
      <c r="H73" s="13" t="inlineStr">
        <is>
          <t>spider</t>
        </is>
      </c>
      <c r="I73" s="13" t="inlineStr">
        <is>
          <t>Playwright DISCOVERY pass first - find the internal JSON endpoint, then scrape it over plain HTTP</t>
        </is>
      </c>
      <c r="J73" s="13" t="inlineStr">
        <is>
          <t>Z_bespoke</t>
        </is>
      </c>
      <c r="K73" s="13" t="inlineStr">
        <is>
          <t>Custom</t>
        </is>
      </c>
      <c r="L73" s="13" t="inlineStr">
        <is>
          <t>retailer_sku</t>
        </is>
      </c>
      <c r="M73" s="13" t="inlineStr">
        <is>
          <t>supermarket</t>
        </is>
      </c>
      <c r="N73" s="13" t="inlineStr">
        <is>
          <t>EUR</t>
        </is>
      </c>
      <c r="O73" s="13" t="n">
        <v>0</v>
      </c>
      <c r="P73" s="13" t="inlineStr">
        <is>
          <t>not found</t>
        </is>
      </c>
      <c r="Q73" s="13" t="inlineStr">
        <is>
          <t>curl 200, 337KB, no price pattern matched (CSV itself notes prices require store selection)</t>
        </is>
      </c>
      <c r="R73" s="13" t="b">
        <v>1</v>
      </c>
      <c r="S73" s="13" t="inlineStr">
        <is>
          <t>-</t>
        </is>
      </c>
      <c r="T73" s="13" t="inlineStr"/>
    </row>
    <row r="74">
      <c r="A74" s="13" t="inlineStr">
        <is>
          <t>eca</t>
        </is>
      </c>
      <c r="B74" s="13" t="inlineStr">
        <is>
          <t>belgium</t>
        </is>
      </c>
      <c r="C74" s="13" t="inlineStr">
        <is>
          <t>Colruyt.be</t>
        </is>
      </c>
      <c r="D74" s="13" t="inlineStr">
        <is>
          <t>https://www.colruyt.be/</t>
        </is>
      </c>
      <c r="E74" s="13" t="inlineStr">
        <is>
          <t>TIER_2</t>
        </is>
      </c>
      <c r="F74" s="13" t="inlineStr">
        <is>
          <t>medium</t>
        </is>
      </c>
      <c r="G74" s="13" t="inlineStr">
        <is>
          <t>Wave 5</t>
        </is>
      </c>
      <c r="H74" s="13" t="inlineStr">
        <is>
          <t>spider</t>
        </is>
      </c>
      <c r="I74" s="13" t="inlineStr">
        <is>
          <t>Playwright DISCOVERY pass first - find the internal JSON endpoint, then scrape it over plain HTTP</t>
        </is>
      </c>
      <c r="J74" s="13" t="inlineStr">
        <is>
          <t>Z_bespoke</t>
        </is>
      </c>
      <c r="K74" s="13" t="inlineStr">
        <is>
          <t>Custom/Enterprise</t>
        </is>
      </c>
      <c r="L74" s="13" t="inlineStr">
        <is>
          <t>retailer_sku</t>
        </is>
      </c>
      <c r="M74" s="13" t="inlineStr">
        <is>
          <t>supermarket</t>
        </is>
      </c>
      <c r="N74" s="13" t="inlineStr">
        <is>
          <t>EUR</t>
        </is>
      </c>
      <c r="O74" s="13" t="n">
        <v>0</v>
      </c>
      <c r="P74" s="13" t="inlineStr">
        <is>
          <t>not found</t>
        </is>
      </c>
      <c r="Q74" s="13" t="inlineStr">
        <is>
          <t>curl 200, 399KB, no price pattern matched on homepage</t>
        </is>
      </c>
      <c r="R74" s="13" t="b">
        <v>1</v>
      </c>
      <c r="S74" s="13" t="inlineStr">
        <is>
          <t>Belgium's price leader with a lowest-price guarantee per CSV - not blocked, just not yet confirmed for prices.</t>
        </is>
      </c>
      <c r="T74" s="13" t="inlineStr"/>
    </row>
    <row r="75">
      <c r="A75" s="13" t="inlineStr">
        <is>
          <t>eca</t>
        </is>
      </c>
      <c r="B75" s="13" t="inlineStr">
        <is>
          <t>denmark</t>
        </is>
      </c>
      <c r="C75" s="13" t="inlineStr">
        <is>
          <t>Bilka ToGo</t>
        </is>
      </c>
      <c r="D75" s="13" t="inlineStr">
        <is>
          <t>https://www.bilkatogo.dk/</t>
        </is>
      </c>
      <c r="E75" s="13" t="inlineStr">
        <is>
          <t>TIER_2</t>
        </is>
      </c>
      <c r="F75" s="13" t="inlineStr">
        <is>
          <t>medium</t>
        </is>
      </c>
      <c r="G75" s="13" t="inlineStr">
        <is>
          <t>Wave 5</t>
        </is>
      </c>
      <c r="H75" s="13" t="inlineStr">
        <is>
          <t>spider</t>
        </is>
      </c>
      <c r="I75" s="13" t="inlineStr">
        <is>
          <t>Playwright DISCOVERY pass first - find the internal JSON endpoint, then scrape it over plain HTTP</t>
        </is>
      </c>
      <c r="J75" s="13" t="inlineStr">
        <is>
          <t>Z_bespoke</t>
        </is>
      </c>
      <c r="K75" s="13" t="inlineStr">
        <is>
          <t>Nuxt + Algolia</t>
        </is>
      </c>
      <c r="L75" s="13" t="inlineStr">
        <is>
          <t>retailer_sku</t>
        </is>
      </c>
      <c r="M75" s="13" t="inlineStr">
        <is>
          <t>supermarket</t>
        </is>
      </c>
      <c r="N75" s="13" t="inlineStr">
        <is>
          <t>DKK</t>
        </is>
      </c>
      <c r="O75" s="13" t="n">
        <v>0</v>
      </c>
      <c r="P75" s="13" t="inlineStr">
        <is>
          <t>not found (Algolia key not extracted)</t>
        </is>
      </c>
      <c r="Q75" s="13" t="inlineStr">
        <is>
          <t>curl 200, 88KB, Nuxt + Algolia detected on homepage; no Algolia app-id/key found in this pass, no category evidence captured</t>
        </is>
      </c>
      <c r="R75" s="13" t="b">
        <v>1</v>
      </c>
      <c r="S75" s="13" t="inlineStr">
        <is>
          <t>Salling Group (same family as Foetex below).</t>
        </is>
      </c>
      <c r="T75" s="13" t="inlineStr"/>
    </row>
    <row r="76">
      <c r="A76" s="13" t="inlineStr">
        <is>
          <t>eca</t>
        </is>
      </c>
      <c r="B76" s="13" t="inlineStr">
        <is>
          <t>denmark</t>
        </is>
      </c>
      <c r="C76" s="13" t="inlineStr">
        <is>
          <t>Coop.dk MAD</t>
        </is>
      </c>
      <c r="D76" s="13" t="inlineStr">
        <is>
          <t>https://mad.coop.dk/</t>
        </is>
      </c>
      <c r="E76" s="13" t="inlineStr">
        <is>
          <t>TIER_2</t>
        </is>
      </c>
      <c r="F76" s="13" t="inlineStr">
        <is>
          <t>medium</t>
        </is>
      </c>
      <c r="G76" s="13" t="inlineStr">
        <is>
          <t>Wave 5</t>
        </is>
      </c>
      <c r="H76" s="13" t="inlineStr">
        <is>
          <t>spider</t>
        </is>
      </c>
      <c r="I76" s="13" t="inlineStr">
        <is>
          <t>Playwright DISCOVERY pass first - find the internal JSON endpoint, then scrape it over plain HTTP</t>
        </is>
      </c>
      <c r="J76" s="13" t="inlineStr">
        <is>
          <t>Z_bespoke</t>
        </is>
      </c>
      <c r="K76" s="13" t="inlineStr">
        <is>
          <t>Custom</t>
        </is>
      </c>
      <c r="L76" s="13" t="inlineStr">
        <is>
          <t>retailer_sku</t>
        </is>
      </c>
      <c r="M76" s="13" t="inlineStr">
        <is>
          <t>supermarket</t>
        </is>
      </c>
      <c r="N76" s="13" t="inlineStr">
        <is>
          <t>DKK</t>
        </is>
      </c>
      <c r="O76" s="13" t="n">
        <v>0</v>
      </c>
      <c r="P76" s="13" t="inlineStr">
        <is>
          <t>not found</t>
        </is>
      </c>
      <c r="Q76" s="13" t="inlineStr">
        <is>
          <t>curl 301 -&gt; follows to https://coop.dk/mad/, 135KB, no F&amp;B category or price evidence found in nav grep (only corporate/careers menu items)</t>
        </is>
      </c>
      <c r="R76" s="13" t="b">
        <v>1</v>
      </c>
      <c r="S76" s="13" t="inlineStr">
        <is>
          <t>-</t>
        </is>
      </c>
      <c r="T76" s="13" t="inlineStr"/>
    </row>
    <row r="77">
      <c r="A77" s="13" t="inlineStr">
        <is>
          <t>eca</t>
        </is>
      </c>
      <c r="B77" s="13" t="inlineStr">
        <is>
          <t>denmark</t>
        </is>
      </c>
      <c r="C77" s="13" t="inlineStr">
        <is>
          <t>Foetex</t>
        </is>
      </c>
      <c r="D77" s="13" t="inlineStr">
        <is>
          <t>https://www.foetex.dk/</t>
        </is>
      </c>
      <c r="E77" s="13" t="inlineStr">
        <is>
          <t>TIER_2</t>
        </is>
      </c>
      <c r="F77" s="13" t="inlineStr">
        <is>
          <t>medium</t>
        </is>
      </c>
      <c r="G77" s="13" t="inlineStr">
        <is>
          <t>Wave 5</t>
        </is>
      </c>
      <c r="H77" s="13" t="inlineStr">
        <is>
          <t>spider</t>
        </is>
      </c>
      <c r="I77" s="13" t="inlineStr">
        <is>
          <t>Playwright DISCOVERY pass first - find the internal JSON endpoint, then scrape it over plain HTTP</t>
        </is>
      </c>
      <c r="J77" s="13" t="inlineStr">
        <is>
          <t>Z_bespoke</t>
        </is>
      </c>
      <c r="K77" s="13" t="inlineStr">
        <is>
          <t>Nuxt</t>
        </is>
      </c>
      <c r="L77" s="13" t="inlineStr">
        <is>
          <t>retailer_sku</t>
        </is>
      </c>
      <c r="M77" s="13" t="inlineStr">
        <is>
          <t>supermarket</t>
        </is>
      </c>
      <c r="N77" s="13" t="inlineStr">
        <is>
          <t>DKK</t>
        </is>
      </c>
      <c r="O77" s="13" t="n">
        <v>0</v>
      </c>
      <c r="P77" s="13" t="inlineStr">
        <is>
          <t>not found (guess 404'd)</t>
        </is>
      </c>
      <c r="Q77" s="13" t="inlineStr">
        <is>
          <t>curl 200, 174KB, Nuxt detected; nav grep found mostly non-food category names (yarn/sewing, lamps, gift categories) with no F&amp;B categories visible pre-render; a guessed category URL 404'd</t>
        </is>
      </c>
      <c r="R77" s="13" t="b">
        <v>1</v>
      </c>
      <c r="S77" s="13" t="inlineStr">
        <is>
          <t>Same Salling Group platform family as Bilka.</t>
        </is>
      </c>
      <c r="T77" s="13" t="inlineStr"/>
    </row>
    <row r="78">
      <c r="A78" s="13" t="inlineStr">
        <is>
          <t>eca</t>
        </is>
      </c>
      <c r="B78" s="13" t="inlineStr">
        <is>
          <t>norway</t>
        </is>
      </c>
      <c r="C78" s="13" t="inlineStr">
        <is>
          <t>Coop Norge</t>
        </is>
      </c>
      <c r="D78" s="13" t="inlineStr">
        <is>
          <t>https://coop.no/</t>
        </is>
      </c>
      <c r="E78" s="13" t="inlineStr">
        <is>
          <t>TIER_2</t>
        </is>
      </c>
      <c r="F78" s="13" t="inlineStr">
        <is>
          <t>medium</t>
        </is>
      </c>
      <c r="G78" s="13" t="inlineStr">
        <is>
          <t>Wave 5</t>
        </is>
      </c>
      <c r="H78" s="13" t="inlineStr">
        <is>
          <t>spider</t>
        </is>
      </c>
      <c r="I78" s="13" t="inlineStr">
        <is>
          <t>Playwright DISCOVERY pass first - find the internal JSON endpoint, then scrape it over plain HTTP</t>
        </is>
      </c>
      <c r="J78" s="13" t="inlineStr">
        <is>
          <t>Z_bespoke</t>
        </is>
      </c>
      <c r="K78" s="13" t="inlineStr">
        <is>
          <t>Custom</t>
        </is>
      </c>
      <c r="L78" s="13" t="inlineStr">
        <is>
          <t>retailer_sku</t>
        </is>
      </c>
      <c r="M78" s="13" t="inlineStr">
        <is>
          <t>supermarket</t>
        </is>
      </c>
      <c r="N78" s="13" t="inlineStr">
        <is>
          <t>NOK</t>
        </is>
      </c>
      <c r="O78" s="13" t="n">
        <v>0</v>
      </c>
      <c r="P78" s="13" t="inlineStr">
        <is>
          <t>not found</t>
        </is>
      </c>
      <c r="Q78" s="13" t="inlineStr">
        <is>
          <t>curl 200, 104KB, no product/category evidence in nav grep - only corporate/membership menu items ('Bli medlem', 'Butikkoversikt', 'Kundeservice')</t>
        </is>
      </c>
      <c r="R78" s="13" t="b">
        <v>1</v>
      </c>
      <c r="S78" s="13" t="inlineStr">
        <is>
          <t>Guessed /varer path 404'd. Real national chain, no block signal - just no category evidence captured within budget.</t>
        </is>
      </c>
      <c r="T78" s="13" t="inlineStr"/>
    </row>
    <row r="79">
      <c r="A79" s="13" t="inlineStr">
        <is>
          <t>eca</t>
        </is>
      </c>
      <c r="B79" s="13" t="inlineStr">
        <is>
          <t>norway</t>
        </is>
      </c>
      <c r="C79" s="13" t="inlineStr">
        <is>
          <t>Spar NO</t>
        </is>
      </c>
      <c r="D79" s="13" t="inlineStr">
        <is>
          <t>https://spar.no/</t>
        </is>
      </c>
      <c r="E79" s="13" t="inlineStr">
        <is>
          <t>TIER_2</t>
        </is>
      </c>
      <c r="F79" s="13" t="inlineStr">
        <is>
          <t>medium</t>
        </is>
      </c>
      <c r="G79" s="13" t="inlineStr">
        <is>
          <t>Wave 5</t>
        </is>
      </c>
      <c r="H79" s="13" t="inlineStr">
        <is>
          <t>spider</t>
        </is>
      </c>
      <c r="I79" s="13" t="inlineStr">
        <is>
          <t>Playwright DISCOVERY pass first - find the internal JSON endpoint, then scrape it over plain HTTP</t>
        </is>
      </c>
      <c r="J79" s="13" t="inlineStr">
        <is>
          <t>Z_bespoke</t>
        </is>
      </c>
      <c r="K79" s="13" t="inlineStr">
        <is>
          <t>Custom</t>
        </is>
      </c>
      <c r="L79" s="13" t="inlineStr">
        <is>
          <t>retailer_sku</t>
        </is>
      </c>
      <c r="M79" s="13" t="inlineStr">
        <is>
          <t>supermarket</t>
        </is>
      </c>
      <c r="N79" s="13" t="inlineStr">
        <is>
          <t>NOK</t>
        </is>
      </c>
      <c r="O79" s="13" t="n">
        <v>0</v>
      </c>
      <c r="P79" s="13" t="inlineStr">
        <is>
          <t>not found</t>
        </is>
      </c>
      <c r="Q79" s="13" t="inlineStr">
        <is>
          <t>curl 200, 184KB, no F&amp;B category evidence in nav grep (menu items only). Guessed /handlelister path 404'd</t>
        </is>
      </c>
      <c r="R79" s="13" t="b">
        <v>1</v>
      </c>
      <c r="S79" s="13" t="inlineStr">
        <is>
          <t>-</t>
        </is>
      </c>
      <c r="T79" s="13" t="inlineStr"/>
    </row>
    <row r="80">
      <c r="A80" s="13" t="inlineStr">
        <is>
          <t>eca</t>
        </is>
      </c>
      <c r="B80" s="13" t="inlineStr">
        <is>
          <t>norway</t>
        </is>
      </c>
      <c r="C80" s="13" t="inlineStr">
        <is>
          <t>Meny</t>
        </is>
      </c>
      <c r="D80" s="13" t="inlineStr">
        <is>
          <t>https://meny.no/</t>
        </is>
      </c>
      <c r="E80" s="13" t="inlineStr">
        <is>
          <t>TIER_2</t>
        </is>
      </c>
      <c r="F80" s="13" t="inlineStr">
        <is>
          <t>medium</t>
        </is>
      </c>
      <c r="G80" s="13" t="inlineStr">
        <is>
          <t>Wave 5</t>
        </is>
      </c>
      <c r="H80" s="13" t="inlineStr">
        <is>
          <t>spider</t>
        </is>
      </c>
      <c r="I80" s="13" t="inlineStr">
        <is>
          <t>Playwright DISCOVERY pass first - find the internal JSON endpoint, then scrape it over plain HTTP</t>
        </is>
      </c>
      <c r="J80" s="13" t="inlineStr">
        <is>
          <t>Z_bespoke</t>
        </is>
      </c>
      <c r="K80" s="13" t="inlineStr">
        <is>
          <t>Custom</t>
        </is>
      </c>
      <c r="L80" s="13" t="inlineStr">
        <is>
          <t>retailer_sku</t>
        </is>
      </c>
      <c r="M80" s="13" t="inlineStr">
        <is>
          <t>supermarket</t>
        </is>
      </c>
      <c r="N80" s="13" t="inlineStr">
        <is>
          <t>NOK</t>
        </is>
      </c>
      <c r="O80" s="13" t="n">
        <v>0</v>
      </c>
      <c r="P80" s="13" t="inlineStr">
        <is>
          <t>not found</t>
        </is>
      </c>
      <c r="Q80" s="13" t="inlineStr">
        <is>
          <t>curl 200, 316KB homepage; /varer path returns 200/227KB but no price pattern or F&amp;B category names matched in nav grep (menu/corporate items only, one recipe name 'Pastagrateng med kjottdeig')</t>
        </is>
      </c>
      <c r="R80" s="13" t="b">
        <v>1</v>
      </c>
      <c r="S80" s="13" t="inlineStr">
        <is>
          <t>The /varer route exists (not 404) but reads as a category hub, not a product listing.</t>
        </is>
      </c>
      <c r="T80" s="13" t="inlineStr"/>
    </row>
    <row r="81">
      <c r="A81" s="13" t="inlineStr">
        <is>
          <t>eca</t>
        </is>
      </c>
      <c r="B81" s="13" t="inlineStr">
        <is>
          <t>croatia</t>
        </is>
      </c>
      <c r="C81" s="13" t="inlineStr">
        <is>
          <t>Tommy / Cjenoteka / Eurospin Croatia / Lidl Croatia</t>
        </is>
      </c>
      <c r="D81" s="13" t="inlineStr">
        <is>
          <t>https://www.tommy.hr/naruci-i-pokupi ; https://cjenoteka.hr/ ; https://www.eurospin.hr/ ; https://www.lidl.hr/</t>
        </is>
      </c>
      <c r="E81" s="13" t="inlineStr">
        <is>
          <t>TIER_2</t>
        </is>
      </c>
      <c r="F81" s="13" t="inlineStr">
        <is>
          <t>medium</t>
        </is>
      </c>
      <c r="G81" s="13" t="inlineStr">
        <is>
          <t>Wave 5</t>
        </is>
      </c>
      <c r="H81" s="13" t="inlineStr">
        <is>
          <t>spider</t>
        </is>
      </c>
      <c r="I81" s="13" t="inlineStr">
        <is>
          <t>Playwright DISCOVERY pass first - find the internal JSON endpoint, then scrape it over plain HTTP</t>
        </is>
      </c>
      <c r="J81" s="13" t="inlineStr">
        <is>
          <t>Z_bespoke</t>
        </is>
      </c>
      <c r="K81" s="13" t="inlineStr">
        <is>
          <t>Next.js/React</t>
        </is>
      </c>
      <c r="L81" s="13" t="inlineStr">
        <is>
          <t>retailer_sku</t>
        </is>
      </c>
      <c r="M81" s="13" t="inlineStr">
        <is>
          <t>supermarket/aggregator</t>
        </is>
      </c>
      <c r="N81" s="13" t="inlineStr">
        <is>
          <t>EUR</t>
        </is>
      </c>
      <c r="O81" s="13" t="n">
        <v>0</v>
      </c>
      <c r="P81" s="13" t="inlineStr"/>
      <c r="Q81" s="13" t="inlineStr">
        <is>
          <t>All 4 returned curl 200 (109KB/671KB/76KB/373KB) with Next.js/React markers present, but a quick grep for price patterns on the homepage/guessed-category found none -- likely needs the correct category URL or Playwright render, not a WAF block.</t>
        </is>
      </c>
      <c r="R81" s="13" t="b">
        <v>1</v>
      </c>
      <c r="S81" s="13" t="inlineStr">
        <is>
          <t>Sampled, not fully verified given time budget -- none of these 403'd, so worth a follow-up probe with a real category URL before writing off. Lidl and Eurospin prices are indirectly recoverable via CroCart in the meantime.</t>
        </is>
      </c>
      <c r="T81" s="13" t="inlineStr"/>
    </row>
    <row r="82">
      <c r="A82" s="13" t="inlineStr">
        <is>
          <t>eca</t>
        </is>
      </c>
      <c r="B82" s="13" t="inlineStr">
        <is>
          <t>czech_republic</t>
        </is>
      </c>
      <c r="C82" s="13" t="inlineStr">
        <is>
          <t>Kosik.cz</t>
        </is>
      </c>
      <c r="D82" s="13" t="inlineStr">
        <is>
          <t>https://www.kosik.cz/</t>
        </is>
      </c>
      <c r="E82" s="13" t="inlineStr">
        <is>
          <t>TIER_2</t>
        </is>
      </c>
      <c r="F82" s="13" t="inlineStr">
        <is>
          <t>medium</t>
        </is>
      </c>
      <c r="G82" s="13" t="inlineStr">
        <is>
          <t>Wave 5</t>
        </is>
      </c>
      <c r="H82" s="13" t="inlineStr">
        <is>
          <t>spider</t>
        </is>
      </c>
      <c r="I82" s="13" t="inlineStr">
        <is>
          <t>Playwright DISCOVERY pass first - find the internal JSON endpoint, then scrape it over plain HTTP</t>
        </is>
      </c>
      <c r="J82" s="13" t="inlineStr">
        <is>
          <t>Z_bespoke</t>
        </is>
      </c>
      <c r="K82" s="13" t="inlineStr">
        <is>
          <t>Vue SPA</t>
        </is>
      </c>
      <c r="L82" s="13" t="inlineStr"/>
      <c r="M82" s="13" t="inlineStr">
        <is>
          <t>supermarket</t>
        </is>
      </c>
      <c r="N82" s="13" t="inlineStr">
        <is>
          <t>CZK</t>
        </is>
      </c>
      <c r="O82" s="13" t="n">
        <v>0</v>
      </c>
      <c r="P82" s="13" t="inlineStr"/>
      <c r="Q82" s="13" t="inlineStr">
        <is>
          <t>GET -&gt; 200 but only 11.2KB, a Vue SPA shell with class='beforeVueInit' and no SSR content.</t>
        </is>
      </c>
      <c r="R82" s="13" t="b">
        <v>1</v>
      </c>
      <c r="S82" s="13" t="inlineStr">
        <is>
          <t>Not a WAF block -- needs a Playwright network-trace to find the internal API, not attempted given time budget.</t>
        </is>
      </c>
      <c r="T82" s="13" t="inlineStr"/>
    </row>
    <row r="83">
      <c r="A83" s="13" t="inlineStr">
        <is>
          <t>eca</t>
        </is>
      </c>
      <c r="B83" s="13" t="inlineStr">
        <is>
          <t>czech_republic</t>
        </is>
      </c>
      <c r="C83" s="13" t="inlineStr">
        <is>
          <t>Albert CZ</t>
        </is>
      </c>
      <c r="D83" s="13" t="inlineStr">
        <is>
          <t>https://www.albert.cz/</t>
        </is>
      </c>
      <c r="E83" s="13" t="inlineStr">
        <is>
          <t>TIER_2</t>
        </is>
      </c>
      <c r="F83" s="13" t="inlineStr">
        <is>
          <t>medium</t>
        </is>
      </c>
      <c r="G83" s="13" t="inlineStr">
        <is>
          <t>Wave 5</t>
        </is>
      </c>
      <c r="H83" s="13" t="inlineStr">
        <is>
          <t>spider</t>
        </is>
      </c>
      <c r="I83" s="13" t="inlineStr">
        <is>
          <t>Playwright DISCOVERY pass first - find the internal JSON endpoint, then scrape it over plain HTTP</t>
        </is>
      </c>
      <c r="J83" s="13" t="inlineStr">
        <is>
          <t>Z_bespoke</t>
        </is>
      </c>
      <c r="K83" s="13" t="inlineStr">
        <is>
          <t>Next.js</t>
        </is>
      </c>
      <c r="L83" s="13" t="inlineStr"/>
      <c r="M83" s="13" t="inlineStr">
        <is>
          <t>supermarket</t>
        </is>
      </c>
      <c r="N83" s="13" t="inlineStr">
        <is>
          <t>CZK</t>
        </is>
      </c>
      <c r="O83" s="13" t="n">
        <v>0</v>
      </c>
      <c r="P83" s="13" t="inlineStr"/>
      <c r="Q83" s="13" t="inlineStr">
        <is>
          <t>GET -&gt; 200, 1.2MB, Next.js markers present, but only placeholder '0,00 Kč' found on homepage. Not blocked (no WAF page).</t>
        </is>
      </c>
      <c r="R83" s="13" t="b">
        <v>1</v>
      </c>
      <c r="S83" s="13" t="inlineStr">
        <is>
          <t>Sampled, inconclusive -- needs a real category URL, not confirmed blocked.</t>
        </is>
      </c>
      <c r="T83" s="13" t="inlineStr"/>
    </row>
    <row r="84">
      <c r="A84" s="13" t="inlineStr">
        <is>
          <t>eca</t>
        </is>
      </c>
      <c r="B84" s="13" t="inlineStr">
        <is>
          <t>latvia</t>
        </is>
      </c>
      <c r="C84" s="13" t="inlineStr">
        <is>
          <t>Rimi Latvia e-veikals</t>
        </is>
      </c>
      <c r="D84" s="13" t="inlineStr">
        <is>
          <t>https://www.rimi.lv/e-veikals/en</t>
        </is>
      </c>
      <c r="E84" s="13" t="inlineStr">
        <is>
          <t>TIER_2</t>
        </is>
      </c>
      <c r="F84" s="13" t="inlineStr">
        <is>
          <t>medium</t>
        </is>
      </c>
      <c r="G84" s="13" t="inlineStr">
        <is>
          <t>Wave 5</t>
        </is>
      </c>
      <c r="H84" s="13" t="inlineStr">
        <is>
          <t>spider</t>
        </is>
      </c>
      <c r="I84" s="13" t="inlineStr">
        <is>
          <t>Playwright DISCOVERY pass first - find the internal JSON endpoint, then scrape it over plain HTTP</t>
        </is>
      </c>
      <c r="J84" s="13" t="inlineStr">
        <is>
          <t>Z_bespoke</t>
        </is>
      </c>
      <c r="K84" s="13" t="inlineStr">
        <is>
          <t>Next/React</t>
        </is>
      </c>
      <c r="L84" s="13" t="inlineStr">
        <is>
          <t>retailer_sku</t>
        </is>
      </c>
      <c r="M84" s="13" t="inlineStr">
        <is>
          <t>supermarket</t>
        </is>
      </c>
      <c r="N84" s="13" t="inlineStr">
        <is>
          <t>EUR</t>
        </is>
      </c>
      <c r="O84" s="13" t="n">
        <v>0</v>
      </c>
      <c r="P84" s="13" t="inlineStr"/>
      <c r="Q84" s="13" t="inlineStr">
        <is>
          <t>GET -&gt; 200, 119KB, Next/React markers present. Guessed category URL /products/f/pieno-produkti-kiausiniai 404'd with 0,00€ placeholders. Not blocked.</t>
        </is>
      </c>
      <c r="R84" s="13" t="b">
        <v>1</v>
      </c>
      <c r="S84" s="13" t="inlineStr">
        <is>
          <t>Per shard, explicit Omnibus 30-day-lowest-price field + separate beverage deposit fee -- high value if the right category URL is found. Not confirmed blocked, just wrong slug guessed.</t>
        </is>
      </c>
      <c r="T84" s="13" t="inlineStr"/>
    </row>
    <row r="85">
      <c r="A85" s="13" t="inlineStr">
        <is>
          <t>eca</t>
        </is>
      </c>
      <c r="B85" s="13" t="inlineStr">
        <is>
          <t>latvia</t>
        </is>
      </c>
      <c r="C85" s="13" t="inlineStr">
        <is>
          <t>Barbora Latvia</t>
        </is>
      </c>
      <c r="D85" s="13" t="inlineStr">
        <is>
          <t>https://barbora.lv/</t>
        </is>
      </c>
      <c r="E85" s="13" t="inlineStr">
        <is>
          <t>TIER_2</t>
        </is>
      </c>
      <c r="F85" s="13" t="inlineStr">
        <is>
          <t>medium</t>
        </is>
      </c>
      <c r="G85" s="13" t="inlineStr">
        <is>
          <t>Wave 5</t>
        </is>
      </c>
      <c r="H85" s="13" t="inlineStr">
        <is>
          <t>spider</t>
        </is>
      </c>
      <c r="I85" s="13" t="inlineStr">
        <is>
          <t>Playwright DISCOVERY pass first - find the internal JSON endpoint, then scrape it over plain HTTP</t>
        </is>
      </c>
      <c r="J85" s="13" t="inlineStr">
        <is>
          <t>Z_bespoke</t>
        </is>
      </c>
      <c r="K85" s="13" t="inlineStr">
        <is>
          <t>Next/React</t>
        </is>
      </c>
      <c r="L85" s="13" t="inlineStr">
        <is>
          <t>retailer_sku</t>
        </is>
      </c>
      <c r="M85" s="13" t="inlineStr">
        <is>
          <t>supermarket</t>
        </is>
      </c>
      <c r="N85" s="13" t="inlineStr">
        <is>
          <t>EUR</t>
        </is>
      </c>
      <c r="O85" s="13" t="n">
        <v>0</v>
      </c>
      <c r="P85" s="13" t="inlineStr"/>
      <c r="Q85" s="13" t="inlineStr">
        <is>
          <t>GET -&gt; 200, 55KB, Next/React markers present, no direct price on homepage.</t>
        </is>
      </c>
      <c r="R85" s="13" t="b">
        <v>1</v>
      </c>
      <c r="S85" s="13" t="inlineStr">
        <is>
          <t>8,000+ goods per shard. Coverage withdrawn from Daugavpils/Liepaja/several regions Nov 2025 -- Riga-area only now.</t>
        </is>
      </c>
      <c r="T85" s="13" t="inlineStr"/>
    </row>
    <row r="86">
      <c r="A86" s="13" t="inlineStr">
        <is>
          <t>eca</t>
        </is>
      </c>
      <c r="B86" s="13" t="inlineStr">
        <is>
          <t>poland</t>
        </is>
      </c>
      <c r="C86" s="13" t="inlineStr">
        <is>
          <t>Biedronka (zakupy.biedronka.pl)</t>
        </is>
      </c>
      <c r="D86" s="13" t="inlineStr">
        <is>
          <t>https://zakupy.biedronka.pl/</t>
        </is>
      </c>
      <c r="E86" s="13" t="inlineStr">
        <is>
          <t>TIER_2</t>
        </is>
      </c>
      <c r="F86" s="13" t="inlineStr">
        <is>
          <t>medium</t>
        </is>
      </c>
      <c r="G86" s="13" t="inlineStr">
        <is>
          <t>Wave 5</t>
        </is>
      </c>
      <c r="H86" s="13" t="inlineStr">
        <is>
          <t>spider</t>
        </is>
      </c>
      <c r="I86" s="13" t="inlineStr">
        <is>
          <t>Playwright DISCOVERY pass first - find the internal JSON endpoint, then scrape it over plain HTTP</t>
        </is>
      </c>
      <c r="J86" s="13" t="inlineStr">
        <is>
          <t>Z_bespoke</t>
        </is>
      </c>
      <c r="K86" s="13" t="inlineStr">
        <is>
          <t>Custom</t>
        </is>
      </c>
      <c r="L86" s="13" t="inlineStr">
        <is>
          <t>retailer_sku</t>
        </is>
      </c>
      <c r="M86" s="13" t="inlineStr">
        <is>
          <t>supermarket</t>
        </is>
      </c>
      <c r="N86" s="13" t="inlineStr">
        <is>
          <t>PLN</t>
        </is>
      </c>
      <c r="O86" s="13" t="n">
        <v>0</v>
      </c>
      <c r="P86" s="13" t="inlineStr"/>
      <c r="Q86" s="13" t="inlineStr">
        <is>
          <t>GET / -&gt; 200, 324KB, only '0,00 zł' placeholder found (empty-cart state). Guessed category /c/nabial -&gt; 410 Gone. Not WAF-blocked.</t>
        </is>
      </c>
      <c r="R86" s="13" t="b">
        <v>1</v>
      </c>
      <c r="S86" s="13" t="inlineStr">
        <is>
          <t>Per shard, per-category item counts are published throughout the tree (Nabiał 140, Słodycze 134, Artykuły spożywcze 577) confirming a rich catalog exists once the right category URL is found. Poland's largest discounter; home delivery currently Warsaw-only per shard note.</t>
        </is>
      </c>
      <c r="T86" s="13" t="inlineStr"/>
    </row>
    <row r="87">
      <c r="A87" s="13" t="inlineStr">
        <is>
          <t>eca</t>
        </is>
      </c>
      <c r="B87" s="13" t="inlineStr">
        <is>
          <t>portugal</t>
        </is>
      </c>
      <c r="C87" s="13" t="inlineStr">
        <is>
          <t>Continente</t>
        </is>
      </c>
      <c r="D87" s="13" t="inlineStr">
        <is>
          <t>https://www.continente.pt/</t>
        </is>
      </c>
      <c r="E87" s="13" t="inlineStr">
        <is>
          <t>TIER_2</t>
        </is>
      </c>
      <c r="F87" s="13" t="inlineStr">
        <is>
          <t>medium</t>
        </is>
      </c>
      <c r="G87" s="13" t="inlineStr">
        <is>
          <t>Wave 5</t>
        </is>
      </c>
      <c r="H87" s="13" t="inlineStr">
        <is>
          <t>spider</t>
        </is>
      </c>
      <c r="I87" s="13" t="inlineStr">
        <is>
          <t>Playwright DISCOVERY pass first - find the internal JSON endpoint, then scrape it over plain HTTP</t>
        </is>
      </c>
      <c r="J87" s="13" t="inlineStr">
        <is>
          <t>Z_bespoke</t>
        </is>
      </c>
      <c r="K87" s="13" t="inlineStr">
        <is>
          <t>Salesforce Commerce Cloud</t>
        </is>
      </c>
      <c r="L87" s="13" t="inlineStr">
        <is>
          <t>retailer_sku</t>
        </is>
      </c>
      <c r="M87" s="13" t="inlineStr">
        <is>
          <t>supermarket</t>
        </is>
      </c>
      <c r="N87" s="13" t="inlineStr">
        <is>
          <t>EUR</t>
        </is>
      </c>
      <c r="O87" s="13" t="n">
        <v>0</v>
      </c>
      <c r="P87" s="13" t="inlineStr"/>
      <c r="Q87" s="13" t="inlineStr">
        <is>
          <t>GET /mercearia/ -&gt; 200, 2.2MB. Confirmed Salesforce-Commerce-Cloud product-tile classes ('ct-product-tile-badge-value--superprice') present in HTML, but exact price text not isolated within the time budget.</t>
        </is>
      </c>
      <c r="R87" s="13" t="b">
        <v>1</v>
      </c>
      <c r="S87" s="13" t="inlineStr">
        <is>
          <t>Not WAF-blocked, real catalog markup confirmed -- needs one more selector pass to pull the price span. Largest PT chain (Sonae), delivers to all mainland + Madeira + S. Miguel.</t>
        </is>
      </c>
      <c r="T87" s="13" t="inlineStr"/>
    </row>
    <row r="88">
      <c r="A88" s="13" t="inlineStr">
        <is>
          <t>eca</t>
        </is>
      </c>
      <c r="B88" s="13" t="inlineStr">
        <is>
          <t>portugal</t>
        </is>
      </c>
      <c r="C88" s="13" t="inlineStr">
        <is>
          <t>Auchan Portugal / Super Save</t>
        </is>
      </c>
      <c r="D88" s="13" t="inlineStr">
        <is>
          <t>https://www.auchan.pt/ ; https://supersave.pt/web/</t>
        </is>
      </c>
      <c r="E88" s="13" t="inlineStr">
        <is>
          <t>TIER_2</t>
        </is>
      </c>
      <c r="F88" s="13" t="inlineStr">
        <is>
          <t>medium</t>
        </is>
      </c>
      <c r="G88" s="13" t="inlineStr">
        <is>
          <t>Wave 5</t>
        </is>
      </c>
      <c r="H88" s="13" t="inlineStr">
        <is>
          <t>spider</t>
        </is>
      </c>
      <c r="I88" s="13" t="inlineStr">
        <is>
          <t>Playwright DISCOVERY pass first - find the internal JSON endpoint, then scrape it over plain HTTP</t>
        </is>
      </c>
      <c r="J88" s="13" t="inlineStr">
        <is>
          <t>Z_bespoke</t>
        </is>
      </c>
      <c r="K88" s="13" t="inlineStr">
        <is>
          <t>mixed</t>
        </is>
      </c>
      <c r="L88" s="13" t="inlineStr">
        <is>
          <t>retailer_sku</t>
        </is>
      </c>
      <c r="M88" s="13" t="inlineStr">
        <is>
          <t>supermarket/aggregator</t>
        </is>
      </c>
      <c r="N88" s="13" t="inlineStr">
        <is>
          <t>EUR</t>
        </is>
      </c>
      <c r="O88" s="13" t="n">
        <v>0</v>
      </c>
      <c r="P88" s="13" t="inlineStr"/>
      <c r="Q88" s="13" t="inlineStr">
        <is>
          <t>Auchan.pt GET / -&gt; 200 (635KB); guessed category 404'd, no price found. Supersave.pt/web/ GET -&gt; 200 (1.06MB), Nuxt/Next/Vue/React markers all present but no price pattern matched.</t>
        </is>
      </c>
      <c r="R88" s="13" t="b">
        <v>1</v>
      </c>
      <c r="S88" s="13" t="inlineStr">
        <is>
          <t>Neither confirmed blocked nor confirmed working -- sampled only, would need a real category URL or Playwright render. Super Save is high-value if unlocked: 7-chain daily comparison per kg/L/unit.</t>
        </is>
      </c>
      <c r="T88" s="13" t="inlineStr"/>
    </row>
    <row r="89">
      <c r="A89" s="13" t="inlineStr">
        <is>
          <t>eca</t>
        </is>
      </c>
      <c r="B89" s="13" t="inlineStr">
        <is>
          <t>spain</t>
        </is>
      </c>
      <c r="C89" s="13" t="inlineStr">
        <is>
          <t>Comparaloo.es / losmejoresproductos.es / Alcampo.es / Lidl Spain</t>
        </is>
      </c>
      <c r="D89" s="13" t="inlineStr">
        <is>
          <t>https://comparaloo.es/ ; https://losmejoresproductos.es/comparativas/ ; https://www.alcampo.es/ ; https://www.lidl.es/</t>
        </is>
      </c>
      <c r="E89" s="13" t="inlineStr">
        <is>
          <t>TIER_2</t>
        </is>
      </c>
      <c r="F89" s="13" t="inlineStr">
        <is>
          <t>medium</t>
        </is>
      </c>
      <c r="G89" s="13" t="inlineStr">
        <is>
          <t>Wave 5</t>
        </is>
      </c>
      <c r="H89" s="13" t="inlineStr">
        <is>
          <t>spider</t>
        </is>
      </c>
      <c r="I89" s="13" t="inlineStr">
        <is>
          <t>Playwright DISCOVERY pass first - find the internal JSON endpoint, then scrape it over plain HTTP</t>
        </is>
      </c>
      <c r="J89" s="13" t="inlineStr">
        <is>
          <t>Z_bespoke</t>
        </is>
      </c>
      <c r="K89" s="13" t="inlineStr">
        <is>
          <t>mixed</t>
        </is>
      </c>
      <c r="L89" s="13" t="inlineStr">
        <is>
          <t>retailer_sku</t>
        </is>
      </c>
      <c r="M89" s="13" t="inlineStr">
        <is>
          <t>aggregator/supermarket</t>
        </is>
      </c>
      <c r="N89" s="13" t="inlineStr">
        <is>
          <t>EUR</t>
        </is>
      </c>
      <c r="O89" s="13" t="n">
        <v>0</v>
      </c>
      <c r="P89" s="13" t="inlineStr"/>
      <c r="Q89" s="13" t="inlineStr">
        <is>
          <t>All 4 GET -&gt; 200 (382KB / 31KB / 688KB / 197KB), none WAF-blocked, but Alcampo showed only '0,00€' placeholders and the other 3 had no price pattern match on the fetched page.</t>
        </is>
      </c>
      <c r="R89" s="13" t="b">
        <v>1</v>
      </c>
      <c r="S89" s="13" t="inlineStr">
        <is>
          <t>Sampled only given time budget -- worth a follow-up with real category/product URLs. Comparaloo has an explicit false-discount detector per shard notes, worth prioritizing if revisited.</t>
        </is>
      </c>
      <c r="T89" s="13" t="inlineStr"/>
    </row>
    <row r="90">
      <c r="A90" s="13" t="inlineStr">
        <is>
          <t>eca</t>
        </is>
      </c>
      <c r="B90" s="13" t="inlineStr">
        <is>
          <t>sweden</t>
        </is>
      </c>
      <c r="C90" s="13" t="inlineStr">
        <is>
          <t>Coop Sweden / ICA (handla.ica.se)</t>
        </is>
      </c>
      <c r="D90" s="13" t="inlineStr">
        <is>
          <t>https://www.coop.se/ ; https://handla.ica.se/</t>
        </is>
      </c>
      <c r="E90" s="13" t="inlineStr">
        <is>
          <t>TIER_2</t>
        </is>
      </c>
      <c r="F90" s="13" t="inlineStr">
        <is>
          <t>medium</t>
        </is>
      </c>
      <c r="G90" s="13" t="inlineStr">
        <is>
          <t>Wave 5</t>
        </is>
      </c>
      <c r="H90" s="13" t="inlineStr">
        <is>
          <t>spider</t>
        </is>
      </c>
      <c r="I90" s="13" t="inlineStr">
        <is>
          <t>Playwright DISCOVERY pass first - find the internal JSON endpoint, then scrape it over plain HTTP</t>
        </is>
      </c>
      <c r="J90" s="13" t="inlineStr">
        <is>
          <t>Z_bespoke</t>
        </is>
      </c>
      <c r="K90" s="13" t="inlineStr">
        <is>
          <t>React/Next</t>
        </is>
      </c>
      <c r="L90" s="13" t="inlineStr">
        <is>
          <t>retailer_sku</t>
        </is>
      </c>
      <c r="M90" s="13" t="inlineStr">
        <is>
          <t>supermarket</t>
        </is>
      </c>
      <c r="N90" s="13" t="inlineStr">
        <is>
          <t>SEK</t>
        </is>
      </c>
      <c r="O90" s="13" t="n">
        <v>0</v>
      </c>
      <c r="P90" s="13" t="inlineStr"/>
      <c r="Q90" s="13" t="inlineStr">
        <is>
          <t>Both GET -&gt; 200 (126KB / 102KB), React/Next markers present, no direct 'kr'/SEK price pattern matched on the homepage.</t>
        </is>
      </c>
      <c r="R90" s="13" t="b">
        <v>1</v>
      </c>
      <c r="S90" s="13" t="inlineStr">
        <is>
          <t>Not confirmed blocked, just no catalog reachable from a bare homepage fetch. ICA per shard requires store selection first ('Välj butik'), which likely explains the empty homepage.</t>
        </is>
      </c>
      <c r="T90" s="13" t="inlineStr"/>
    </row>
    <row r="91">
      <c r="A91" s="13" t="inlineStr">
        <is>
          <t>eca</t>
        </is>
      </c>
      <c r="B91" s="13" t="inlineStr">
        <is>
          <t>united_kingdom</t>
        </is>
      </c>
      <c r="C91" s="13" t="inlineStr">
        <is>
          <t>Morrisons</t>
        </is>
      </c>
      <c r="D91" s="13" t="inlineStr">
        <is>
          <t>https://groceries.morrisons.com/</t>
        </is>
      </c>
      <c r="E91" s="13" t="inlineStr">
        <is>
          <t>TIER_2</t>
        </is>
      </c>
      <c r="F91" s="13" t="inlineStr">
        <is>
          <t>medium</t>
        </is>
      </c>
      <c r="G91" s="13" t="inlineStr">
        <is>
          <t>Wave 5</t>
        </is>
      </c>
      <c r="H91" s="13" t="inlineStr">
        <is>
          <t>spider</t>
        </is>
      </c>
      <c r="I91" s="13" t="inlineStr">
        <is>
          <t>Playwright DISCOVERY pass first - find the internal JSON endpoint, then scrape it over plain HTTP</t>
        </is>
      </c>
      <c r="J91" s="13" t="inlineStr">
        <is>
          <t>Z_bespoke</t>
        </is>
      </c>
      <c r="K91" s="13" t="inlineStr">
        <is>
          <t>Enterprise</t>
        </is>
      </c>
      <c r="L91" s="13" t="inlineStr"/>
      <c r="M91" s="13" t="inlineStr">
        <is>
          <t>supermarket</t>
        </is>
      </c>
      <c r="N91" s="13" t="inlineStr">
        <is>
          <t>GBP</t>
        </is>
      </c>
      <c r="O91" s="13" t="n">
        <v>0</v>
      </c>
      <c r="P91" s="13" t="inlineStr"/>
      <c r="Q91" s="13" t="inlineStr">
        <is>
          <t>GET / -&gt; 200, 653KB. Guessed category /browse/food-cupboard -&gt; 404 (471KB) but still rendered '£25.00'/'£4.30' widgets -- ambiguous, not clearly product prices vs. page furniture.</t>
        </is>
      </c>
      <c r="R91" s="13" t="b">
        <v>1</v>
      </c>
      <c r="S91" s="13" t="inlineStr">
        <is>
          <t>Not confirmed blocked (only chain in the UK shard that didn't outright 403), but not confirmed working either -- needs the correct category URL.</t>
        </is>
      </c>
      <c r="T91" s="13" t="inlineStr"/>
    </row>
    <row r="92">
      <c r="A92" s="13" t="inlineStr">
        <is>
          <t>menaap</t>
        </is>
      </c>
      <c r="B92" s="13" t="inlineStr">
        <is>
          <t>egypt</t>
        </is>
      </c>
      <c r="C92" s="13" t="inlineStr">
        <is>
          <t>InstaShop Egypt</t>
        </is>
      </c>
      <c r="D92" s="13" t="inlineStr">
        <is>
          <t>https://instashop.com/en-eg/</t>
        </is>
      </c>
      <c r="E92" s="13" t="inlineStr">
        <is>
          <t>TIER_2</t>
        </is>
      </c>
      <c r="F92" s="13" t="inlineStr">
        <is>
          <t>high</t>
        </is>
      </c>
      <c r="G92" s="13" t="inlineStr">
        <is>
          <t>Wave 5</t>
        </is>
      </c>
      <c r="H92" s="13" t="inlineStr">
        <is>
          <t>spider</t>
        </is>
      </c>
      <c r="I92" s="13" t="inlineStr">
        <is>
          <t>Playwright DISCOVERY pass first - find the internal JSON endpoint, then scrape it over plain HTTP</t>
        </is>
      </c>
      <c r="J92" s="13" t="inlineStr">
        <is>
          <t>Z_bespoke</t>
        </is>
      </c>
      <c r="K92" s="13" t="inlineStr">
        <is>
          <t>Custom (Cloudflare-fronted)</t>
        </is>
      </c>
      <c r="L92" s="13" t="inlineStr">
        <is>
          <t>seller_directory</t>
        </is>
      </c>
      <c r="M92" s="13" t="inlineStr">
        <is>
          <t>marketplace</t>
        </is>
      </c>
      <c r="N92" s="13" t="inlineStr">
        <is>
          <t>EGP</t>
        </is>
      </c>
      <c r="O92" s="13" t="n">
        <v>0</v>
      </c>
      <c r="P92" s="13" t="inlineStr">
        <is>
          <t>/eshop/v2/superstore</t>
        </is>
      </c>
      <c r="Q92" s="13" t="inlineStr">
        <is>
          <t>curl -&gt; 403 Cloudflare 'Attention Required'. Playwright renders 200 (366KB) past the challenge and captures internal API https://instashop.com/eshop/v2/superstore (597KB JSON) via network trace -- but that same endpoint hit with bare curl (even with countryCode=EG) still 403s Cloudflare, so it needs a browser-cleared session, not just the URL.</t>
        </is>
      </c>
      <c r="R92" s="13" t="b">
        <v>1</v>
      </c>
      <c r="S92" s="13" t="inlineStr">
        <is>
          <t>Marketplace directory of Egyptian partner supermarkets/minimarkets per CSV. Would need Playwright-session-to-curl cookie relay to be worth building; supermarket coverage already well served by Gourmet/HyperOne/Seoudi/Spinneys direct.</t>
        </is>
      </c>
      <c r="T92" s="13" t="inlineStr"/>
    </row>
    <row r="93">
      <c r="A93" s="13" t="inlineStr">
        <is>
          <t>menaap</t>
        </is>
      </c>
      <c r="B93" s="13" t="inlineStr">
        <is>
          <t>egypt</t>
        </is>
      </c>
      <c r="C93" s="13" t="inlineStr">
        <is>
          <t>talabat mart / tKiosk</t>
        </is>
      </c>
      <c r="D93" s="13" t="inlineStr">
        <is>
          <t>https://www.talabat.com/egypt/groceries</t>
        </is>
      </c>
      <c r="E93" s="13" t="inlineStr">
        <is>
          <t>TIER_2</t>
        </is>
      </c>
      <c r="F93" s="13" t="inlineStr">
        <is>
          <t>medium</t>
        </is>
      </c>
      <c r="G93" s="13" t="inlineStr">
        <is>
          <t>Wave 5</t>
        </is>
      </c>
      <c r="H93" s="13" t="inlineStr">
        <is>
          <t>spider</t>
        </is>
      </c>
      <c r="I93" s="13" t="inlineStr">
        <is>
          <t>Playwright DISCOVERY pass first - find the internal JSON endpoint, then scrape it over plain HTTP</t>
        </is>
      </c>
      <c r="J93" s="13" t="inlineStr">
        <is>
          <t>Z_bespoke</t>
        </is>
      </c>
      <c r="K93" s="13" t="inlineStr">
        <is>
          <t>Custom (Next.js)</t>
        </is>
      </c>
      <c r="L93" s="13" t="inlineStr">
        <is>
          <t>retailer_sku</t>
        </is>
      </c>
      <c r="M93" s="13" t="inlineStr">
        <is>
          <t>dark_store</t>
        </is>
      </c>
      <c r="N93" s="13" t="inlineStr">
        <is>
          <t>EGP</t>
        </is>
      </c>
      <c r="O93" s="13" t="n">
        <v>0</v>
      </c>
      <c r="P93" s="13" t="inlineStr">
        <is>
          <t>/egypt/restaurant/{branchId}/{slug} (menu items API not yet located)</t>
        </is>
      </c>
      <c r="Q93" s="13" t="inlineStr">
        <is>
          <t>Confirmed present in the same vendor list as Talabat Egypt (isDarkstore:true, isTalabatGO:true), with a menuUrl e.g. /egypt/restaurant/725603/tmart-haram-talbiya-2. That menu page returns 200 SSR HTML but __NEXT_DATA__.props.pageProps has no product/price data (only cmsData) -- menu items load via a client-side API call not captured by a 7s Playwright network trace.</t>
        </is>
      </c>
      <c r="R93" s="13" t="b">
        <v>1</v>
      </c>
      <c r="S93" s="13" t="inlineStr">
        <is>
          <t>Own-inventory dark store, platform-set pricing (distinct price-formation process from partner stores per CSV -- must be tagged separately if built). Store-level enumeration is free from the same Talabat vendor-list walk; menu/product-price extraction needs a longer Playwright network trace or interaction (add-to-cart click) to surface the item API.</t>
        </is>
      </c>
      <c r="T93" s="13" t="inlineStr"/>
    </row>
    <row r="94">
      <c r="A94" s="13" t="inlineStr">
        <is>
          <t>menaap</t>
        </is>
      </c>
      <c r="B94" s="13" t="inlineStr">
        <is>
          <t>tunisia</t>
        </is>
      </c>
      <c r="C94" s="13" t="inlineStr">
        <is>
          <t>Magik (Gabès)</t>
        </is>
      </c>
      <c r="D94" s="13" t="inlineStr">
        <is>
          <t>https://magik.tn/</t>
        </is>
      </c>
      <c r="E94" s="13" t="inlineStr">
        <is>
          <t>TIER_2</t>
        </is>
      </c>
      <c r="F94" s="13" t="inlineStr">
        <is>
          <t>medium</t>
        </is>
      </c>
      <c r="G94" s="13" t="inlineStr">
        <is>
          <t>Wave 5</t>
        </is>
      </c>
      <c r="H94" s="13" t="inlineStr">
        <is>
          <t>spider</t>
        </is>
      </c>
      <c r="I94" s="13" t="inlineStr">
        <is>
          <t>Playwright DISCOVERY pass first - find the internal JSON endpoint, then scrape it over plain HTTP</t>
        </is>
      </c>
      <c r="J94" s="13" t="inlineStr">
        <is>
          <t>Z_bespoke</t>
        </is>
      </c>
      <c r="K94" s="13" t="inlineStr">
        <is>
          <t>Custom</t>
        </is>
      </c>
      <c r="L94" s="13" t="inlineStr">
        <is>
          <t>retailer_sku</t>
        </is>
      </c>
      <c r="M94" s="13" t="inlineStr">
        <is>
          <t>supermarket</t>
        </is>
      </c>
      <c r="N94" s="13" t="inlineStr">
        <is>
          <t>TND</t>
        </is>
      </c>
      <c r="O94" s="13" t="n">
        <v>0</v>
      </c>
      <c r="P94" s="13" t="inlineStr">
        <is>
          <t>n/a (client-rendered, no API endpoint found yet)</t>
        </is>
      </c>
      <c r="Q94" s="13" t="inlineStr">
        <is>
          <t>curl homepage -&gt; 200, 1.36MB HTML, product links like /produit/avocado-rsab8h and /produit/ailes-de-poulet-wysc2v (chicken wings) visible in raw HTML -- but PDP prices are NOT in SSR HTML (grep for currency patterns only matched CSS false positives, e.g. '1.95rem'). Playwright render of the PDP surfaces real prices in rendered body text ('7.000 TND', '6.500 TND' etc, product='Avocat') but a passive network-response sniff over 5s found no clean JSON product endpoint -- pricing is likely injected via an inline script tag, not a fetchable API.</t>
        </is>
      </c>
      <c r="R94" s="13" t="b">
        <v>0</v>
      </c>
      <c r="S94" s="13" t="inlineStr">
        <is>
          <t>Title says 'Vente en Ligne de Produits Frais' and product slugs confirm fresh produce + fresh/frozen meat -- exactly the coverage gap Otrity/Carrefour TN leave (regional Gabès chain, smaller footprint). Worth a dedicated follow-up Playwright/selector effort to find the price injection point.</t>
        </is>
      </c>
      <c r="T94" s="13" t="inlineStr"/>
    </row>
    <row r="95">
      <c r="A95" s="13" t="inlineStr">
        <is>
          <t>menaap</t>
        </is>
      </c>
      <c r="B95" s="13" t="inlineStr">
        <is>
          <t>morocco</t>
        </is>
      </c>
      <c r="C95" s="13" t="inlineStr">
        <is>
          <t>Carrefour Maroc (Label'Vie)</t>
        </is>
      </c>
      <c r="D95" s="13" t="inlineStr">
        <is>
          <t>https://carrefour.ma/</t>
        </is>
      </c>
      <c r="E95" s="13" t="inlineStr">
        <is>
          <t>TIER_2</t>
        </is>
      </c>
      <c r="F95" s="13" t="inlineStr">
        <is>
          <t>medium</t>
        </is>
      </c>
      <c r="G95" s="13" t="inlineStr">
        <is>
          <t>Wave 5</t>
        </is>
      </c>
      <c r="H95" s="13" t="inlineStr">
        <is>
          <t>spider</t>
        </is>
      </c>
      <c r="I95" s="13" t="inlineStr">
        <is>
          <t>Playwright DISCOVERY pass first - find the internal JSON endpoint, then scrape it over plain HTTP</t>
        </is>
      </c>
      <c r="J95" s="13" t="inlineStr">
        <is>
          <t>Z_bespoke</t>
        </is>
      </c>
      <c r="K95" s="13" t="inlineStr">
        <is>
          <t>Next.js (custom, confirmed NOT the MAF/Algolia stack per CSV note -- Label'Vie-operated)</t>
        </is>
      </c>
      <c r="L95" s="13" t="inlineStr">
        <is>
          <t>retailer_sku</t>
        </is>
      </c>
      <c r="M95" s="13" t="inlineStr">
        <is>
          <t>supermarket</t>
        </is>
      </c>
      <c r="N95" s="13" t="inlineStr">
        <is>
          <t>MAD</t>
        </is>
      </c>
      <c r="O95" s="13" t="n">
        <v>0</v>
      </c>
      <c r="P95" s="13" t="inlineStr">
        <is>
          <t>unknown -- needs Playwright network trace</t>
        </is>
      </c>
      <c r="Q95" s="13" t="inlineStr">
        <is>
          <t>www.carrefour.ma does not resolve (no A/CNAME for www); apex carrefour.ma -&gt; 200, 55KB, but is a Next.js app-router SPA shell with zero product/price mentions in SSR HTML (grep for product|prix|MAD = 0 hits). Guessed API paths (/api/catalog_system/pub/products/search, /api/products) all 404 to the identical 55KB shell -- Next.js client-side catch-all, not real 404s. Did not run Playwright network capture (budget); the real API is not discoverable from static HTML alone.</t>
        </is>
      </c>
      <c r="R95" s="13" t="b">
        <v>1</v>
      </c>
      <c r="S95" s="13" t="inlineStr">
        <is>
          <t>Genuinely promising (major national chain, not hard-walled by a WAF -- just client-hydrated). Recommended next step: Playwright network trace on a category page to find the JSON endpoint.</t>
        </is>
      </c>
      <c r="T95" s="13" t="inlineStr"/>
    </row>
    <row r="96">
      <c r="A96" s="13" t="inlineStr">
        <is>
          <t>menaap</t>
        </is>
      </c>
      <c r="B96" s="13" t="inlineStr">
        <is>
          <t>morocco</t>
        </is>
      </c>
      <c r="C96" s="13" t="inlineStr">
        <is>
          <t>Marjane Market via Glovo</t>
        </is>
      </c>
      <c r="D96" s="13" t="inlineStr">
        <is>
          <t>https://glovoapp.com/fr/ma/casablanca/stores/marjane</t>
        </is>
      </c>
      <c r="E96" s="13" t="inlineStr">
        <is>
          <t>TIER_2</t>
        </is>
      </c>
      <c r="F96" s="13" t="inlineStr">
        <is>
          <t>medium</t>
        </is>
      </c>
      <c r="G96" s="13" t="inlineStr">
        <is>
          <t>Wave 5</t>
        </is>
      </c>
      <c r="H96" s="13" t="inlineStr">
        <is>
          <t>spider</t>
        </is>
      </c>
      <c r="I96" s="13" t="inlineStr">
        <is>
          <t>Playwright DISCOVERY pass first - find the internal JSON endpoint, then scrape it over plain HTTP</t>
        </is>
      </c>
      <c r="J96" s="13" t="inlineStr">
        <is>
          <t>Z_bespoke</t>
        </is>
      </c>
      <c r="K96" s="13" t="inlineStr">
        <is>
          <t>Custom (Glovo React SPA)</t>
        </is>
      </c>
      <c r="L96" s="13" t="inlineStr">
        <is>
          <t>retailer_sku</t>
        </is>
      </c>
      <c r="M96" s="13" t="inlineStr">
        <is>
          <t>delivery_platform</t>
        </is>
      </c>
      <c r="N96" s="13" t="inlineStr">
        <is>
          <t>MAD</t>
        </is>
      </c>
      <c r="O96" s="13" t="n">
        <v>0</v>
      </c>
      <c r="P96" s="13" t="inlineStr">
        <is>
          <t>unknown -- needs Playwright network trace</t>
        </is>
      </c>
      <c r="Q96" s="13" t="inlineStr">
        <is>
          <t>GET -&gt; 200, 913KB (heavy JS bundle), only 2 product/prix/MAD mentions in raw HTML (SPA, client-hydrated). No embedded API base URL string found via grep for __NEXT_DATA__/apiUrl/glovoapp-api patterns. Did not run Playwright network capture within budget.</t>
        </is>
      </c>
      <c r="R96" s="13" t="b">
        <v>1</v>
      </c>
      <c r="S96" s="13" t="inlineStr">
        <is>
          <t>Not hard-walled (200, no WAF signature) -- just needs a real browser network trace, which the brief flags as the single highest-yield move. Recommended follow-up.</t>
        </is>
      </c>
      <c r="T96" s="13" t="inlineStr"/>
    </row>
    <row r="97">
      <c r="A97" s="13" t="inlineStr">
        <is>
          <t>sar</t>
        </is>
      </c>
      <c r="B97" s="13" t="inlineStr">
        <is>
          <t>india</t>
        </is>
      </c>
      <c r="C97" s="13" t="inlineStr">
        <is>
          <t>JioMart</t>
        </is>
      </c>
      <c r="D97" s="13" t="inlineStr">
        <is>
          <t>https://www.jiomart.com/</t>
        </is>
      </c>
      <c r="E97" s="13" t="inlineStr">
        <is>
          <t>TIER_2</t>
        </is>
      </c>
      <c r="F97" s="13" t="inlineStr">
        <is>
          <t>high</t>
        </is>
      </c>
      <c r="G97" s="13" t="inlineStr">
        <is>
          <t>Wave 5</t>
        </is>
      </c>
      <c r="H97" s="13" t="inlineStr">
        <is>
          <t>spider</t>
        </is>
      </c>
      <c r="I97" s="13" t="inlineStr">
        <is>
          <t>Playwright DISCOVERY pass first - find the internal JSON endpoint, then scrape it over plain HTTP</t>
        </is>
      </c>
      <c r="J97" s="13" t="inlineStr">
        <is>
          <t>Z_bespoke</t>
        </is>
      </c>
      <c r="K97" s="13" t="inlineStr">
        <is>
          <t>Fynd/GoFynd (Reliance white-label)</t>
        </is>
      </c>
      <c r="L97" s="13" t="inlineStr">
        <is>
          <t>retailer_sku</t>
        </is>
      </c>
      <c r="M97" s="13" t="inlineStr">
        <is>
          <t>supermarket</t>
        </is>
      </c>
      <c r="N97" s="13" t="inlineStr">
        <is>
          <t>INR</t>
        </is>
      </c>
      <c r="O97" s="13" t="n">
        <v>0</v>
      </c>
      <c r="P97" s="13" t="inlineStr">
        <is>
          <t>api.jiomartjcp.com/service/application/catalog/v1.0/products (session/pincode-gated)</t>
        </is>
      </c>
      <c r="Q97" s="13" t="inlineStr">
        <is>
          <t>curl homepage -&gt; HTTP 200, 7MB HTML (Fynd/GoFynd 'jio-pd' white-label platform, application_id=685945f46c8c7aee3f3af605, backing API host api.jiomartjcp.com). Direct hits to /api/service/application/catalog/v1.0/products and api.jiomartjcp.com/service/application/catalog/v1.0/products both 302-redirect to an /ext/vertex/... auth-gated route or return 401 'Invalid authorization token'. Playwright network-sniff of /c/groceries surfaced only theme-preview and content/tags JSON (46-310KB), never a populated product_lists payload -- reduxData.catalog.product_lists stayed empty, consistent with the storefront requiring a pincode/location selection before the catalog API returns rows.</t>
        </is>
      </c>
      <c r="R97" s="13" t="b">
        <v>0</v>
      </c>
      <c r="S97" s="13" t="inlineStr">
        <is>
          <t>Reliance's grocery arm, huge national footprint -- highest-value unresolved lead in India. Needs a Playwright session that sets a pincode first, then a network trace of the resulting catalog calls to find the unauthenticated (or session-cookie-only) product endpoint. Not cracked within this probe's budget.</t>
        </is>
      </c>
      <c r="T97" s="13" t="inlineStr"/>
    </row>
    <row r="98">
      <c r="A98" s="13" t="inlineStr">
        <is>
          <t>sar</t>
        </is>
      </c>
      <c r="B98" s="13" t="inlineStr">
        <is>
          <t>india</t>
        </is>
      </c>
      <c r="C98" s="13" t="inlineStr">
        <is>
          <t>Dept. of Consumer Affairs daily retail price monitoring (fcainfoweb.nic.in)</t>
        </is>
      </c>
      <c r="D98" s="13" t="inlineStr">
        <is>
          <t>https://fcainfoweb.nic.in/reports/report_menu_web.aspx</t>
        </is>
      </c>
      <c r="E98" s="13" t="inlineStr">
        <is>
          <t>TIER_2</t>
        </is>
      </c>
      <c r="F98" s="13" t="inlineStr">
        <is>
          <t>medium</t>
        </is>
      </c>
      <c r="G98" s="13" t="inlineStr">
        <is>
          <t>Wave 5</t>
        </is>
      </c>
      <c r="H98" s="13" t="inlineStr">
        <is>
          <t>fetcher</t>
        </is>
      </c>
      <c r="I98" s="13" t="inlineStr">
        <is>
          <t>Playwright DISCOVERY pass first - find the internal JSON endpoint, then scrape it over plain HTTP</t>
        </is>
      </c>
      <c r="J98" s="13" t="inlineStr">
        <is>
          <t>Z_bespoke</t>
        </is>
      </c>
      <c r="K98" s="13" t="inlineStr">
        <is>
          <t>ASP.NET WebForms (NIC)</t>
        </is>
      </c>
      <c r="L98" s="13" t="inlineStr">
        <is>
          <t>official_avg</t>
        </is>
      </c>
      <c r="M98" s="13" t="inlineStr">
        <is>
          <t>official_avg</t>
        </is>
      </c>
      <c r="N98" s="13" t="inlineStr">
        <is>
          <t>INR</t>
        </is>
      </c>
      <c r="O98" s="13" t="n">
        <v>0</v>
      </c>
      <c r="P98" s="13" t="inlineStr">
        <is>
          <t>report_menu_web.aspx (ASPX postback)</t>
        </is>
      </c>
      <c r="Q98" s="13" t="inlineStr">
        <is>
          <t>curl -&gt; HTTP 200, 13.1KB HTML. Classic ASP.NET WebForms page (__VIEWSTATE present) -- the price table is rendered via server-side postback after selecting report type/date/commodity, not a plain GET. No JSON API found; would need __VIEWSTATE/__EVENTVALIDATION replay or Playwright form automation.</t>
        </is>
      </c>
      <c r="R98" s="13" t="b">
        <v>0</v>
      </c>
      <c r="S98" s="13" t="inlineStr">
        <is>
          <t>Publicly known to cover ~22 essential commodities daily (rice, wheat/atta, 5 pulses, 5 edible oils, sugar, gur, milk, tea, salt, potato, onion, tomato) across 100+ price-reporting centres -- would add fresh-produce + pulses + oils depth if cracked, but I could not confirm the actual data payload within budget. Do not count leaves for this until the postback flow is verified.</t>
        </is>
      </c>
      <c r="T98" s="13" t="inlineStr"/>
    </row>
    <row r="99">
      <c r="A99" s="13" t="inlineStr">
        <is>
          <t>sar</t>
        </is>
      </c>
      <c r="B99" s="13" t="inlineStr">
        <is>
          <t>bangladesh</t>
        </is>
      </c>
      <c r="C99" s="13" t="inlineStr">
        <is>
          <t>DAM / Ministry of Agriculture market-price directory</t>
        </is>
      </c>
      <c r="D99" s="13" t="inlineStr">
        <is>
          <t>https://market.dam.gov.bd/market_daily_price_report and https://moa-services.com/market-directory/market-daily-price-report</t>
        </is>
      </c>
      <c r="E99" s="13" t="inlineStr">
        <is>
          <t>TIER_2</t>
        </is>
      </c>
      <c r="F99" s="13" t="inlineStr">
        <is>
          <t>medium</t>
        </is>
      </c>
      <c r="G99" s="13" t="inlineStr">
        <is>
          <t>Wave 5</t>
        </is>
      </c>
      <c r="H99" s="13" t="inlineStr">
        <is>
          <t>fetcher</t>
        </is>
      </c>
      <c r="I99" s="13" t="inlineStr">
        <is>
          <t>Playwright DISCOVERY pass first - find the internal JSON endpoint, then scrape it over plain HTTP</t>
        </is>
      </c>
      <c r="J99" s="13" t="inlineStr">
        <is>
          <t>Z_bespoke</t>
        </is>
      </c>
      <c r="K99" s="13" t="inlineStr">
        <is>
          <t>Vue SPA</t>
        </is>
      </c>
      <c r="L99" s="13" t="inlineStr">
        <is>
          <t>official_avg</t>
        </is>
      </c>
      <c r="M99" s="13" t="inlineStr">
        <is>
          <t>official_avg</t>
        </is>
      </c>
      <c r="N99" s="13" t="inlineStr">
        <is>
          <t>BDT</t>
        </is>
      </c>
      <c r="O99" s="13" t="n">
        <v>0</v>
      </c>
      <c r="P99" s="13" t="inlineStr"/>
      <c r="Q99" s="13" t="inlineStr">
        <is>
          <t>Both curl -&gt; HTTP 200 but 0 &lt;td&gt; elements in raw HTML (Vue SPA shells). Playwright passive network-sniff (8s dwell, no interaction) on both URLs captured zero JSON responses -- the site likely requires a date/market dropdown selection before it fires an XHR. Not resolved within budget.</t>
        </is>
      </c>
      <c r="R99" s="13" t="b">
        <v>0</v>
      </c>
      <c r="S99" s="13" t="inlineStr">
        <is>
          <t>dam.gov.bd's homepage links to several distinct report types (comparative market price, daily price report, market directory report, price graphical report, product-wise market price report) via moa-services.com -- if any one of these has an open XHR behind a form submission, this would be the deep fresh-produce/fish/tuber feed the brief flagged as valuable. Needs an interactive Playwright probe (select date + market, then capture the resulting XHR), not attempted here.</t>
        </is>
      </c>
      <c r="T99" s="13" t="inlineStr"/>
    </row>
    <row r="100">
      <c r="A100" s="13" t="inlineStr">
        <is>
          <t>sar</t>
        </is>
      </c>
      <c r="B100" s="13" t="inlineStr">
        <is>
          <t>bangladesh</t>
        </is>
      </c>
      <c r="C100" s="13" t="inlineStr">
        <is>
          <t>Meena Bazar</t>
        </is>
      </c>
      <c r="D100" s="13" t="inlineStr">
        <is>
          <t>https://meenabazaronline.com/ and https://www.meenabazar.live/</t>
        </is>
      </c>
      <c r="E100" s="13" t="inlineStr">
        <is>
          <t>TIER_2</t>
        </is>
      </c>
      <c r="F100" s="13" t="inlineStr">
        <is>
          <t>medium</t>
        </is>
      </c>
      <c r="G100" s="13" t="inlineStr">
        <is>
          <t>Wave 5</t>
        </is>
      </c>
      <c r="H100" s="13" t="inlineStr">
        <is>
          <t>spider</t>
        </is>
      </c>
      <c r="I100" s="13" t="inlineStr">
        <is>
          <t>Playwright DISCOVERY pass first - find the internal JSON endpoint, then scrape it over plain HTTP</t>
        </is>
      </c>
      <c r="J100" s="13" t="inlineStr">
        <is>
          <t>Z_bespoke</t>
        </is>
      </c>
      <c r="K100" s="13" t="inlineStr">
        <is>
          <t>Angular (meenabazaronline.com) / Next.js (meenabazar.live)</t>
        </is>
      </c>
      <c r="L100" s="13" t="inlineStr">
        <is>
          <t>retailer_sku</t>
        </is>
      </c>
      <c r="M100" s="13" t="inlineStr">
        <is>
          <t>supermarket</t>
        </is>
      </c>
      <c r="N100" s="13" t="inlineStr">
        <is>
          <t>BDT</t>
        </is>
      </c>
      <c r="O100" s="13" t="n">
        <v>0</v>
      </c>
      <c r="P100" s="13" t="inlineStr"/>
      <c r="Q100" s="13" t="inlineStr">
        <is>
          <t>Original guessed domains (meenabazar.com.bd, meenaclick.com.bd) failed to resolve/timed out. WebSearch found the real domains: meenabazaronline.com (Angular SPA shell, HTTP 200/4.4KB) and meenabazar.live (Next.js SPA shell, HTTP 200/10.2KB, no __NEXT_DATA__ or api.meenabazar* string found in the shell HTML). Playwright network-sniff of meenabazar.live returned 0 JSON responses in an 8s dwell -- likely needs a delivery-area/store selection before any catalog call fires.</t>
        </is>
      </c>
      <c r="R100" s="13" t="b">
        <v>0</v>
      </c>
      <c r="S100" s="13" t="inlineStr">
        <is>
          <t>One of Bangladesh's largest chains (8,000-10,000 SKUs per public reporting), Dhaka/Chittagong/Khulna. Worth a follow-up Playwright pass with location/store selection before writing off.</t>
        </is>
      </c>
      <c r="T100" s="13" t="inlineStr"/>
    </row>
    <row r="101">
      <c r="A101" s="13" t="inlineStr">
        <is>
          <t>sar</t>
        </is>
      </c>
      <c r="B101" s="13" t="inlineStr">
        <is>
          <t>pakistan</t>
        </is>
      </c>
      <c r="C101" s="13" t="inlineStr">
        <is>
          <t>Imtiaz</t>
        </is>
      </c>
      <c r="D101" s="13" t="inlineStr">
        <is>
          <t>https://shop.imtiaz.com.pk/ (imtiaz.com.pk is the corporate/blog site, not the store)</t>
        </is>
      </c>
      <c r="E101" s="13" t="inlineStr">
        <is>
          <t>TIER_2</t>
        </is>
      </c>
      <c r="F101" s="13" t="inlineStr">
        <is>
          <t>high</t>
        </is>
      </c>
      <c r="G101" s="13" t="inlineStr">
        <is>
          <t>Wave 5</t>
        </is>
      </c>
      <c r="H101" s="13" t="inlineStr">
        <is>
          <t>spider</t>
        </is>
      </c>
      <c r="I101" s="13" t="inlineStr">
        <is>
          <t>Playwright DISCOVERY pass first - find the internal JSON endpoint, then scrape it over plain HTTP</t>
        </is>
      </c>
      <c r="J101" s="13" t="inlineStr">
        <is>
          <t>Z_bespoke</t>
        </is>
      </c>
      <c r="K101" s="13" t="inlineStr">
        <is>
          <t>Custom SPA (quick-commerce white-label)</t>
        </is>
      </c>
      <c r="L101" s="13" t="inlineStr">
        <is>
          <t>retailer_sku</t>
        </is>
      </c>
      <c r="M101" s="13" t="inlineStr">
        <is>
          <t>supermarket</t>
        </is>
      </c>
      <c r="N101" s="13" t="inlineStr">
        <is>
          <t>PKR</t>
        </is>
      </c>
      <c r="O101" s="13" t="n">
        <v>0</v>
      </c>
      <c r="P101" s="13" t="inlineStr">
        <is>
          <t>/api/geofence?restId=55126 (session-gated)</t>
        </is>
      </c>
      <c r="Q101" s="13" t="inlineStr">
        <is>
          <t>imtiaz.com.pk -&gt; corporate WordPress/blog, no shop links on homepage, /shop/ resolves to a 2019 blog post. Real storefront located via WebSearch at shop.imtiaz.com.pk -&gt; HTTP 200 but empty SPA shell (30.3KB, no product links, no prices, S3 assets under a 'blinkximtiaz' bucket suggesting a Blinkit-style quick-commerce white-label). Playwright network-sniff surfaced GET /api/geofence?restId=55126 -&gt; HTTP 200, 886KB JSON inside a live session; bare curl replay of the same URL -&gt; HTTP 400.</t>
        </is>
      </c>
      <c r="R101" s="13" t="b">
        <v>0</v>
      </c>
      <c r="S101" s="13" t="inlineStr">
        <is>
          <t>Pakistan's No.1 retail chain per their own marketing; second-most-valuable unresolved Pakistan lead after Metro. The geofence response is large (886KB) which suggests it may carry store/catalog metadata -- worth a full Playwright session bootstrap (set delivery location, then trace the resulting catalog calls) in a follow-up pass.</t>
        </is>
      </c>
      <c r="T101" s="13" t="inlineStr"/>
    </row>
    <row r="102">
      <c r="A102" s="13" t="inlineStr">
        <is>
          <t>ssa</t>
        </is>
      </c>
      <c r="B102" s="13" t="inlineStr">
        <is>
          <t>ethiopia</t>
        </is>
      </c>
      <c r="C102" s="13" t="inlineStr">
        <is>
          <t>AradaMart</t>
        </is>
      </c>
      <c r="D102" s="13" t="inlineStr">
        <is>
          <t>https://www.aradamart.net/</t>
        </is>
      </c>
      <c r="E102" s="13" t="inlineStr">
        <is>
          <t>TIER_2</t>
        </is>
      </c>
      <c r="F102" s="13" t="inlineStr">
        <is>
          <t>medium</t>
        </is>
      </c>
      <c r="G102" s="13" t="inlineStr">
        <is>
          <t>Wave 5</t>
        </is>
      </c>
      <c r="H102" s="13" t="inlineStr">
        <is>
          <t>spider</t>
        </is>
      </c>
      <c r="I102" s="13" t="inlineStr">
        <is>
          <t>Playwright DISCOVERY pass first - find the internal JSON endpoint, then scrape it over plain HTTP</t>
        </is>
      </c>
      <c r="J102" s="13" t="inlineStr">
        <is>
          <t>Z_bespoke</t>
        </is>
      </c>
      <c r="K102" s="13" t="inlineStr">
        <is>
          <t>Wix</t>
        </is>
      </c>
      <c r="L102" s="13" t="inlineStr">
        <is>
          <t>retailer_sku</t>
        </is>
      </c>
      <c r="M102" s="13" t="inlineStr">
        <is>
          <t>supermarket</t>
        </is>
      </c>
      <c r="N102" s="13" t="inlineStr">
        <is>
          <t>ETB</t>
        </is>
      </c>
      <c r="O102" s="13" t="n">
        <v>0</v>
      </c>
      <c r="P102" s="13" t="inlineStr">
        <is>
          <t>unresolved -- needs Wix eCommerce Storefront API discovery (not in platform_fingerprints.md) or Playwright network trace</t>
        </is>
      </c>
      <c r="Q102" s="13" t="inlineStr">
        <is>
          <t>GET / -&gt; 200, 2.75MB, but it's a Wix site -- catalog is client-rendered via Wix's own store APIs, not present in raw HTML (only currency='ETB' config strings and SVG icon path data, which is what my first price-pattern grep false-matched on). Confirmed WIX in page markers.</t>
        </is>
      </c>
      <c r="R102" s="13" t="b">
        <v>1</v>
      </c>
      <c r="S102" s="13" t="inlineStr">
        <is>
          <t>Prior research claims deep fresh-produce coverage with bilingual Amharic/English names -- plausible and worth chasing, but I could not verify it live this pass, so it is NOT counted in the country total below. Treat as upside.</t>
        </is>
      </c>
      <c r="T102" s="13" t="inlineStr"/>
    </row>
    <row r="103">
      <c r="A103" s="13" t="inlineStr">
        <is>
          <t>ssa</t>
        </is>
      </c>
      <c r="B103" s="13" t="inlineStr">
        <is>
          <t>gabon</t>
        </is>
      </c>
      <c r="C103" s="13" t="inlineStr">
        <is>
          <t>Chap Chap Gabon</t>
        </is>
      </c>
      <c r="D103" s="13" t="inlineStr">
        <is>
          <t>https://chapchapgabon.com/</t>
        </is>
      </c>
      <c r="E103" s="13" t="inlineStr">
        <is>
          <t>TIER_2</t>
        </is>
      </c>
      <c r="F103" s="13" t="inlineStr">
        <is>
          <t>medium</t>
        </is>
      </c>
      <c r="G103" s="13" t="inlineStr">
        <is>
          <t>Wave 5</t>
        </is>
      </c>
      <c r="H103" s="13" t="inlineStr">
        <is>
          <t>spider</t>
        </is>
      </c>
      <c r="I103" s="13" t="inlineStr">
        <is>
          <t>Playwright DISCOVERY pass first - find the internal JSON endpoint, then scrape it over plain HTTP</t>
        </is>
      </c>
      <c r="J103" s="13" t="inlineStr">
        <is>
          <t>Z_bespoke</t>
        </is>
      </c>
      <c r="K103" s="13" t="inlineStr">
        <is>
          <t>React (SPA, platform undetermined)</t>
        </is>
      </c>
      <c r="L103" s="13" t="inlineStr">
        <is>
          <t>retailer_sku</t>
        </is>
      </c>
      <c r="M103" s="13" t="inlineStr">
        <is>
          <t>supermarket</t>
        </is>
      </c>
      <c r="N103" s="13" t="inlineStr">
        <is>
          <t>XAF</t>
        </is>
      </c>
      <c r="O103" s="13" t="n">
        <v>0</v>
      </c>
      <c r="P103" s="13" t="inlineStr">
        <is>
          <t>unresolved -- needs Playwright network trace</t>
        </is>
      </c>
      <c r="Q103" s="13" t="inlineStr">
        <is>
          <t>GET / -&gt; 200, 345KB, but confirmed React in the bundle and no price class / FCFA pattern in raw HTML. An earlier 'sapo' fingerprint hit was a false positive (a base64-looking string containing the substring 'sapo', not the Sapo platform).</t>
        </is>
      </c>
      <c r="R103" s="13" t="b">
        <v>1</v>
      </c>
      <c r="S103" s="13" t="inlineStr">
        <is>
          <t>Live site, real operation (12 cities per prior research) -- worth a Playwright pass, not counted this round.</t>
        </is>
      </c>
      <c r="T103" s="13" t="inlineStr"/>
    </row>
    <row r="104">
      <c r="A104" s="13" t="inlineStr">
        <is>
          <t>ssa</t>
        </is>
      </c>
      <c r="B104" s="13" t="inlineStr">
        <is>
          <t>malawi</t>
        </is>
      </c>
      <c r="C104" s="13" t="inlineStr">
        <is>
          <t>EasyMart Malawi</t>
        </is>
      </c>
      <c r="D104" s="13" t="inlineStr">
        <is>
          <t>https://easymartmalawi.com/</t>
        </is>
      </c>
      <c r="E104" s="13" t="inlineStr">
        <is>
          <t>TIER_2</t>
        </is>
      </c>
      <c r="F104" s="13" t="inlineStr">
        <is>
          <t>medium</t>
        </is>
      </c>
      <c r="G104" s="13" t="inlineStr">
        <is>
          <t>Wave 5</t>
        </is>
      </c>
      <c r="H104" s="13" t="inlineStr">
        <is>
          <t>spider</t>
        </is>
      </c>
      <c r="I104" s="13" t="inlineStr">
        <is>
          <t>Playwright DISCOVERY pass first - find the internal JSON endpoint, then scrape it over plain HTTP</t>
        </is>
      </c>
      <c r="J104" s="13" t="inlineStr">
        <is>
          <t>Z_bespoke</t>
        </is>
      </c>
      <c r="K104" s="13" t="inlineStr">
        <is>
          <t>React (rebuilt, was Custom/server-rendered)</t>
        </is>
      </c>
      <c r="L104" s="13" t="inlineStr">
        <is>
          <t>retailer_sku</t>
        </is>
      </c>
      <c r="M104" s="13" t="inlineStr">
        <is>
          <t>supermarket</t>
        </is>
      </c>
      <c r="N104" s="13" t="inlineStr">
        <is>
          <t>MWK</t>
        </is>
      </c>
      <c r="O104" s="13" t="n">
        <v>0</v>
      </c>
      <c r="P104" s="13" t="inlineStr">
        <is>
          <t>unresolved -- needs Playwright/API sniff against the new build</t>
        </is>
      </c>
      <c r="Q104" s="13" t="inlineStr">
        <is>
          <t>GET / -&gt; 200, only 562 bytes -- the site has been rebuilt as a Vite/React SPA shell (empty div id='root') since the prior audit, which had verified server-rendered placeholder-like prices with a x1000 units convention. That evidence is now stale.</t>
        </is>
      </c>
      <c r="R104" s="13" t="b">
        <v>1</v>
      </c>
      <c r="S104" s="13" t="inlineStr">
        <is>
          <t>Platform migration invalidates the prior 'thousands-notation' finding -- treat as an unverified new probe, not a re-confirmation.</t>
        </is>
      </c>
      <c r="T104" s="13" t="inlineStr"/>
    </row>
    <row r="105">
      <c r="A105" s="13" t="inlineStr">
        <is>
          <t>ssa</t>
        </is>
      </c>
      <c r="B105" s="13" t="inlineStr">
        <is>
          <t>mauritania</t>
        </is>
      </c>
      <c r="C105" s="13" t="inlineStr">
        <is>
          <t>Maurikilchi</t>
        </is>
      </c>
      <c r="D105" s="13" t="inlineStr">
        <is>
          <t>https://maurikilchi.com/</t>
        </is>
      </c>
      <c r="E105" s="13" t="inlineStr">
        <is>
          <t>TIER_2</t>
        </is>
      </c>
      <c r="F105" s="13" t="inlineStr">
        <is>
          <t>medium</t>
        </is>
      </c>
      <c r="G105" s="13" t="inlineStr">
        <is>
          <t>Wave 5</t>
        </is>
      </c>
      <c r="H105" s="13" t="inlineStr">
        <is>
          <t>spider</t>
        </is>
      </c>
      <c r="I105" s="13" t="inlineStr">
        <is>
          <t>Playwright DISCOVERY pass first - find the internal JSON endpoint, then scrape it over plain HTTP</t>
        </is>
      </c>
      <c r="J105" s="13" t="inlineStr">
        <is>
          <t>Z_bespoke</t>
        </is>
      </c>
      <c r="K105" s="13" t="inlineStr">
        <is>
          <t>Laravel + Inertia.js</t>
        </is>
      </c>
      <c r="L105" s="13" t="inlineStr">
        <is>
          <t>retailer_sku</t>
        </is>
      </c>
      <c r="M105" s="13" t="inlineStr">
        <is>
          <t>supermarket</t>
        </is>
      </c>
      <c r="N105" s="13" t="inlineStr">
        <is>
          <t>MRU</t>
        </is>
      </c>
      <c r="O105" s="13" t="n">
        <v>0</v>
      </c>
      <c r="P105" s="13" t="inlineStr">
        <is>
          <t>unresolved -- needs Playwright/API sniff (Inertia typically proxies a JSON endpoint per-page-visit)</t>
        </is>
      </c>
      <c r="Q105" s="13" t="inlineStr">
        <is>
          <t>GET / -&gt; 200, only 1,024 bytes -- pure Laravel Inertia.js SPA shell (data-page="app" JSON marker, single div#app, no SSR content).</t>
        </is>
      </c>
      <c r="R105" s="13" t="b">
        <v>1</v>
      </c>
      <c r="S105" s="13" t="inlineStr">
        <is>
          <t>Marketplace with a dedicated Supermarche category tree per prior research -- worth a Playwright pass.</t>
        </is>
      </c>
      <c r="T105" s="13" t="inlineStr"/>
    </row>
    <row r="106">
      <c r="A106" s="13" t="inlineStr">
        <is>
          <t>ssa</t>
        </is>
      </c>
      <c r="B106" s="13" t="inlineStr">
        <is>
          <t>mauritania</t>
        </is>
      </c>
      <c r="C106" s="13" t="inlineStr">
        <is>
          <t>Almersoul</t>
        </is>
      </c>
      <c r="D106" s="13" t="inlineStr">
        <is>
          <t>https://www.marsarim.com/fr</t>
        </is>
      </c>
      <c r="E106" s="13" t="inlineStr">
        <is>
          <t>TIER_2</t>
        </is>
      </c>
      <c r="F106" s="13" t="inlineStr">
        <is>
          <t>medium</t>
        </is>
      </c>
      <c r="G106" s="13" t="inlineStr">
        <is>
          <t>Wave 5</t>
        </is>
      </c>
      <c r="H106" s="13" t="inlineStr">
        <is>
          <t>spider</t>
        </is>
      </c>
      <c r="I106" s="13" t="inlineStr">
        <is>
          <t>Playwright DISCOVERY pass first - find the internal JSON endpoint, then scrape it over plain HTTP</t>
        </is>
      </c>
      <c r="J106" s="13" t="inlineStr">
        <is>
          <t>Z_bespoke</t>
        </is>
      </c>
      <c r="K106" s="13" t="inlineStr">
        <is>
          <t>Angular</t>
        </is>
      </c>
      <c r="L106" s="13" t="inlineStr">
        <is>
          <t>retailer_sku</t>
        </is>
      </c>
      <c r="M106" s="13" t="inlineStr">
        <is>
          <t>supermarket</t>
        </is>
      </c>
      <c r="N106" s="13" t="inlineStr">
        <is>
          <t>MRU</t>
        </is>
      </c>
      <c r="O106" s="13" t="n">
        <v>0</v>
      </c>
      <c r="P106" s="13" t="inlineStr">
        <is>
          <t>unresolved -- needs Playwright</t>
        </is>
      </c>
      <c r="Q106" s="13" t="inlineStr">
        <is>
          <t>GET /fr -&gt; 200, 26KB, but is an Angular SPA (&lt;base href="/"&gt;, no SSR content) -- no MRU/product text in raw HTML.</t>
        </is>
      </c>
      <c r="R106" s="13" t="b">
        <v>1</v>
      </c>
      <c r="S106" s="13" t="inlineStr">
        <is>
          <t>Market vertical claimed with Sedad/Bankily/Masrvi mobile-money payments; unconfirmed catalog depth.</t>
        </is>
      </c>
      <c r="T106" s="13" t="inlineStr"/>
    </row>
    <row r="107">
      <c r="A107" s="13" t="inlineStr">
        <is>
          <t>ssa</t>
        </is>
      </c>
      <c r="B107" s="13" t="inlineStr">
        <is>
          <t>tanzania</t>
        </is>
      </c>
      <c r="C107" s="13" t="inlineStr">
        <is>
          <t>Jambo Supermarket</t>
        </is>
      </c>
      <c r="D107" s="13" t="inlineStr">
        <is>
          <t>https://www.jambosupermarket.online/</t>
        </is>
      </c>
      <c r="E107" s="13" t="inlineStr">
        <is>
          <t>TIER_2</t>
        </is>
      </c>
      <c r="F107" s="13" t="inlineStr">
        <is>
          <t>medium</t>
        </is>
      </c>
      <c r="G107" s="13" t="inlineStr">
        <is>
          <t>Wave 5</t>
        </is>
      </c>
      <c r="H107" s="13" t="inlineStr">
        <is>
          <t>spider</t>
        </is>
      </c>
      <c r="I107" s="13" t="inlineStr">
        <is>
          <t>Playwright DISCOVERY pass first - find the internal JSON endpoint, then scrape it over plain HTTP</t>
        </is>
      </c>
      <c r="J107" s="13" t="inlineStr">
        <is>
          <t>Z_bespoke</t>
        </is>
      </c>
      <c r="K107" s="13" t="inlineStr">
        <is>
          <t>React (SPA)</t>
        </is>
      </c>
      <c r="L107" s="13" t="inlineStr">
        <is>
          <t>retailer_sku</t>
        </is>
      </c>
      <c r="M107" s="13" t="inlineStr">
        <is>
          <t>supermarket</t>
        </is>
      </c>
      <c r="N107" s="13" t="inlineStr">
        <is>
          <t>TZS</t>
        </is>
      </c>
      <c r="O107" s="13" t="n">
        <v>0</v>
      </c>
      <c r="P107" s="13" t="inlineStr">
        <is>
          <t>unresolved -- needs Playwright/API sniff</t>
        </is>
      </c>
      <c r="Q107" s="13" t="inlineStr">
        <is>
          <t>GET / -&gt; 200, only 477 bytes -- pure Vite/React SPA shell (empty div id='root').</t>
        </is>
      </c>
      <c r="R107" s="13" t="b">
        <v>1</v>
      </c>
      <c r="S107" s="13" t="inlineStr">
        <is>
          <t>5 named Dar es Salaam branches with a branch selector per prior research (supports within-city comparison) -- worth a Playwright pass, not counted this round.</t>
        </is>
      </c>
      <c r="T107" s="13" t="inlineStr"/>
    </row>
    <row r="108">
      <c r="A108" s="13" t="inlineStr">
        <is>
          <t>ssa</t>
        </is>
      </c>
      <c r="B108" s="13" t="inlineStr">
        <is>
          <t>tanzania</t>
        </is>
      </c>
      <c r="C108" s="13" t="inlineStr">
        <is>
          <t>duka.direct (Selcom)</t>
        </is>
      </c>
      <c r="D108" s="13" t="inlineStr">
        <is>
          <t>https://duka.direct/</t>
        </is>
      </c>
      <c r="E108" s="13" t="inlineStr">
        <is>
          <t>TIER_2</t>
        </is>
      </c>
      <c r="F108" s="13" t="inlineStr">
        <is>
          <t>medium</t>
        </is>
      </c>
      <c r="G108" s="13" t="inlineStr">
        <is>
          <t>Wave 5</t>
        </is>
      </c>
      <c r="H108" s="13" t="inlineStr">
        <is>
          <t>spider</t>
        </is>
      </c>
      <c r="I108" s="13" t="inlineStr">
        <is>
          <t>Playwright DISCOVERY pass first - find the internal JSON endpoint, then scrape it over plain HTTP</t>
        </is>
      </c>
      <c r="J108" s="13" t="inlineStr">
        <is>
          <t>Z_bespoke</t>
        </is>
      </c>
      <c r="K108" s="13" t="inlineStr">
        <is>
          <t>Custom</t>
        </is>
      </c>
      <c r="L108" s="13" t="inlineStr">
        <is>
          <t>retailer_sku</t>
        </is>
      </c>
      <c r="M108" s="13" t="inlineStr">
        <is>
          <t>supermarket</t>
        </is>
      </c>
      <c r="N108" s="13" t="inlineStr">
        <is>
          <t>TZS</t>
        </is>
      </c>
      <c r="O108" s="13" t="n">
        <v>0</v>
      </c>
      <c r="P108" s="13" t="inlineStr">
        <is>
          <t>unresolved</t>
        </is>
      </c>
      <c r="Q108" s="13" t="inlineStr">
        <is>
          <t>GET / -&gt; 200, 155KB SEO/marketing landing page (food delivery + utility payments copy). No SPA shell markers found but also no price class or TSh/TZS pattern in the raw HTML -- catalog likely lives behind app/city-selection flow not reached from the bare domain root.</t>
        </is>
      </c>
      <c r="R108" s="13" t="b">
        <v>1</v>
      </c>
      <c r="S108" s="13" t="inlineStr">
        <is>
          <t>Largest Tanzanian e-commerce platform (Selcom-built) per prior research, with a utility-payment vertical as a bonus for administered-price tracking -- worth a deeper path/Playwright pass later.</t>
        </is>
      </c>
      <c r="T108" s="13" t="inlineStr"/>
    </row>
    <row r="109">
      <c r="A109" s="13" t="inlineStr">
        <is>
          <t>ssa</t>
        </is>
      </c>
      <c r="B109" s="13" t="inlineStr">
        <is>
          <t>zimbabwe</t>
        </is>
      </c>
      <c r="C109" s="13" t="inlineStr">
        <is>
          <t>TM Pick n Pay Zimbabwe</t>
        </is>
      </c>
      <c r="D109" s="13" t="inlineStr">
        <is>
          <t>https://tmpnponline.co.zw/</t>
        </is>
      </c>
      <c r="E109" s="13" t="inlineStr">
        <is>
          <t>TIER_2</t>
        </is>
      </c>
      <c r="F109" s="13" t="inlineStr">
        <is>
          <t>medium</t>
        </is>
      </c>
      <c r="G109" s="13" t="inlineStr">
        <is>
          <t>Wave 5</t>
        </is>
      </c>
      <c r="H109" s="13" t="inlineStr">
        <is>
          <t>spider</t>
        </is>
      </c>
      <c r="I109" s="13" t="inlineStr">
        <is>
          <t>Playwright DISCOVERY pass first - find the internal JSON endpoint, then scrape it over plain HTTP</t>
        </is>
      </c>
      <c r="J109" s="13" t="inlineStr">
        <is>
          <t>Z_bespoke</t>
        </is>
      </c>
      <c r="K109" s="13" t="inlineStr">
        <is>
          <t>Custom</t>
        </is>
      </c>
      <c r="L109" s="13" t="inlineStr">
        <is>
          <t>retailer_sku</t>
        </is>
      </c>
      <c r="M109" s="13" t="inlineStr">
        <is>
          <t>supermarket</t>
        </is>
      </c>
      <c r="N109" s="13" t="inlineStr">
        <is>
          <t>USD</t>
        </is>
      </c>
      <c r="O109" s="13" t="n">
        <v>0</v>
      </c>
      <c r="P109" s="13" t="inlineStr">
        <is>
          <t>unresolved</t>
        </is>
      </c>
      <c r="Q109" s="13" t="inlineStr">
        <is>
          <t>GET / -&gt; 200, 54KB. class='products mt-5' confirms a real product-grid container exists, but no $/USD price text matched in the homepage HTML -- likely lazy-loaded or on a category path not probed this pass.</t>
        </is>
      </c>
      <c r="R109" s="13" t="b">
        <v>1</v>
      </c>
      <c r="S109" s="13" t="inlineStr">
        <is>
          <t>Store/region selector + dual USD/ZWG via ZimSwitch per prior research -- major chain, worth a category-page follow-up.</t>
        </is>
      </c>
      <c r="T109" s="13" t="inlineStr"/>
    </row>
    <row r="110">
      <c r="A110" s="13" t="inlineStr">
        <is>
          <t>ssa</t>
        </is>
      </c>
      <c r="B110" s="13" t="inlineStr">
        <is>
          <t>zimbabwe</t>
        </is>
      </c>
      <c r="C110" s="13" t="inlineStr">
        <is>
          <t>TillPoint</t>
        </is>
      </c>
      <c r="D110" s="13" t="inlineStr">
        <is>
          <t>https://tillpoint.co.zw/</t>
        </is>
      </c>
      <c r="E110" s="13" t="inlineStr">
        <is>
          <t>TIER_2</t>
        </is>
      </c>
      <c r="F110" s="13" t="inlineStr">
        <is>
          <t>medium</t>
        </is>
      </c>
      <c r="G110" s="13" t="inlineStr">
        <is>
          <t>Wave 5</t>
        </is>
      </c>
      <c r="H110" s="13" t="inlineStr">
        <is>
          <t>spider</t>
        </is>
      </c>
      <c r="I110" s="13" t="inlineStr">
        <is>
          <t>Playwright DISCOVERY pass first - find the internal JSON endpoint, then scrape it over plain HTTP</t>
        </is>
      </c>
      <c r="J110" s="13" t="inlineStr">
        <is>
          <t>Z_bespoke</t>
        </is>
      </c>
      <c r="K110" s="13" t="inlineStr">
        <is>
          <t>React (SPA)</t>
        </is>
      </c>
      <c r="L110" s="13" t="inlineStr">
        <is>
          <t>retailer_sku</t>
        </is>
      </c>
      <c r="M110" s="13" t="inlineStr">
        <is>
          <t>supermarket</t>
        </is>
      </c>
      <c r="N110" s="13" t="inlineStr">
        <is>
          <t>USD</t>
        </is>
      </c>
      <c r="O110" s="13" t="n">
        <v>0</v>
      </c>
      <c r="P110" s="13" t="inlineStr">
        <is>
          <t>unresolved -- needs Playwright</t>
        </is>
      </c>
      <c r="Q110" s="13" t="inlineStr">
        <is>
          <t>GET / -&gt; 200, 52KB, React app markers (id='root'-style shell); no product/price/api JSON text found in raw HTML.</t>
        </is>
      </c>
      <c r="R110" s="13" t="b">
        <v>1</v>
      </c>
      <c r="S110" s="13" t="inlineStr">
        <is>
          <t>Produce, meat boxes, pantry staples claimed per prior research.</t>
        </is>
      </c>
      <c r="T110" s="13" t="inlineStr"/>
    </row>
    <row r="111">
      <c r="A111" s="13" t="inlineStr">
        <is>
          <t>ssa</t>
        </is>
      </c>
      <c r="B111" s="13" t="inlineStr">
        <is>
          <t>kenya</t>
        </is>
      </c>
      <c r="C111" s="13" t="inlineStr">
        <is>
          <t>Quickmart</t>
        </is>
      </c>
      <c r="D111" s="13" t="inlineStr">
        <is>
          <t>https://www.quickmart.co.ke/</t>
        </is>
      </c>
      <c r="E111" s="13" t="inlineStr">
        <is>
          <t>TIER_2</t>
        </is>
      </c>
      <c r="F111" s="13" t="inlineStr">
        <is>
          <t>medium</t>
        </is>
      </c>
      <c r="G111" s="13" t="inlineStr">
        <is>
          <t>Wave 5</t>
        </is>
      </c>
      <c r="H111" s="13" t="inlineStr">
        <is>
          <t>spider</t>
        </is>
      </c>
      <c r="I111" s="13" t="inlineStr">
        <is>
          <t>Playwright DISCOVERY pass first - find the internal JSON endpoint, then scrape it over plain HTTP</t>
        </is>
      </c>
      <c r="J111" s="13" t="inlineStr">
        <is>
          <t>Z_bespoke</t>
        </is>
      </c>
      <c r="K111" s="13" t="inlineStr">
        <is>
          <t>Custom</t>
        </is>
      </c>
      <c r="L111" s="13" t="inlineStr">
        <is>
          <t>retailer_sku</t>
        </is>
      </c>
      <c r="M111" s="13" t="inlineStr">
        <is>
          <t>supermarket</t>
        </is>
      </c>
      <c r="N111" s="13" t="inlineStr">
        <is>
          <t>KES</t>
        </is>
      </c>
      <c r="O111" s="13" t="n">
        <v>0</v>
      </c>
      <c r="P111" s="13" t="inlineStr"/>
      <c r="Q111" s="13" t="inlineStr">
        <is>
          <t>curl -&gt; HTTP 200 (46.8KB, no product data, no framework fingerprint). Playwright homepage load + 9s wait -&gt; only 3 network responses, all non-product (Google Maps JS). Confirms CSV's own note: catalogue requires a store/location selection step before any product data loads; a single homepage render never reaches it.</t>
        </is>
      </c>
      <c r="R111" s="13" t="b">
        <v>1</v>
      </c>
      <c r="S111" s="13" t="inlineStr">
        <is>
          <t>Widest verified geographic reach in Kenya (19 towns per CSV) -- worth the extra engineering to script the location-select flow, since spatial price dispersion is otherwise unreachable in this shard.</t>
        </is>
      </c>
      <c r="T111" s="13" t="inlineStr"/>
    </row>
    <row r="112">
      <c r="A112" s="13" t="inlineStr">
        <is>
          <t>ssa</t>
        </is>
      </c>
      <c r="B112" s="13" t="inlineStr">
        <is>
          <t>sudan</t>
        </is>
      </c>
      <c r="C112" s="13" t="inlineStr">
        <is>
          <t>Hyper Express</t>
        </is>
      </c>
      <c r="D112" s="13" t="inlineStr">
        <is>
          <t>https://hyper.sd/</t>
        </is>
      </c>
      <c r="E112" s="13" t="inlineStr">
        <is>
          <t>TIER_2</t>
        </is>
      </c>
      <c r="F112" s="13" t="inlineStr">
        <is>
          <t>medium</t>
        </is>
      </c>
      <c r="G112" s="13" t="inlineStr">
        <is>
          <t>Wave 5</t>
        </is>
      </c>
      <c r="H112" s="13" t="inlineStr">
        <is>
          <t>spider</t>
        </is>
      </c>
      <c r="I112" s="13" t="inlineStr">
        <is>
          <t>Playwright DISCOVERY pass first - find the internal JSON endpoint, then scrape it over plain HTTP</t>
        </is>
      </c>
      <c r="J112" s="13" t="inlineStr">
        <is>
          <t>Z_bespoke</t>
        </is>
      </c>
      <c r="K112" s="13" t="inlineStr">
        <is>
          <t>Custom</t>
        </is>
      </c>
      <c r="L112" s="13" t="inlineStr">
        <is>
          <t>retailer_sku</t>
        </is>
      </c>
      <c r="M112" s="13" t="inlineStr">
        <is>
          <t>supermarket</t>
        </is>
      </c>
      <c r="N112" s="13" t="inlineStr">
        <is>
          <t>SDG</t>
        </is>
      </c>
      <c r="O112" s="13" t="n">
        <v>0</v>
      </c>
      <c r="P112" s="13" t="inlineStr"/>
      <c r="Q112" s="13" t="inlineStr">
        <is>
          <t>curl -&gt; HTTP 200, 286KB SSR HTML. No confirmed product-name + price pair found in the sampled HTML (numeric-looking patterns found were SVG path coordinates, a false positive). Needs a category-page-level probe, not just the homepage.</t>
        </is>
      </c>
      <c r="R112" s="13" t="b">
        <v>1</v>
      </c>
      <c r="S112" s="13" t="inlineStr">
        <is>
          <t>Live multi-vertical platform (hypermarket + restaurants + pharmacies) per CSV; unconfirmed within budget, not a hard block.</t>
        </is>
      </c>
      <c r="T112" s="13" t="inlineStr"/>
    </row>
    <row r="113">
      <c r="A113" s="13" t="inlineStr">
        <is>
          <t>ssa</t>
        </is>
      </c>
      <c r="B113" s="13" t="inlineStr">
        <is>
          <t>sudan</t>
        </is>
      </c>
      <c r="C113" s="13" t="inlineStr">
        <is>
          <t>LILY Delivery</t>
        </is>
      </c>
      <c r="D113" s="13" t="inlineStr">
        <is>
          <t>https://www.lilydelivery.com/en</t>
        </is>
      </c>
      <c r="E113" s="13" t="inlineStr">
        <is>
          <t>TIER_2</t>
        </is>
      </c>
      <c r="F113" s="13" t="inlineStr">
        <is>
          <t>medium</t>
        </is>
      </c>
      <c r="G113" s="13" t="inlineStr">
        <is>
          <t>Wave 5</t>
        </is>
      </c>
      <c r="H113" s="13" t="inlineStr">
        <is>
          <t>spider</t>
        </is>
      </c>
      <c r="I113" s="13" t="inlineStr">
        <is>
          <t>Playwright DISCOVERY pass first - find the internal JSON endpoint, then scrape it over plain HTTP</t>
        </is>
      </c>
      <c r="J113" s="13" t="inlineStr">
        <is>
          <t>Z_bespoke</t>
        </is>
      </c>
      <c r="K113" s="13" t="inlineStr">
        <is>
          <t>Custom</t>
        </is>
      </c>
      <c r="L113" s="13" t="inlineStr">
        <is>
          <t>retailer_sku</t>
        </is>
      </c>
      <c r="M113" s="13" t="inlineStr">
        <is>
          <t>supermarket</t>
        </is>
      </c>
      <c r="N113" s="13" t="inlineStr">
        <is>
          <t>SDG</t>
        </is>
      </c>
      <c r="O113" s="13" t="n">
        <v>0</v>
      </c>
      <c r="P113" s="13" t="inlineStr"/>
      <c r="Q113" s="13" t="inlineStr">
        <is>
          <t>curl -&gt; HTTP 200, 247KB. No SDG price pattern found in homepage HTML. Likely needs the specific /order/supermarket/hypermarket vertical URL from the CSV's second row, not probed further within budget.</t>
        </is>
      </c>
      <c r="R113" s="13" t="b">
        <v>1</v>
      </c>
      <c r="S113" s="13" t="inlineStr">
        <is>
          <t>Unconfirmed within budget, not a hard block.</t>
        </is>
      </c>
      <c r="T113" s="13" t="inlineStr"/>
    </row>
    <row r="114">
      <c r="A114" s="13" t="inlineStr">
        <is>
          <t>ssa</t>
        </is>
      </c>
      <c r="B114" s="13" t="inlineStr">
        <is>
          <t>sudan</t>
        </is>
      </c>
      <c r="C114" s="13" t="inlineStr">
        <is>
          <t>Zaad Delivery</t>
        </is>
      </c>
      <c r="D114" s="13" t="inlineStr">
        <is>
          <t>https://zaad.delivery/</t>
        </is>
      </c>
      <c r="E114" s="13" t="inlineStr">
        <is>
          <t>TIER_2</t>
        </is>
      </c>
      <c r="F114" s="13" t="inlineStr">
        <is>
          <t>medium</t>
        </is>
      </c>
      <c r="G114" s="13" t="inlineStr">
        <is>
          <t>Wave 5</t>
        </is>
      </c>
      <c r="H114" s="13" t="inlineStr">
        <is>
          <t>spider</t>
        </is>
      </c>
      <c r="I114" s="13" t="inlineStr">
        <is>
          <t>Playwright DISCOVERY pass first - find the internal JSON endpoint, then scrape it over plain HTTP</t>
        </is>
      </c>
      <c r="J114" s="13" t="inlineStr">
        <is>
          <t>Z_bespoke</t>
        </is>
      </c>
      <c r="K114" s="13" t="inlineStr">
        <is>
          <t>Vue.js SPA</t>
        </is>
      </c>
      <c r="L114" s="13" t="inlineStr">
        <is>
          <t>retailer_sku</t>
        </is>
      </c>
      <c r="M114" s="13" t="inlineStr">
        <is>
          <t>supermarket</t>
        </is>
      </c>
      <c r="N114" s="13" t="inlineStr">
        <is>
          <t>SDG</t>
        </is>
      </c>
      <c r="O114" s="13" t="n">
        <v>0</v>
      </c>
      <c r="P114" s="13" t="inlineStr"/>
      <c r="Q114" s="13" t="inlineStr">
        <is>
          <t>curl -&gt; HTTP 200, 192KB, Vue.js fingerprint found. No SDG price pattern found in raw HTML (client-hydrated, as expected for Vue).</t>
        </is>
      </c>
      <c r="R114" s="13" t="b">
        <v>1</v>
      </c>
      <c r="S114" s="13" t="inlineStr">
        <is>
          <t>Not Playwright-verified within budget.</t>
        </is>
      </c>
      <c r="T114" s="13" t="inlineStr"/>
    </row>
    <row r="115">
      <c r="A115" s="13" t="inlineStr">
        <is>
          <t>ssa</t>
        </is>
      </c>
      <c r="B115" s="13" t="inlineStr">
        <is>
          <t>guinea</t>
        </is>
      </c>
      <c r="C115" s="13" t="inlineStr">
        <is>
          <t>Kona Livr</t>
        </is>
      </c>
      <c r="D115" s="13" t="inlineStr">
        <is>
          <t>https://www.konalivr.com/</t>
        </is>
      </c>
      <c r="E115" s="13" t="inlineStr">
        <is>
          <t>TIER_2</t>
        </is>
      </c>
      <c r="F115" s="13" t="inlineStr">
        <is>
          <t>medium</t>
        </is>
      </c>
      <c r="G115" s="13" t="inlineStr">
        <is>
          <t>Wave 5</t>
        </is>
      </c>
      <c r="H115" s="13" t="inlineStr">
        <is>
          <t>spider</t>
        </is>
      </c>
      <c r="I115" s="13" t="inlineStr">
        <is>
          <t>Playwright DISCOVERY pass first - find the internal JSON endpoint, then scrape it over plain HTTP</t>
        </is>
      </c>
      <c r="J115" s="13" t="inlineStr">
        <is>
          <t>Z_bespoke</t>
        </is>
      </c>
      <c r="K115" s="13" t="inlineStr">
        <is>
          <t>Next.js</t>
        </is>
      </c>
      <c r="L115" s="13" t="inlineStr">
        <is>
          <t>retailer_sku</t>
        </is>
      </c>
      <c r="M115" s="13" t="inlineStr">
        <is>
          <t>supermarket</t>
        </is>
      </c>
      <c r="N115" s="13" t="inlineStr">
        <is>
          <t>GNF</t>
        </is>
      </c>
      <c r="O115" s="13" t="n">
        <v>0</v>
      </c>
      <c r="P115" s="13" t="inlineStr"/>
      <c r="Q115" s="13" t="inlineStr">
        <is>
          <t>curl -&gt; HTTP 200, 112KB Next.js RSC-hydrated HTML. All GNF figures found are delivery-fee thresholds and delivery-time strings ('Frais de livraison offerts des 100 000 GNF', 'livraison 15 000 GNF'), not product prices -- this is a store/restaurant DIRECTORY (name, category, rating, delivery time), not a product catalog at this depth.</t>
        </is>
      </c>
      <c r="R115" s="13" t="b">
        <v>1</v>
      </c>
      <c r="S115" s="13" t="inlineStr">
        <is>
          <t>Per discovery doctrine, treat as a MARKETPLACE lead, not a source: the value here is its partner list (supermarkets/pharmacies/boulangeries in Conakry), each a candidate storefront of its own, reachable only by drilling into per-vendor menu pages.</t>
        </is>
      </c>
      <c r="T115" s="13" t="inlineStr"/>
    </row>
    <row r="116">
      <c r="A116" s="13" t="inlineStr">
        <is>
          <t>ssa</t>
        </is>
      </c>
      <c r="B116" s="13" t="inlineStr">
        <is>
          <t>guinea</t>
        </is>
      </c>
      <c r="C116" s="13" t="inlineStr">
        <is>
          <t>maMakiti</t>
        </is>
      </c>
      <c r="D116" s="13" t="inlineStr">
        <is>
          <t>https://mamakiti.com/</t>
        </is>
      </c>
      <c r="E116" s="13" t="inlineStr">
        <is>
          <t>TIER_2</t>
        </is>
      </c>
      <c r="F116" s="13" t="inlineStr">
        <is>
          <t>medium</t>
        </is>
      </c>
      <c r="G116" s="13" t="inlineStr">
        <is>
          <t>Wave 5</t>
        </is>
      </c>
      <c r="H116" s="13" t="inlineStr">
        <is>
          <t>spider</t>
        </is>
      </c>
      <c r="I116" s="13" t="inlineStr">
        <is>
          <t>Playwright DISCOVERY pass first - find the internal JSON endpoint, then scrape it over plain HTTP</t>
        </is>
      </c>
      <c r="J116" s="13" t="inlineStr">
        <is>
          <t>Z_bespoke</t>
        </is>
      </c>
      <c r="K116" s="13" t="inlineStr">
        <is>
          <t>React/Next.js SPA (likely)</t>
        </is>
      </c>
      <c r="L116" s="13" t="inlineStr">
        <is>
          <t>retailer_sku</t>
        </is>
      </c>
      <c r="M116" s="13" t="inlineStr">
        <is>
          <t>supermarket</t>
        </is>
      </c>
      <c r="N116" s="13" t="inlineStr">
        <is>
          <t>GNF</t>
        </is>
      </c>
      <c r="O116" s="13" t="n">
        <v>0</v>
      </c>
      <c r="P116" s="13" t="inlineStr"/>
      <c r="Q116" s="13" t="inlineStr">
        <is>
          <t>curl -&gt; HTTP 200, 52KB. Only GNF occurrences are JSON-LD boilerplate (priceRange:'GNF', price:'0') -- an SPA shell with no server-rendered product data.</t>
        </is>
      </c>
      <c r="R116" s="13" t="b">
        <v>1</v>
      </c>
      <c r="S116" s="13" t="inlineStr">
        <is>
          <t>Local market produce/vendor commission model per CSV; needs full network-sniff to find its API.</t>
        </is>
      </c>
      <c r="T116" s="13" t="inlineStr"/>
    </row>
    <row r="117">
      <c r="A117" s="13" t="inlineStr">
        <is>
          <t>ssa</t>
        </is>
      </c>
      <c r="B117" s="13" t="inlineStr">
        <is>
          <t>guinea</t>
        </is>
      </c>
      <c r="C117" s="13" t="inlineStr">
        <is>
          <t>BraPrime</t>
        </is>
      </c>
      <c r="D117" s="13" t="inlineStr">
        <is>
          <t>https://www.braprime.com/</t>
        </is>
      </c>
      <c r="E117" s="13" t="inlineStr">
        <is>
          <t>TIER_2</t>
        </is>
      </c>
      <c r="F117" s="13" t="inlineStr">
        <is>
          <t>medium</t>
        </is>
      </c>
      <c r="G117" s="13" t="inlineStr">
        <is>
          <t>Wave 5</t>
        </is>
      </c>
      <c r="H117" s="13" t="inlineStr">
        <is>
          <t>spider</t>
        </is>
      </c>
      <c r="I117" s="13" t="inlineStr">
        <is>
          <t>Playwright DISCOVERY pass first - find the internal JSON endpoint, then scrape it over plain HTTP</t>
        </is>
      </c>
      <c r="J117" s="13" t="inlineStr">
        <is>
          <t>Z_bespoke</t>
        </is>
      </c>
      <c r="K117" s="13" t="inlineStr">
        <is>
          <t>React SPA</t>
        </is>
      </c>
      <c r="L117" s="13" t="inlineStr">
        <is>
          <t>retailer_sku</t>
        </is>
      </c>
      <c r="M117" s="13" t="inlineStr">
        <is>
          <t>supermarket</t>
        </is>
      </c>
      <c r="N117" s="13" t="inlineStr">
        <is>
          <t>GNF</t>
        </is>
      </c>
      <c r="O117" s="13" t="n">
        <v>0</v>
      </c>
      <c r="P117" s="13" t="inlineStr"/>
      <c r="Q117" s="13" t="inlineStr">
        <is>
          <t>curl -&gt; HTTP 200, only 2.4KB body -- a Vite/React SPA shell (class='dark', empty root div).</t>
        </is>
      </c>
      <c r="R117" s="13" t="b">
        <v>1</v>
      </c>
      <c r="S117" s="13" t="inlineStr">
        <is>
          <t>Multi-service delivery platform per CSV; not probed further with Playwright within budget.</t>
        </is>
      </c>
      <c r="T117" s="13" t="inlineStr"/>
    </row>
    <row r="118">
      <c r="A118" s="13" t="inlineStr">
        <is>
          <t>ssa</t>
        </is>
      </c>
      <c r="B118" s="13" t="inlineStr">
        <is>
          <t>congo_dem_rep</t>
        </is>
      </c>
      <c r="C118" s="13" t="inlineStr">
        <is>
          <t>Kin Marche</t>
        </is>
      </c>
      <c r="D118" s="13" t="inlineStr">
        <is>
          <t>https://kinmarche.com/</t>
        </is>
      </c>
      <c r="E118" s="13" t="inlineStr">
        <is>
          <t>TIER_2</t>
        </is>
      </c>
      <c r="F118" s="13" t="inlineStr">
        <is>
          <t>medium</t>
        </is>
      </c>
      <c r="G118" s="13" t="inlineStr">
        <is>
          <t>Wave 5</t>
        </is>
      </c>
      <c r="H118" s="13" t="inlineStr">
        <is>
          <t>spider</t>
        </is>
      </c>
      <c r="I118" s="13" t="inlineStr">
        <is>
          <t>Playwright DISCOVERY pass first - find the internal JSON endpoint, then scrape it over plain HTTP</t>
        </is>
      </c>
      <c r="J118" s="13" t="inlineStr">
        <is>
          <t>Z_bespoke</t>
        </is>
      </c>
      <c r="K118" s="13" t="inlineStr">
        <is>
          <t>Custom</t>
        </is>
      </c>
      <c r="L118" s="13" t="inlineStr">
        <is>
          <t>retailer_sku</t>
        </is>
      </c>
      <c r="M118" s="13" t="inlineStr">
        <is>
          <t>supermarket</t>
        </is>
      </c>
      <c r="N118" s="13" t="inlineStr">
        <is>
          <t>CDF</t>
        </is>
      </c>
      <c r="O118" s="13" t="n">
        <v>0</v>
      </c>
      <c r="P118" s="13" t="inlineStr"/>
      <c r="Q118" s="13" t="inlineStr">
        <is>
          <t>curl -&gt; HTTP 200, 30KB (homepage) and 74KB (/product-categories). No CDF/FC price pattern and no product/category href found in either page -- static shell only exposes nav links (about, contact, stores, product-categories) with no actual category listing content server-rendered.</t>
        </is>
      </c>
      <c r="R118" s="13" t="b">
        <v>1</v>
      </c>
      <c r="S118" s="13" t="inlineStr">
        <is>
          <t>CSV confirms this is a real national chain (Kinshasa/Katanga/Kivu/Kongo Central) with 'Produits frais, Epicerie, Boissons' categories -- the data must exist behind JS/AJAX not reached by a plain curl of the listed pages. Needs Playwright.</t>
        </is>
      </c>
      <c r="T118" s="13" t="inlineStr"/>
    </row>
    <row r="119">
      <c r="A119" s="13" t="inlineStr">
        <is>
          <t>ssa</t>
        </is>
      </c>
      <c r="B119" s="13" t="inlineStr">
        <is>
          <t>cote_divoire</t>
        </is>
      </c>
      <c r="C119" s="13" t="inlineStr">
        <is>
          <t>MegaMarche CI</t>
        </is>
      </c>
      <c r="D119" s="13" t="inlineStr">
        <is>
          <t>https://www.megamarche.ci/</t>
        </is>
      </c>
      <c r="E119" s="13" t="inlineStr">
        <is>
          <t>TIER_2</t>
        </is>
      </c>
      <c r="F119" s="13" t="inlineStr">
        <is>
          <t>medium</t>
        </is>
      </c>
      <c r="G119" s="13" t="inlineStr">
        <is>
          <t>Wave 5</t>
        </is>
      </c>
      <c r="H119" s="13" t="inlineStr">
        <is>
          <t>spider</t>
        </is>
      </c>
      <c r="I119" s="13" t="inlineStr">
        <is>
          <t>Playwright DISCOVERY pass first - find the internal JSON endpoint, then scrape it over plain HTTP</t>
        </is>
      </c>
      <c r="J119" s="13" t="inlineStr">
        <is>
          <t>Z_bespoke</t>
        </is>
      </c>
      <c r="K119" s="13" t="inlineStr">
        <is>
          <t>Custom</t>
        </is>
      </c>
      <c r="L119" s="13" t="inlineStr">
        <is>
          <t>retailer_sku</t>
        </is>
      </c>
      <c r="M119" s="13" t="inlineStr">
        <is>
          <t>supermarket</t>
        </is>
      </c>
      <c r="N119" s="13" t="inlineStr">
        <is>
          <t>XOF</t>
        </is>
      </c>
      <c r="O119" s="13" t="n">
        <v>0</v>
      </c>
      <c r="P119" s="13" t="inlineStr"/>
      <c r="Q119" s="13" t="inlineStr">
        <is>
          <t>curl -&gt; HTTP 200, 252KB. No FCFA/XOF price pattern, no product/category href found. Playwright render (5s wait + scroll) -&gt; zero JSON/API responses captured. Site appears to require login or store selection before any catalogue content appears.</t>
        </is>
      </c>
      <c r="R119" s="13" t="b">
        <v>1</v>
      </c>
      <c r="S119" s="13" t="inlineStr">
        <is>
          <t>Not a hard block (200 throughout) but unconfirmed within budget.</t>
        </is>
      </c>
      <c r="T119" s="13" t="inlineStr"/>
    </row>
    <row r="120">
      <c r="A120" s="13" t="inlineStr">
        <is>
          <t>ssa</t>
        </is>
      </c>
      <c r="B120" s="13" t="inlineStr">
        <is>
          <t>cote_divoire</t>
        </is>
      </c>
      <c r="C120" s="13" t="inlineStr">
        <is>
          <t>Playce / Carrefour CI</t>
        </is>
      </c>
      <c r="D120" s="13" t="inlineStr">
        <is>
          <t>https://playce.ci/</t>
        </is>
      </c>
      <c r="E120" s="13" t="inlineStr">
        <is>
          <t>TIER_2</t>
        </is>
      </c>
      <c r="F120" s="13" t="inlineStr">
        <is>
          <t>medium</t>
        </is>
      </c>
      <c r="G120" s="13" t="inlineStr">
        <is>
          <t>Wave 5</t>
        </is>
      </c>
      <c r="H120" s="13" t="inlineStr">
        <is>
          <t>spider</t>
        </is>
      </c>
      <c r="I120" s="13" t="inlineStr">
        <is>
          <t>Playwright DISCOVERY pass first - find the internal JSON endpoint, then scrape it over plain HTTP</t>
        </is>
      </c>
      <c r="J120" s="13" t="inlineStr">
        <is>
          <t>Z_bespoke</t>
        </is>
      </c>
      <c r="K120" s="13" t="inlineStr">
        <is>
          <t>WordPress (store-locator only)</t>
        </is>
      </c>
      <c r="L120" s="13" t="inlineStr">
        <is>
          <t>retailer_sku</t>
        </is>
      </c>
      <c r="M120" s="13" t="inlineStr">
        <is>
          <t>supermarket</t>
        </is>
      </c>
      <c r="N120" s="13" t="inlineStr">
        <is>
          <t>XOF</t>
        </is>
      </c>
      <c r="O120" s="13" t="n">
        <v>0</v>
      </c>
      <c r="P120" s="13" t="inlineStr"/>
      <c r="Q120" s="13" t="inlineStr">
        <is>
          <t>curl -&gt; HTTP 200, 136KB. Playwright network trace found only a WP admin-ajax store-locator call (action=store_search) and Google Maps assets -- no product catalog API observed.</t>
        </is>
      </c>
      <c r="R120" s="13" t="b">
        <v>1</v>
      </c>
      <c r="S120" s="13" t="inlineStr">
        <is>
          <t>CFAO-operated Carrefour franchise per CSV; the page found is a store-locator, not a shop front. Product catalog likely lives elsewhere or behind further navigation not reached within budget.</t>
        </is>
      </c>
      <c r="T120" s="13" t="inlineStr"/>
    </row>
    <row r="121">
      <c r="A121" s="13" t="inlineStr">
        <is>
          <t>ssa</t>
        </is>
      </c>
      <c r="B121" s="13" t="inlineStr">
        <is>
          <t>rwanda</t>
        </is>
      </c>
      <c r="C121" s="13" t="inlineStr">
        <is>
          <t>haha.rw</t>
        </is>
      </c>
      <c r="D121" s="13" t="inlineStr">
        <is>
          <t>https://haha.rw/</t>
        </is>
      </c>
      <c r="E121" s="13" t="inlineStr">
        <is>
          <t>TIER_2</t>
        </is>
      </c>
      <c r="F121" s="13" t="inlineStr">
        <is>
          <t>medium</t>
        </is>
      </c>
      <c r="G121" s="13" t="inlineStr">
        <is>
          <t>Wave 5</t>
        </is>
      </c>
      <c r="H121" s="13" t="inlineStr">
        <is>
          <t>spider</t>
        </is>
      </c>
      <c r="I121" s="13" t="inlineStr">
        <is>
          <t>Playwright DISCOVERY pass first - find the internal JSON endpoint, then scrape it over plain HTTP</t>
        </is>
      </c>
      <c r="J121" s="13" t="inlineStr">
        <is>
          <t>Z_bespoke</t>
        </is>
      </c>
      <c r="K121" s="13" t="inlineStr">
        <is>
          <t>React SPA (Vite)</t>
        </is>
      </c>
      <c r="L121" s="13" t="inlineStr">
        <is>
          <t>retailer_sku</t>
        </is>
      </c>
      <c r="M121" s="13" t="inlineStr">
        <is>
          <t>supermarket</t>
        </is>
      </c>
      <c r="N121" s="13" t="inlineStr">
        <is>
          <t>RWF</t>
        </is>
      </c>
      <c r="O121" s="13" t="n">
        <v>0</v>
      </c>
      <c r="P121" s="13" t="inlineStr"/>
      <c r="Q121" s="13" t="inlineStr">
        <is>
          <t>curl -&gt; HTTP 200 but only 779 bytes -- a Vite/React SPA shell ('&lt;div id="root"&gt;&lt;/div&gt;', hashed asset bundle). CSV describes this as 'server-rendered' which is incorrect; it is client-hydrated.</t>
        </is>
      </c>
      <c r="R121" s="13" t="b">
        <v>1</v>
      </c>
      <c r="S121" s="13" t="inlineStr">
        <is>
          <t>CSV's claim of 'RWF prices per kg/piece/bunch, 6 named Kigali markets' must have come from a rendered/API view, not the raw HTML -- needs an API-sniff Playwright pass to find the JSON backend.</t>
        </is>
      </c>
      <c r="T121" s="13" t="inlineStr"/>
    </row>
    <row r="122">
      <c r="A122" s="13" t="inlineStr">
        <is>
          <t>ssa</t>
        </is>
      </c>
      <c r="B122" s="13" t="inlineStr">
        <is>
          <t>rwanda</t>
        </is>
      </c>
      <c r="C122" s="13" t="inlineStr">
        <is>
          <t>Fasita</t>
        </is>
      </c>
      <c r="D122" s="13" t="inlineStr">
        <is>
          <t>https://fasita.rw/</t>
        </is>
      </c>
      <c r="E122" s="13" t="inlineStr">
        <is>
          <t>TIER_2</t>
        </is>
      </c>
      <c r="F122" s="13" t="inlineStr">
        <is>
          <t>medium</t>
        </is>
      </c>
      <c r="G122" s="13" t="inlineStr">
        <is>
          <t>Wave 5</t>
        </is>
      </c>
      <c r="H122" s="13" t="inlineStr">
        <is>
          <t>spider</t>
        </is>
      </c>
      <c r="I122" s="13" t="inlineStr">
        <is>
          <t>Playwright DISCOVERY pass first - find the internal JSON endpoint, then scrape it over plain HTTP</t>
        </is>
      </c>
      <c r="J122" s="13" t="inlineStr">
        <is>
          <t>Z_bespoke</t>
        </is>
      </c>
      <c r="K122" s="13" t="inlineStr">
        <is>
          <t>Next.js</t>
        </is>
      </c>
      <c r="L122" s="13" t="inlineStr">
        <is>
          <t>retailer_sku</t>
        </is>
      </c>
      <c r="M122" s="13" t="inlineStr">
        <is>
          <t>supermarket</t>
        </is>
      </c>
      <c r="N122" s="13" t="inlineStr">
        <is>
          <t>RWF</t>
        </is>
      </c>
      <c r="O122" s="13" t="n">
        <v>0</v>
      </c>
      <c r="P122" s="13" t="inlineStr"/>
      <c r="Q122" s="13" t="inlineStr">
        <is>
          <t>curl -&gt; HTTP 200, 40.5KB, Next.js app (App Router, RSC preload tags). No RWF price pattern found on the homepage itself.</t>
        </is>
      </c>
      <c r="R122" s="13" t="b">
        <v>1</v>
      </c>
      <c r="S122" s="13" t="inlineStr">
        <is>
          <t>Homepage is a landing/marketing shell; category or product pages not probed within budget.</t>
        </is>
      </c>
      <c r="T122" s="13" t="inlineStr"/>
    </row>
    <row r="123">
      <c r="A123" s="13" t="inlineStr">
        <is>
          <t>ssa</t>
        </is>
      </c>
      <c r="B123" s="13" t="inlineStr">
        <is>
          <t>rwanda</t>
        </is>
      </c>
      <c r="C123" s="13" t="inlineStr">
        <is>
          <t>N.Honest Supermarket</t>
        </is>
      </c>
      <c r="D123" s="13" t="inlineStr">
        <is>
          <t>https://www.honestsupermarket.com/</t>
        </is>
      </c>
      <c r="E123" s="13" t="inlineStr">
        <is>
          <t>TIER_2</t>
        </is>
      </c>
      <c r="F123" s="13" t="inlineStr">
        <is>
          <t>high</t>
        </is>
      </c>
      <c r="G123" s="13" t="inlineStr">
        <is>
          <t>Wave 5</t>
        </is>
      </c>
      <c r="H123" s="13" t="inlineStr">
        <is>
          <t>spider</t>
        </is>
      </c>
      <c r="I123" s="13" t="inlineStr">
        <is>
          <t>Playwright DISCOVERY pass first - find the internal JSON endpoint, then scrape it over plain HTTP</t>
        </is>
      </c>
      <c r="J123" s="13" t="inlineStr">
        <is>
          <t>Z_bespoke</t>
        </is>
      </c>
      <c r="K123" s="13" t="inlineStr">
        <is>
          <t>Custom</t>
        </is>
      </c>
      <c r="L123" s="13" t="inlineStr">
        <is>
          <t>retailer_sku</t>
        </is>
      </c>
      <c r="M123" s="13" t="inlineStr">
        <is>
          <t>supermarket</t>
        </is>
      </c>
      <c r="N123" s="13" t="inlineStr">
        <is>
          <t>RWF</t>
        </is>
      </c>
      <c r="O123" s="13" t="n">
        <v>0</v>
      </c>
      <c r="P123" s="13" t="inlineStr"/>
      <c r="Q123" s="13" t="inlineStr">
        <is>
          <t>curl -&gt; HTTP 200, 115KB. Cart summary shows 'RWF 0.00' placeholders (client-side cart JS, no server data). Corroborates CSV's own note that the product API returns HTTP 403.</t>
        </is>
      </c>
      <c r="R123" s="13" t="b">
        <v>1</v>
      </c>
      <c r="S123" s="13" t="inlineStr">
        <is>
          <t>CSV already diagnosed the API-level 403; this probe corroborates it rather than re-litigating.</t>
        </is>
      </c>
      <c r="T123" s="13" t="inlineStr"/>
    </row>
    <row r="124">
      <c r="A124" s="13" t="inlineStr">
        <is>
          <t>ssa</t>
        </is>
      </c>
      <c r="B124" s="13" t="inlineStr">
        <is>
          <t>rwanda</t>
        </is>
      </c>
      <c r="C124" s="13" t="inlineStr">
        <is>
          <t>Pride Farms</t>
        </is>
      </c>
      <c r="D124" s="13" t="inlineStr">
        <is>
          <t>https://www.pridefarms.rw/</t>
        </is>
      </c>
      <c r="E124" s="13" t="inlineStr">
        <is>
          <t>TIER_2</t>
        </is>
      </c>
      <c r="F124" s="13" t="inlineStr">
        <is>
          <t>medium</t>
        </is>
      </c>
      <c r="G124" s="13" t="inlineStr">
        <is>
          <t>Wave 5</t>
        </is>
      </c>
      <c r="H124" s="13" t="inlineStr">
        <is>
          <t>spider</t>
        </is>
      </c>
      <c r="I124" s="13" t="inlineStr">
        <is>
          <t>Playwright DISCOVERY pass first - find the internal JSON endpoint, then scrape it over plain HTTP</t>
        </is>
      </c>
      <c r="J124" s="13" t="inlineStr">
        <is>
          <t>Z_bespoke</t>
        </is>
      </c>
      <c r="K124" s="13" t="inlineStr">
        <is>
          <t>Wix</t>
        </is>
      </c>
      <c r="L124" s="13" t="inlineStr">
        <is>
          <t>retailer_sku</t>
        </is>
      </c>
      <c r="M124" s="13" t="inlineStr">
        <is>
          <t>supermarket</t>
        </is>
      </c>
      <c r="N124" s="13" t="inlineStr">
        <is>
          <t>RWF</t>
        </is>
      </c>
      <c r="O124" s="13" t="n">
        <v>0</v>
      </c>
      <c r="P124" s="13" t="inlineStr"/>
      <c r="Q124" s="13" t="inlineStr">
        <is>
          <t>curl -&gt; HTTP 200, 1.5MB (Wix). No RWF price pattern found anywhere in the raw HTML -- Wix sites typically load catalog data via a client-side Velo/data-binding API, not SSR.</t>
        </is>
      </c>
      <c r="R124" s="13" t="b">
        <v>1</v>
      </c>
      <c r="S124" s="13" t="inlineStr">
        <is>
          <t>Farm-to-door produce and pantry per CSV; would need a Wix Stores API sniff (their catalog endpoint is usually _api/wix-ecommerce-storefront-web/api or similar).</t>
        </is>
      </c>
      <c r="T124" s="13" t="inlineStr"/>
    </row>
    <row r="125">
      <c r="A125" s="13" t="inlineStr">
        <is>
          <t>ssa</t>
        </is>
      </c>
      <c r="B125" s="13" t="inlineStr">
        <is>
          <t>cabo_verde</t>
        </is>
      </c>
      <c r="C125" s="13" t="inlineStr">
        <is>
          <t>Deliiv</t>
        </is>
      </c>
      <c r="D125" s="13" t="inlineStr">
        <is>
          <t>https://deliiv.cv/</t>
        </is>
      </c>
      <c r="E125" s="13" t="inlineStr">
        <is>
          <t>TIER_2</t>
        </is>
      </c>
      <c r="F125" s="13" t="inlineStr">
        <is>
          <t>medium</t>
        </is>
      </c>
      <c r="G125" s="13" t="inlineStr">
        <is>
          <t>Wave 5</t>
        </is>
      </c>
      <c r="H125" s="13" t="inlineStr">
        <is>
          <t>spider</t>
        </is>
      </c>
      <c r="I125" s="13" t="inlineStr">
        <is>
          <t>Playwright DISCOVERY pass first - find the internal JSON endpoint, then scrape it over plain HTTP</t>
        </is>
      </c>
      <c r="J125" s="13" t="inlineStr">
        <is>
          <t>Z_bespoke</t>
        </is>
      </c>
      <c r="K125" s="13" t="inlineStr">
        <is>
          <t>Custom</t>
        </is>
      </c>
      <c r="L125" s="13" t="inlineStr">
        <is>
          <t>retailer_sku</t>
        </is>
      </c>
      <c r="M125" s="13" t="inlineStr">
        <is>
          <t>supermarket</t>
        </is>
      </c>
      <c r="N125" s="13" t="inlineStr">
        <is>
          <t>CVE</t>
        </is>
      </c>
      <c r="O125" s="13" t="n">
        <v>0</v>
      </c>
      <c r="P125" s="13" t="inlineStr"/>
      <c r="Q125" s="13" t="inlineStr">
        <is>
          <t>curl -&gt; HTTP 200, 119KB. No CVE product-price pattern found in the raw HTML.</t>
        </is>
      </c>
      <c r="R125" s="13" t="b">
        <v>1</v>
      </c>
      <c r="S125" s="13" t="inlineStr">
        <is>
          <t>Praia/Tarrafal restaurant + daily-shopping delivery per CSV; likely a restaurant-menu aggregator rather than grocery SKUs at first glance, unconfirmed within budget.</t>
        </is>
      </c>
      <c r="T125" s="13" t="inlineStr"/>
    </row>
    <row r="126">
      <c r="A126" s="13" t="inlineStr">
        <is>
          <t>ssa</t>
        </is>
      </c>
      <c r="B126" s="13" t="inlineStr">
        <is>
          <t>cabo_verde</t>
        </is>
      </c>
      <c r="C126" s="13" t="inlineStr">
        <is>
          <t>GO.cv (Correios CV)</t>
        </is>
      </c>
      <c r="D126" s="13" t="inlineStr">
        <is>
          <t>https://www.go.cv/</t>
        </is>
      </c>
      <c r="E126" s="13" t="inlineStr">
        <is>
          <t>TIER_2</t>
        </is>
      </c>
      <c r="F126" s="13" t="inlineStr">
        <is>
          <t>medium</t>
        </is>
      </c>
      <c r="G126" s="13" t="inlineStr">
        <is>
          <t>Wave 5</t>
        </is>
      </c>
      <c r="H126" s="13" t="inlineStr">
        <is>
          <t>fetcher</t>
        </is>
      </c>
      <c r="I126" s="13" t="inlineStr">
        <is>
          <t>Playwright DISCOVERY pass first - find the internal JSON endpoint, then scrape it over plain HTTP</t>
        </is>
      </c>
      <c r="J126" s="13" t="inlineStr">
        <is>
          <t>Z_bespoke</t>
        </is>
      </c>
      <c r="K126" s="13" t="inlineStr">
        <is>
          <t>Custom</t>
        </is>
      </c>
      <c r="L126" s="13" t="inlineStr">
        <is>
          <t>aggregate_proxy</t>
        </is>
      </c>
      <c r="M126" s="13" t="inlineStr">
        <is>
          <t>supermarket</t>
        </is>
      </c>
      <c r="N126" s="13" t="inlineStr">
        <is>
          <t>CVE</t>
        </is>
      </c>
      <c r="O126" s="13" t="n">
        <v>0</v>
      </c>
      <c r="P126" s="13" t="inlineStr"/>
      <c r="Q126" s="13" t="inlineStr">
        <is>
          <t>curl -&gt; DNS resolves (87.103.13.203) but TLS handshake times out after 20s (connection hangs, not a clean refusal/403). Distinct from a WAF block -- looks like a slow or overloaded origin.</t>
        </is>
      </c>
      <c r="R126" s="13" t="b">
        <v>1</v>
      </c>
      <c r="S126" s="13" t="inlineStr">
        <is>
          <t>National postal multi-vendor marketplace per CSV -- worth a retry with a longer timeout before writing off; the TLS handshake got partway through, suggesting a live-but-slow origin rather than a hard block.</t>
        </is>
      </c>
      <c r="T126" s="13" t="inlineStr"/>
    </row>
  </sheetData>
  <autoFilter ref="A1:T1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41"/>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34" customWidth="1" min="3" max="3"/>
    <col width="58" customWidth="1" min="4" max="4"/>
    <col width="10" customWidth="1" min="5" max="5"/>
    <col width="10" customWidth="1" min="6" max="6"/>
    <col width="12" customWidth="1" min="7" max="7"/>
    <col width="13" customWidth="1" min="8" max="8"/>
    <col width="58" customWidth="1" min="9" max="9"/>
    <col width="15" customWidth="1" min="10" max="10"/>
    <col width="32" customWidth="1" min="11" max="11"/>
    <col width="17" customWidth="1" min="12" max="12"/>
    <col width="14" customWidth="1" min="13" max="13"/>
    <col width="10" customWidth="1" min="14" max="14"/>
    <col width="16" customWidth="1" min="15" max="15"/>
    <col width="58" customWidth="1" min="16" max="16"/>
    <col width="58" customWidth="1" min="17" max="17"/>
    <col width="10" customWidth="1" min="18" max="18"/>
    <col width="58" customWidth="1" min="19" max="19"/>
    <col width="10" customWidth="1" min="20" max="20"/>
  </cols>
  <sheetData>
    <row r="1" ht="30" customHeight="1">
      <c r="A1" s="12" t="inlineStr">
        <is>
          <t>region</t>
        </is>
      </c>
      <c r="B1" s="12" t="inlineStr">
        <is>
          <t>slug</t>
        </is>
      </c>
      <c r="C1" s="12" t="inlineStr">
        <is>
          <t>source</t>
        </is>
      </c>
      <c r="D1" s="12" t="inlineStr">
        <is>
          <t>url</t>
        </is>
      </c>
      <c r="E1" s="12" t="inlineStr">
        <is>
          <t>tier</t>
        </is>
      </c>
      <c r="F1" s="12" t="inlineStr">
        <is>
          <t>effort</t>
        </is>
      </c>
      <c r="G1" s="12" t="inlineStr">
        <is>
          <t>build_wave</t>
        </is>
      </c>
      <c r="H1" s="12" t="inlineStr">
        <is>
          <t>scaffolding</t>
        </is>
      </c>
      <c r="I1" s="12" t="inlineStr">
        <is>
          <t>build_approach</t>
        </is>
      </c>
      <c r="J1" s="12" t="inlineStr">
        <is>
          <t>bucket</t>
        </is>
      </c>
      <c r="K1" s="12" t="inlineStr">
        <is>
          <t>platform</t>
        </is>
      </c>
      <c r="L1" s="12" t="inlineStr">
        <is>
          <t>analytical_role</t>
        </is>
      </c>
      <c r="M1" s="12" t="inlineStr">
        <is>
          <t>channel</t>
        </is>
      </c>
      <c r="N1" s="12" t="inlineStr">
        <is>
          <t>currency</t>
        </is>
      </c>
      <c r="O1" s="12" t="inlineStr">
        <is>
          <t>fnb_leaves_est</t>
        </is>
      </c>
      <c r="P1" s="12" t="inlineStr">
        <is>
          <t>endpoint</t>
        </is>
      </c>
      <c r="Q1" s="12" t="inlineStr">
        <is>
          <t>evidence</t>
        </is>
      </c>
      <c r="R1" s="12" t="inlineStr">
        <is>
          <t>in_csv</t>
        </is>
      </c>
      <c r="S1" s="12" t="inlineStr">
        <is>
          <t>notes</t>
        </is>
      </c>
      <c r="T1" s="12" t="inlineStr">
        <is>
          <t>gotcha</t>
        </is>
      </c>
    </row>
    <row r="2">
      <c r="A2" s="13" t="inlineStr">
        <is>
          <t>ssa</t>
        </is>
      </c>
      <c r="B2" s="13" t="inlineStr">
        <is>
          <t>ethiopia</t>
        </is>
      </c>
      <c r="C2" s="13" t="inlineStr">
        <is>
          <t>WFP Food Prices (HDX) -- Ethiopia</t>
        </is>
      </c>
      <c r="D2" s="13" t="inlineStr">
        <is>
          <t>https://data.humdata.org/dataset/wfp-food-prices-for-ethiopia</t>
        </is>
      </c>
      <c r="E2" s="13" t="inlineStr">
        <is>
          <t>TIER_1B</t>
        </is>
      </c>
      <c r="F2" s="13" t="inlineStr">
        <is>
          <t>low</t>
        </is>
      </c>
      <c r="G2" s="13" t="inlineStr">
        <is>
          <t>Wave 1</t>
        </is>
      </c>
      <c r="H2" s="13" t="inlineStr">
        <is>
          <t>fetcher</t>
        </is>
      </c>
      <c r="I2" s="13" t="inlineStr">
        <is>
          <t>Extend _PANELS in src/prices/fetchers/_shared/eap/wfp_food_prices.py - one line per country, no new code. DATE-CHECK each panel first.</t>
        </is>
      </c>
      <c r="J2" s="13" t="inlineStr">
        <is>
          <t>A_wfp_ckan</t>
        </is>
      </c>
      <c r="K2" s="13" t="inlineStr">
        <is>
          <t>WFP/HDX CKAN</t>
        </is>
      </c>
      <c r="L2" s="13" t="inlineStr">
        <is>
          <t>official_avg</t>
        </is>
      </c>
      <c r="M2" s="13" t="inlineStr">
        <is>
          <t>official_avg</t>
        </is>
      </c>
      <c r="N2" s="13" t="inlineStr">
        <is>
          <t>ETB</t>
        </is>
      </c>
      <c r="O2" s="13" t="n">
        <v>45</v>
      </c>
      <c r="P2" s="13" t="inlineStr">
        <is>
          <t>https://data.humdata.org/api/3/action/package_show?id=wfp-food-prices-for-ethiopia</t>
        </is>
      </c>
      <c r="Q2" s="13" t="inlineStr">
        <is>
          <t>CKAN resolved -&gt; wfp_food_prices_eth.csv, 62,131 rows. 96 distinct commodities -- richest WFP panel in this shard: full cereal set (wheat/barley/maize/sorghum/teff, each in 2-5 sub-varieties), legumes (beans x6 varieties, chickpeas, lentils, peas x3), dairy (milk, camel milk, butter x2), live animals (bull/camel/cattle/donkey/goat/ox/sheep), produce (avocado/banana/beetroot/cabbage/carrots/garlic/guava/kale/lettuce/mango/onions/oranges/papaya/potatoes/swiss chard/sweet potatoes/tomatoes), coffee, honey, oils, pasta, salt, sesame, sugar.</t>
        </is>
      </c>
      <c r="R2" s="13" t="b">
        <v>0</v>
      </c>
      <c r="S2" s="13" t="inlineStr">
        <is>
          <t>By far the biggest single lever for Ethiopia's F&amp;B coverage -- reaches teff (all 4 sub-varieties), live animals, and multiple dairy/legume forms that no retail source in this shard touches.</t>
        </is>
      </c>
      <c r="T2" s="13" t="inlineStr"/>
    </row>
    <row r="3">
      <c r="A3" s="13" t="inlineStr">
        <is>
          <t>lac</t>
        </is>
      </c>
      <c r="B3" s="13" t="inlineStr">
        <is>
          <t>guatemala</t>
        </is>
      </c>
      <c r="C3" s="13" t="inlineStr">
        <is>
          <t>WFP Food Prices - Guatemala</t>
        </is>
      </c>
      <c r="D3" s="13" t="inlineStr">
        <is>
          <t>https://data.humdata.org/dataset/wfp-food-prices-for-guatemala</t>
        </is>
      </c>
      <c r="E3" s="13" t="inlineStr">
        <is>
          <t>TIER_1B</t>
        </is>
      </c>
      <c r="F3" s="13" t="inlineStr">
        <is>
          <t>low</t>
        </is>
      </c>
      <c r="G3" s="13" t="inlineStr">
        <is>
          <t>Wave 1</t>
        </is>
      </c>
      <c r="H3" s="13" t="inlineStr">
        <is>
          <t>fetcher</t>
        </is>
      </c>
      <c r="I3" s="13" t="inlineStr">
        <is>
          <t>Extend _PANELS in src/prices/fetchers/_shared/eap/wfp_food_prices.py - one line per country, no new code. DATE-CHECK each panel first.</t>
        </is>
      </c>
      <c r="J3" s="13" t="inlineStr">
        <is>
          <t>A_wfp_ckan</t>
        </is>
      </c>
      <c r="K3" s="13" t="inlineStr">
        <is>
          <t>CKAN/WFP HDX</t>
        </is>
      </c>
      <c r="L3" s="13" t="inlineStr">
        <is>
          <t>official_avg</t>
        </is>
      </c>
      <c r="M3" s="13" t="inlineStr">
        <is>
          <t>wholesale/retail (mixed)</t>
        </is>
      </c>
      <c r="N3" s="13" t="inlineStr">
        <is>
          <t>GTQ</t>
        </is>
      </c>
      <c r="O3" s="13" t="n">
        <v>45</v>
      </c>
      <c r="P3" s="13" t="inlineStr">
        <is>
          <t>CKAN dataset wfp-food-prices-for-guatemala, resource wfp_food_prices_gtm.csv</t>
        </is>
      </c>
      <c r="Q3" s="13" t="inlineStr">
        <is>
          <t>GET CSV https://data.humdata.org/dataset/.../wfp_food_prices_gtm.csv -&gt; HTTP 200, 2.29MB, 16,178 rows. Max date confirmed 2026-06-15 (live/recent). Sample: 'Maize (white)' 100 Pounds, Wholesale, La Terminal market, GTQ 67.75 (2026-06-15). Also carrots, onions, tomatoes, beans, coffee, bananas.</t>
        </is>
      </c>
      <c r="R3" s="13" t="b">
        <v>0</v>
      </c>
      <c r="S3" s="13" t="inlineStr">
        <is>
          <t>Wholesale + some retail channel, La Terminal market Guatemala City + others; complements but barely overlaps supermarket SKUs (fresh produce/grains/pulses focus).</t>
        </is>
      </c>
      <c r="T3" s="13" t="inlineStr"/>
    </row>
    <row r="4">
      <c r="A4" s="13" t="inlineStr">
        <is>
          <t>menaap</t>
        </is>
      </c>
      <c r="B4" s="13" t="inlineStr">
        <is>
          <t>syria</t>
        </is>
      </c>
      <c r="C4" s="13" t="inlineStr">
        <is>
          <t>WFP Food Prices - Syria (HDX)</t>
        </is>
      </c>
      <c r="D4" s="13" t="inlineStr">
        <is>
          <t>https://data.humdata.org/dataset/aa40b3a8-2bc4-4826-9d82-82189bc5f392</t>
        </is>
      </c>
      <c r="E4" s="13" t="inlineStr">
        <is>
          <t>TIER_1B</t>
        </is>
      </c>
      <c r="F4" s="13" t="inlineStr">
        <is>
          <t>low</t>
        </is>
      </c>
      <c r="G4" s="13" t="inlineStr">
        <is>
          <t>Wave 1</t>
        </is>
      </c>
      <c r="H4" s="13" t="inlineStr">
        <is>
          <t>fetcher</t>
        </is>
      </c>
      <c r="I4" s="13" t="inlineStr">
        <is>
          <t>Extend _PANELS in src/prices/fetchers/_shared/eap/wfp_food_prices.py - one line per country, no new code. DATE-CHECK each panel first.</t>
        </is>
      </c>
      <c r="J4" s="13" t="inlineStr">
        <is>
          <t>A_wfp_ckan</t>
        </is>
      </c>
      <c r="K4" s="13" t="inlineStr">
        <is>
          <t>WFP/HDX CKAN</t>
        </is>
      </c>
      <c r="L4" s="13" t="inlineStr">
        <is>
          <t>official_avg</t>
        </is>
      </c>
      <c r="M4" s="13" t="inlineStr">
        <is>
          <t>official_avg</t>
        </is>
      </c>
      <c r="N4" s="13" t="inlineStr">
        <is>
          <t>SYP</t>
        </is>
      </c>
      <c r="O4" s="13" t="n">
        <v>44</v>
      </c>
      <c r="P4" s="13" t="inlineStr">
        <is>
          <t>CKAN package_show -&gt; S3 CSV</t>
        </is>
      </c>
      <c r="Q4" s="13" t="inlineStr">
        <is>
          <t>CKAN package_show -&gt; 200, resolves wfp_food_prices_syr.csv, 275,972 rows - by far the largest panel in the set. 77 distinct commodities across all 8 categories: fruit (apples, bananas), veg (cabbage, carrots, cucumbers x2, eggplant, garlic, parsley, pumpkin, spinach, tomatoes fresh+paste), dairy (cheese x2, labaneh, fresh milk, yogurt), meat (beef minced, chicken legs/plucked, sheep), cereals (bulgur, maize local, wheat, 3 bread variants, 2 pasta variants, rice), pulses (3 bean types, lentils, 2 pea types, chickpeas), oils/fats (oil, ghee), plus sugar/salt/tea/yeast/peanut.</t>
        </is>
      </c>
      <c r="R4" s="13" t="b">
        <v>0</v>
      </c>
      <c r="S4" s="13" t="inlineStr">
        <is>
          <t>Syria's WFP panel is the deepest of the entire shard because of dedicated crisis-monitoring granularity (parallel-market fuel/bread variants tracked separately). One-line _PANELS addition: 'syr': ('Syria', 'wfp-food-prices-for-syrian-arab-republic').</t>
        </is>
      </c>
      <c r="T4" s="13" t="inlineStr"/>
    </row>
    <row r="5">
      <c r="A5" s="13" t="inlineStr">
        <is>
          <t>ssa</t>
        </is>
      </c>
      <c r="B5" s="13" t="inlineStr">
        <is>
          <t>rwanda</t>
        </is>
      </c>
      <c r="C5" s="13" t="inlineStr">
        <is>
          <t>WFP Rwanda (HDX)</t>
        </is>
      </c>
      <c r="D5" s="13" t="inlineStr">
        <is>
          <t>https://data.humdata.org/dataset/a4a84c1c-81d1-491b-9fbe-1955ae736508</t>
        </is>
      </c>
      <c r="E5" s="13" t="inlineStr">
        <is>
          <t>TIER_1B</t>
        </is>
      </c>
      <c r="F5" s="13" t="inlineStr">
        <is>
          <t>low</t>
        </is>
      </c>
      <c r="G5" s="13" t="inlineStr">
        <is>
          <t>Wave 1</t>
        </is>
      </c>
      <c r="H5" s="13" t="inlineStr">
        <is>
          <t>fetcher</t>
        </is>
      </c>
      <c r="I5" s="13" t="inlineStr">
        <is>
          <t>Extend _PANELS in src/prices/fetchers/_shared/eap/wfp_food_prices.py - one line per country, no new code. DATE-CHECK each panel first.</t>
        </is>
      </c>
      <c r="J5" s="13" t="inlineStr">
        <is>
          <t>A_wfp_ckan</t>
        </is>
      </c>
      <c r="K5" s="13" t="inlineStr">
        <is>
          <t>Custom (CKAN/HDX)</t>
        </is>
      </c>
      <c r="L5" s="13" t="inlineStr">
        <is>
          <t>official_avg</t>
        </is>
      </c>
      <c r="M5" s="13" t="inlineStr">
        <is>
          <t>official_avg</t>
        </is>
      </c>
      <c r="N5" s="13" t="inlineStr">
        <is>
          <t>RWF</t>
        </is>
      </c>
      <c r="O5" s="13" t="n">
        <v>42</v>
      </c>
      <c r="P5" s="13" t="inlineStr">
        <is>
          <t>https://data.humdata.org/api/3/action/package_show?id=wfp-food-prices-for-rwanda</t>
        </is>
      </c>
      <c r="Q5" s="13" t="inlineStr">
        <is>
          <t>CKAN-resolved CSV wfp_food_prices_rwa.csv (200, 19.9MB, richest+largest panel in this shard). 151,961 rows, 65 distinct commodities, max date 2026-06-15. Extremely granular: apples, avocados, guava, mangoes, passion fruit, papaya, oranges, cauliflower, greenhouse cucumbers, zucchini, soybeans, sorghum flour, 4+ rice-origin variants, 5 livestock species (live), 4 meat species.</t>
        </is>
      </c>
      <c r="R5" s="13" t="b">
        <v>0</v>
      </c>
      <c r="S5" s="13" t="inlineStr">
        <is>
          <t>Best WFP panel discovered across the whole shard by both commodity count and row count -- essentially a near-retail-resolution market-price census. With every retail candidate in this shard unconfirmed, this feed alone is Rwanda's current F&amp;B backbone.</t>
        </is>
      </c>
      <c r="T5" s="13" t="inlineStr"/>
    </row>
    <row r="6">
      <c r="A6" s="13" t="inlineStr">
        <is>
          <t>lac</t>
        </is>
      </c>
      <c r="B6" s="13" t="inlineStr">
        <is>
          <t>el_salvador</t>
        </is>
      </c>
      <c r="C6" s="13" t="inlineStr">
        <is>
          <t>WFP Food Prices - El Salvador</t>
        </is>
      </c>
      <c r="D6" s="13" t="inlineStr">
        <is>
          <t>https://data.humdata.org/dataset/wfp-food-prices-for-el-salvador</t>
        </is>
      </c>
      <c r="E6" s="13" t="inlineStr">
        <is>
          <t>TIER_1B</t>
        </is>
      </c>
      <c r="F6" s="13" t="inlineStr">
        <is>
          <t>low</t>
        </is>
      </c>
      <c r="G6" s="13" t="inlineStr">
        <is>
          <t>Wave 1</t>
        </is>
      </c>
      <c r="H6" s="13" t="inlineStr">
        <is>
          <t>fetcher</t>
        </is>
      </c>
      <c r="I6" s="13" t="inlineStr">
        <is>
          <t>Extend _PANELS in src/prices/fetchers/_shared/eap/wfp_food_prices.py - one line per country, no new code. DATE-CHECK each panel first.</t>
        </is>
      </c>
      <c r="J6" s="13" t="inlineStr">
        <is>
          <t>A_wfp_ckan</t>
        </is>
      </c>
      <c r="K6" s="13" t="inlineStr">
        <is>
          <t>CKAN/WFP HDX</t>
        </is>
      </c>
      <c r="L6" s="13" t="inlineStr">
        <is>
          <t>official_avg</t>
        </is>
      </c>
      <c r="M6" s="13" t="inlineStr">
        <is>
          <t>wholesale/retail (mixed)</t>
        </is>
      </c>
      <c r="N6" s="13" t="inlineStr">
        <is>
          <t>USD</t>
        </is>
      </c>
      <c r="O6" s="13" t="n">
        <v>40</v>
      </c>
      <c r="P6" s="13" t="inlineStr">
        <is>
          <t>CKAN dataset wfp-food-prices-for-el-salvador, resource wfp_food_prices_slv.csv</t>
        </is>
      </c>
      <c r="Q6" s="13" t="inlineStr">
        <is>
          <t>GET CSV -&gt; HTTP 200, 7,561 rows, max date confirmed 2026-06-15 (live). Sample: 'Maize (white)' 46 KG Wholesale San Salvador USD 26.49 (2026-06-15); also 'Maize (white)' Libra Retail USD 0.34.</t>
        </is>
      </c>
      <c r="R6" s="13" t="b">
        <v>0</v>
      </c>
      <c r="S6" s="13" t="inlineStr">
        <is>
          <t>Both wholesale and retail channel rows present; national-average style market coverage.</t>
        </is>
      </c>
      <c r="T6" s="13" t="inlineStr"/>
    </row>
    <row r="7">
      <c r="A7" s="13" t="inlineStr">
        <is>
          <t>lac</t>
        </is>
      </c>
      <c r="B7" s="13" t="inlineStr">
        <is>
          <t>nicaragua</t>
        </is>
      </c>
      <c r="C7" s="13" t="inlineStr">
        <is>
          <t>WFP Food Prices - Nicaragua</t>
        </is>
      </c>
      <c r="D7" s="13" t="inlineStr">
        <is>
          <t>https://data.humdata.org/dataset/wfp-food-prices-for-nicaragua</t>
        </is>
      </c>
      <c r="E7" s="13" t="inlineStr">
        <is>
          <t>TIER_1B</t>
        </is>
      </c>
      <c r="F7" s="13" t="inlineStr">
        <is>
          <t>low</t>
        </is>
      </c>
      <c r="G7" s="13" t="inlineStr">
        <is>
          <t>Wave 1</t>
        </is>
      </c>
      <c r="H7" s="13" t="inlineStr">
        <is>
          <t>fetcher</t>
        </is>
      </c>
      <c r="I7" s="13" t="inlineStr">
        <is>
          <t>Extend _PANELS in src/prices/fetchers/_shared/eap/wfp_food_prices.py - one line per country, no new code. DATE-CHECK each panel first.</t>
        </is>
      </c>
      <c r="J7" s="13" t="inlineStr">
        <is>
          <t>A_wfp_ckan</t>
        </is>
      </c>
      <c r="K7" s="13" t="inlineStr">
        <is>
          <t>CKAN/WFP HDX</t>
        </is>
      </c>
      <c r="L7" s="13" t="inlineStr">
        <is>
          <t>official_avg</t>
        </is>
      </c>
      <c r="M7" s="13" t="inlineStr">
        <is>
          <t>retail</t>
        </is>
      </c>
      <c r="N7" s="13" t="inlineStr">
        <is>
          <t>USD</t>
        </is>
      </c>
      <c r="O7" s="13" t="n">
        <v>35</v>
      </c>
      <c r="P7" s="13" t="inlineStr">
        <is>
          <t>CKAN dataset wfp-food-prices-for-nicaragua, resource wfp_food_prices_nic.csv</t>
        </is>
      </c>
      <c r="Q7" s="13" t="inlineStr">
        <is>
          <t>GET CSV -&gt; HTTP 200, max date confirmed 2026-05-15 (live). Sample: 'Plantains' Pound, Retail, National Average, USD 0.44 (2026-05-15); also squashes, tomatoes.</t>
        </is>
      </c>
      <c r="R7" s="13" t="b">
        <v>0</v>
      </c>
      <c r="S7" s="13" t="inlineStr">
        <is>
          <t>Retail national-average channel, fresh produce focus.</t>
        </is>
      </c>
      <c r="T7" s="13" t="inlineStr"/>
    </row>
    <row r="8">
      <c r="A8" s="13" t="inlineStr">
        <is>
          <t>menaap</t>
        </is>
      </c>
      <c r="B8" s="13" t="inlineStr">
        <is>
          <t>west_bank_and_gaza</t>
        </is>
      </c>
      <c r="C8" s="13" t="inlineStr">
        <is>
          <t>WFP Food Prices - State of Palestine (HDX)</t>
        </is>
      </c>
      <c r="D8" s="13" t="inlineStr">
        <is>
          <t>https://data.humdata.org/dataset/7d06b059-5831-4101-aa68-6d9123ad65b7</t>
        </is>
      </c>
      <c r="E8" s="13" t="inlineStr">
        <is>
          <t>TIER_1B</t>
        </is>
      </c>
      <c r="F8" s="13" t="inlineStr">
        <is>
          <t>low</t>
        </is>
      </c>
      <c r="G8" s="13" t="inlineStr">
        <is>
          <t>Wave 1</t>
        </is>
      </c>
      <c r="H8" s="13" t="inlineStr">
        <is>
          <t>fetcher</t>
        </is>
      </c>
      <c r="I8" s="13" t="inlineStr">
        <is>
          <t>Extend _PANELS in src/prices/fetchers/_shared/eap/wfp_food_prices.py - one line per country, no new code. DATE-CHECK each panel first.</t>
        </is>
      </c>
      <c r="J8" s="13" t="inlineStr">
        <is>
          <t>A_wfp_ckan</t>
        </is>
      </c>
      <c r="K8" s="13" t="inlineStr">
        <is>
          <t>WFP/HDX CKAN</t>
        </is>
      </c>
      <c r="L8" s="13" t="inlineStr">
        <is>
          <t>official_avg</t>
        </is>
      </c>
      <c r="M8" s="13" t="inlineStr">
        <is>
          <t>official_avg</t>
        </is>
      </c>
      <c r="N8" s="13" t="inlineStr">
        <is>
          <t>ILS</t>
        </is>
      </c>
      <c r="O8" s="13" t="n">
        <v>33</v>
      </c>
      <c r="P8" s="13" t="inlineStr">
        <is>
          <t>CKAN package_show -&gt; S3 CSV</t>
        </is>
      </c>
      <c r="Q8" s="13" t="inlineStr">
        <is>
          <t>CKAN package_show?id=wfp-food-prices-for-state-of-palestine -&gt; 200, resolves wfp_food_prices_pse.csv, 26,815 rows. 41 commodities: fruit (apples, bananas, oranges), veg (cauliflower, cucumbers, eggplant, onions, tomatoes greenhouse), dairy (goat cheese, labaneh, milk pasteurized + powder, yogurt), meat (beef, chicken, goat), 3 rice varieties, 2 oil types (maize + olive), semolina, bottled water.</t>
        </is>
      </c>
      <c r="R8" s="13" t="b">
        <v>0</v>
      </c>
      <c r="S8" s="13" t="inlineStr">
        <is>
          <t>Repo slug is 'west_bank_and_gaza' (iso3 PSE per countries.yaml) - HDX dataset slug is 'wfp-food-prices-for-state-of-palestine'. One-line _PANELS addition: 'pse': ('State of Palestine', 'wfp-food-prices-for-state-of-palestine').</t>
        </is>
      </c>
      <c r="T8" s="13" t="inlineStr"/>
    </row>
    <row r="9">
      <c r="A9" s="13" t="inlineStr">
        <is>
          <t>ssa</t>
        </is>
      </c>
      <c r="B9" s="13" t="inlineStr">
        <is>
          <t>malawi</t>
        </is>
      </c>
      <c r="C9" s="13" t="inlineStr">
        <is>
          <t>WFP Food Prices (HDX) -- Malawi</t>
        </is>
      </c>
      <c r="D9" s="13" t="inlineStr">
        <is>
          <t>https://data.humdata.org/dataset/wfp-food-prices-for-malawi</t>
        </is>
      </c>
      <c r="E9" s="13" t="inlineStr">
        <is>
          <t>TIER_1B</t>
        </is>
      </c>
      <c r="F9" s="13" t="inlineStr">
        <is>
          <t>low</t>
        </is>
      </c>
      <c r="G9" s="13" t="inlineStr">
        <is>
          <t>Wave 1</t>
        </is>
      </c>
      <c r="H9" s="13" t="inlineStr">
        <is>
          <t>fetcher</t>
        </is>
      </c>
      <c r="I9" s="13" t="inlineStr">
        <is>
          <t>Extend _PANELS in src/prices/fetchers/_shared/eap/wfp_food_prices.py - one line per country, no new code. DATE-CHECK each panel first.</t>
        </is>
      </c>
      <c r="J9" s="13" t="inlineStr">
        <is>
          <t>A_wfp_ckan</t>
        </is>
      </c>
      <c r="K9" s="13" t="inlineStr">
        <is>
          <t>WFP/HDX CKAN</t>
        </is>
      </c>
      <c r="L9" s="13" t="inlineStr">
        <is>
          <t>official_avg</t>
        </is>
      </c>
      <c r="M9" s="13" t="inlineStr">
        <is>
          <t>official_avg</t>
        </is>
      </c>
      <c r="N9" s="13" t="inlineStr">
        <is>
          <t>MWK</t>
        </is>
      </c>
      <c r="O9" s="13" t="n">
        <v>30</v>
      </c>
      <c r="P9" s="13" t="inlineStr">
        <is>
          <t>https://data.humdata.org/api/3/action/package_show?id=wfp-food-prices-for-malawi</t>
        </is>
      </c>
      <c r="Q9" s="13" t="inlineStr">
        <is>
          <t>CKAN resolved -&gt; wfp_food_prices_mwi.csv, 82,819 rows. 63 distinct commodities -- notably rich in Malawi-specific leafy greens (Amaranthus, Blackjack leaves, Cowpea leaves, Mustard leaves, Pumpkin leaves, Rape leaves) and dried small fish (bonya, kapenta, matemba, usipa, utaka), plus cereals/legumes/tubers/oil/sugar.</t>
        </is>
      </c>
      <c r="R9" s="13" t="b">
        <v>0</v>
      </c>
      <c r="S9" s="13" t="inlineStr">
        <is>
          <t>Second-richest WFP panel in the shard. The leafy-greens and dried-fish depth here is not replicated by any retailer in this pass -- structurally complementary, not overlapping.</t>
        </is>
      </c>
      <c r="T9" s="13" t="inlineStr"/>
    </row>
    <row r="10">
      <c r="A10" s="13" t="inlineStr">
        <is>
          <t>menaap</t>
        </is>
      </c>
      <c r="B10" s="13" t="inlineStr">
        <is>
          <t>jordan</t>
        </is>
      </c>
      <c r="C10" s="13" t="inlineStr">
        <is>
          <t>WFP Food Prices - Jordan (HDX)</t>
        </is>
      </c>
      <c r="D10" s="13" t="inlineStr">
        <is>
          <t>https://data.humdata.org/dataset/fba510fd-eccf-4b34-b5f6-cc531900270b</t>
        </is>
      </c>
      <c r="E10" s="13" t="inlineStr">
        <is>
          <t>TIER_1B</t>
        </is>
      </c>
      <c r="F10" s="13" t="inlineStr">
        <is>
          <t>low</t>
        </is>
      </c>
      <c r="G10" s="13" t="inlineStr">
        <is>
          <t>Wave 1</t>
        </is>
      </c>
      <c r="H10" s="13" t="inlineStr">
        <is>
          <t>fetcher</t>
        </is>
      </c>
      <c r="I10" s="13" t="inlineStr">
        <is>
          <t>Extend _PANELS in src/prices/fetchers/_shared/eap/wfp_food_prices.py - one line per country, no new code. DATE-CHECK each panel first.</t>
        </is>
      </c>
      <c r="J10" s="13" t="inlineStr">
        <is>
          <t>A_wfp_ckan</t>
        </is>
      </c>
      <c r="K10" s="13" t="inlineStr">
        <is>
          <t>WFP/HDX CKAN</t>
        </is>
      </c>
      <c r="L10" s="13" t="inlineStr">
        <is>
          <t>official_avg</t>
        </is>
      </c>
      <c r="M10" s="13" t="inlineStr">
        <is>
          <t>official_avg</t>
        </is>
      </c>
      <c r="N10" s="13" t="inlineStr">
        <is>
          <t>JOD</t>
        </is>
      </c>
      <c r="O10" s="13" t="n">
        <v>29</v>
      </c>
      <c r="P10" s="13" t="inlineStr">
        <is>
          <t>CKAN package_show -&gt; S3 CSV</t>
        </is>
      </c>
      <c r="Q10" s="13" t="inlineStr">
        <is>
          <t>CKAN package_show -&gt; 200, resolves wfp_food_prices_jor.csv, 47,943 rows. 36 commodities across all 8 categories including both olive oil AND vegetable oil as separate lines, apples/bananas/oranges (fruit), cucumbers/garlic/onions/spinach/tomatoes (veg), beef/chicken/lamb (meat), two cheese types + two milk types (dairy) - the richest, most balanced panel of the whole shard.</t>
        </is>
      </c>
      <c r="R10" s="13" t="b">
        <v>0</v>
      </c>
      <c r="S10" s="13" t="inlineStr">
        <is>
          <t>One-line _PANELS addition: 'jor': ('Jordan', 'wfp-food-prices-for-jordan').</t>
        </is>
      </c>
      <c r="T10" s="13" t="inlineStr"/>
    </row>
    <row r="11">
      <c r="A11" s="13" t="inlineStr">
        <is>
          <t>ssa</t>
        </is>
      </c>
      <c r="B11" s="13" t="inlineStr">
        <is>
          <t>kenya</t>
        </is>
      </c>
      <c r="C11" s="13" t="inlineStr">
        <is>
          <t>WFP Kenya (HDX)</t>
        </is>
      </c>
      <c r="D11" s="13" t="inlineStr">
        <is>
          <t>https://data.humdata.org/dataset/e0d3fba6-f9a2-45d7-b949-140c455197ff</t>
        </is>
      </c>
      <c r="E11" s="13" t="inlineStr">
        <is>
          <t>TIER_1B</t>
        </is>
      </c>
      <c r="F11" s="13" t="inlineStr">
        <is>
          <t>low</t>
        </is>
      </c>
      <c r="G11" s="13" t="inlineStr">
        <is>
          <t>Wave 1</t>
        </is>
      </c>
      <c r="H11" s="13" t="inlineStr">
        <is>
          <t>fetcher</t>
        </is>
      </c>
      <c r="I11" s="13" t="inlineStr">
        <is>
          <t>Extend _PANELS in src/prices/fetchers/_shared/eap/wfp_food_prices.py - one line per country, no new code. DATE-CHECK each panel first.</t>
        </is>
      </c>
      <c r="J11" s="13" t="inlineStr">
        <is>
          <t>A_wfp_ckan</t>
        </is>
      </c>
      <c r="K11" s="13" t="inlineStr">
        <is>
          <t>Custom (CKAN/HDX, same pattern as existing src/prices/fetchers/_shared/eap/wfp_food_prices.py)</t>
        </is>
      </c>
      <c r="L11" s="13" t="inlineStr">
        <is>
          <t>official_avg</t>
        </is>
      </c>
      <c r="M11" s="13" t="inlineStr">
        <is>
          <t>official_avg</t>
        </is>
      </c>
      <c r="N11" s="13" t="inlineStr">
        <is>
          <t>KES</t>
        </is>
      </c>
      <c r="O11" s="13" t="n">
        <v>28</v>
      </c>
      <c r="P11" s="13" t="inlineStr">
        <is>
          <t>https://data.humdata.org/api/3/action/package_show?id=wfp-food-prices-for-kenya</t>
        </is>
      </c>
      <c r="Q11" s="13" t="inlineStr">
        <is>
          <t>CKAN package_show resolved CSV at wfp_food_prices_ken.csv (200, 3.6MB). 27,837 rows, 51 distinct commodities, max date 2026-07-15 (current). Retail+wholesale mixed pricetype. Sample: Maize (white) KES 1480/90kg wholesale Mombasa.</t>
        </is>
      </c>
      <c r="R11" s="13" t="b">
        <v>0</v>
      </c>
      <c r="S11" s="13" t="inlineStr">
        <is>
          <t>Direct extension of the existing shared EAP WFP fetcher module -- just add ken to the _PANELS dict. 51 commodities incl. camel meat/milk (not covered by any retailer) is the standout addition.</t>
        </is>
      </c>
      <c r="T11" s="13" t="inlineStr"/>
    </row>
    <row r="12">
      <c r="A12" s="13" t="inlineStr">
        <is>
          <t>ssa</t>
        </is>
      </c>
      <c r="B12" s="13" t="inlineStr">
        <is>
          <t>central_african_republic</t>
        </is>
      </c>
      <c r="C12" s="13" t="inlineStr">
        <is>
          <t>WFP Central African Republic (HDX)</t>
        </is>
      </c>
      <c r="D12" s="13" t="inlineStr">
        <is>
          <t>https://data.humdata.org/dataset/e9f27b34-f511-498c-a7f8-fe8d2321f7ba</t>
        </is>
      </c>
      <c r="E12" s="13" t="inlineStr">
        <is>
          <t>TIER_1B</t>
        </is>
      </c>
      <c r="F12" s="13" t="inlineStr">
        <is>
          <t>low</t>
        </is>
      </c>
      <c r="G12" s="13" t="inlineStr">
        <is>
          <t>Wave 1</t>
        </is>
      </c>
      <c r="H12" s="13" t="inlineStr">
        <is>
          <t>fetcher</t>
        </is>
      </c>
      <c r="I12" s="13" t="inlineStr">
        <is>
          <t>Extend _PANELS in src/prices/fetchers/_shared/eap/wfp_food_prices.py - one line per country, no new code. DATE-CHECK each panel first.</t>
        </is>
      </c>
      <c r="J12" s="13" t="inlineStr">
        <is>
          <t>A_wfp_ckan</t>
        </is>
      </c>
      <c r="K12" s="13" t="inlineStr">
        <is>
          <t>Custom (CKAN/HDX)</t>
        </is>
      </c>
      <c r="L12" s="13" t="inlineStr">
        <is>
          <t>official_avg</t>
        </is>
      </c>
      <c r="M12" s="13" t="inlineStr">
        <is>
          <t>official_avg</t>
        </is>
      </c>
      <c r="N12" s="13" t="inlineStr">
        <is>
          <t>XAF</t>
        </is>
      </c>
      <c r="O12" s="13" t="n">
        <v>28</v>
      </c>
      <c r="P12" s="13" t="inlineStr">
        <is>
          <t>https://data.humdata.org/api/3/action/package_show?id=wfp-food-prices-for-central-african-republic</t>
        </is>
      </c>
      <c r="Q12" s="13" t="inlineStr">
        <is>
          <t>CKAN-resolved CSV wfp_food_prices_caf.csv (200, 3.6MB). 30,356 rows, 39 distinct commodities (tied with Rwanda for richest panel in this shard), max date 2026-06-15. Commodities incl. Meat (antelope smoked, gazelle smoked -- bushmeat), Fish (catfish/frozen/sardine canned/smoked), Sesame, Groundnuts (shelled/unshelled), Charcoal.</t>
        </is>
      </c>
      <c r="R12" s="13" t="b">
        <v>0</v>
      </c>
      <c r="S12" s="13" t="inlineStr">
        <is>
          <t>With no live retail candidate, this is effectively the ONLY viable F&amp;B price source for CAR in this shard. The bushmeat commodities (antelope, gazelle) are a rare hit on the 'Other meat' leaf (01.1.2.2.9) that almost no supermarket source in the wider repo reaches.</t>
        </is>
      </c>
      <c r="T12" s="13" t="inlineStr"/>
    </row>
    <row r="13">
      <c r="A13" s="13" t="inlineStr">
        <is>
          <t>menaap</t>
        </is>
      </c>
      <c r="B13" s="13" t="inlineStr">
        <is>
          <t>iraq</t>
        </is>
      </c>
      <c r="C13" s="13" t="inlineStr">
        <is>
          <t>WFP Food Prices - Iraq (HDX)</t>
        </is>
      </c>
      <c r="D13" s="13" t="inlineStr">
        <is>
          <t>https://data.humdata.org/dataset/7d8955eb-37d2-4087-80e9-cae1aaa242f5</t>
        </is>
      </c>
      <c r="E13" s="13" t="inlineStr">
        <is>
          <t>TIER_1B</t>
        </is>
      </c>
      <c r="F13" s="13" t="inlineStr">
        <is>
          <t>low</t>
        </is>
      </c>
      <c r="G13" s="13" t="inlineStr">
        <is>
          <t>Wave 1</t>
        </is>
      </c>
      <c r="H13" s="13" t="inlineStr">
        <is>
          <t>fetcher</t>
        </is>
      </c>
      <c r="I13" s="13" t="inlineStr">
        <is>
          <t>Extend _PANELS in src/prices/fetchers/_shared/eap/wfp_food_prices.py - one line per country, no new code. DATE-CHECK each panel first.</t>
        </is>
      </c>
      <c r="J13" s="13" t="inlineStr">
        <is>
          <t>A_wfp_ckan</t>
        </is>
      </c>
      <c r="K13" s="13" t="inlineStr">
        <is>
          <t>WFP/HDX CKAN</t>
        </is>
      </c>
      <c r="L13" s="13" t="inlineStr">
        <is>
          <t>official_avg</t>
        </is>
      </c>
      <c r="M13" s="13" t="inlineStr">
        <is>
          <t>official_avg</t>
        </is>
      </c>
      <c r="N13" s="13" t="inlineStr">
        <is>
          <t>IQD</t>
        </is>
      </c>
      <c r="O13" s="13" t="n">
        <v>26</v>
      </c>
      <c r="P13" s="13" t="inlineStr">
        <is>
          <t>CKAN package_show -&gt; S3 CSV</t>
        </is>
      </c>
      <c r="Q13" s="13" t="inlineStr">
        <is>
          <t>CKAN package_show -&gt; 200, resolves wfp_food_prices_irq.csv, 56,712 rows. 49 commodities - largest non-Syria commodity list, includes dates, eggplant, cheese (local), yogurt, three rice varieties (regular/Indian/basmati), three wheat-flour sourcing variants (Turkey/local/generic).</t>
        </is>
      </c>
      <c r="R13" s="13" t="b">
        <v>0</v>
      </c>
      <c r="S13" s="13" t="inlineStr">
        <is>
          <t>One-line _PANELS addition: 'irq': ('Iraq', 'wfp-food-prices-for-iraq').</t>
        </is>
      </c>
      <c r="T13" s="13" t="inlineStr"/>
    </row>
    <row r="14">
      <c r="A14" s="13" t="inlineStr">
        <is>
          <t>menaap</t>
        </is>
      </c>
      <c r="B14" s="13" t="inlineStr">
        <is>
          <t>iran</t>
        </is>
      </c>
      <c r="C14" s="13" t="inlineStr">
        <is>
          <t>WFP Food Prices - Iran (HDX)</t>
        </is>
      </c>
      <c r="D14" s="13" t="inlineStr">
        <is>
          <t>https://data.humdata.org/dataset/6df76343-1bd9-488a-af3c-1e5aec3fc78c</t>
        </is>
      </c>
      <c r="E14" s="13" t="inlineStr">
        <is>
          <t>TIER_1B</t>
        </is>
      </c>
      <c r="F14" s="13" t="inlineStr">
        <is>
          <t>low</t>
        </is>
      </c>
      <c r="G14" s="13" t="inlineStr">
        <is>
          <t>Wave 1</t>
        </is>
      </c>
      <c r="H14" s="13" t="inlineStr">
        <is>
          <t>fetcher</t>
        </is>
      </c>
      <c r="I14" s="13" t="inlineStr">
        <is>
          <t>Extend _PANELS in src/prices/fetchers/_shared/eap/wfp_food_prices.py - one line per country, no new code. DATE-CHECK each panel first.</t>
        </is>
      </c>
      <c r="J14" s="13" t="inlineStr">
        <is>
          <t>A_wfp_ckan</t>
        </is>
      </c>
      <c r="K14" s="13" t="inlineStr">
        <is>
          <t>WFP/HDX CKAN</t>
        </is>
      </c>
      <c r="L14" s="13" t="inlineStr">
        <is>
          <t>official_avg</t>
        </is>
      </c>
      <c r="M14" s="13" t="inlineStr">
        <is>
          <t>official_avg</t>
        </is>
      </c>
      <c r="N14" s="13" t="inlineStr">
        <is>
          <t>IRR</t>
        </is>
      </c>
      <c r="O14" s="13" t="n">
        <v>26</v>
      </c>
      <c r="P14" s="13" t="inlineStr">
        <is>
          <t>CKAN package_show -&gt; S3 CSV</t>
        </is>
      </c>
      <c r="Q14" s="13" t="inlineStr">
        <is>
          <t>CKAN package_show?id=wfp-food-prices-for-iran-islamic-republic-of -&gt; 200, resolves wfp_food_prices_irn.csv, only 2,281 rows (far smaller than the other 7 panels - likely a shorter-running or narrower-market series) but real: 41 commodities incl. apples, beans, cheese (local), eggplant, lentils, beef/chicken, milk (pasteurized), rice, tomato + tomato paste, wheat flour, yogurt.</t>
        </is>
      </c>
      <c r="R14" s="13" t="b">
        <v>0</v>
      </c>
      <c r="S14" s="13" t="inlineStr">
        <is>
          <t>One-line _PANELS addition: 'irn': ('Iran (Islamic Republic of)', 'wfp-food-prices-for-iran-islamic-republic-of'). Row count is ~4-25x thinner than the other 7 panels - check market/date coverage before assuming equal update cadence.</t>
        </is>
      </c>
      <c r="T14" s="13" t="inlineStr"/>
    </row>
    <row r="15">
      <c r="A15" s="13" t="inlineStr">
        <is>
          <t>menaap</t>
        </is>
      </c>
      <c r="B15" s="13" t="inlineStr">
        <is>
          <t>lebanon</t>
        </is>
      </c>
      <c r="C15" s="13" t="inlineStr">
        <is>
          <t>WFP Food Prices - Lebanon (HDX)</t>
        </is>
      </c>
      <c r="D15" s="13" t="inlineStr">
        <is>
          <t>https://data.humdata.org/dataset/db0b4fb1-ce11-458e-94e0-3342365a117a</t>
        </is>
      </c>
      <c r="E15" s="13" t="inlineStr">
        <is>
          <t>TIER_1B</t>
        </is>
      </c>
      <c r="F15" s="13" t="inlineStr">
        <is>
          <t>low</t>
        </is>
      </c>
      <c r="G15" s="13" t="inlineStr">
        <is>
          <t>Wave 1</t>
        </is>
      </c>
      <c r="H15" s="13" t="inlineStr">
        <is>
          <t>fetcher</t>
        </is>
      </c>
      <c r="I15" s="13" t="inlineStr">
        <is>
          <t>Extend _PANELS in src/prices/fetchers/_shared/eap/wfp_food_prices.py - one line per country, no new code. DATE-CHECK each panel first.</t>
        </is>
      </c>
      <c r="J15" s="13" t="inlineStr">
        <is>
          <t>A_wfp_ckan</t>
        </is>
      </c>
      <c r="K15" s="13" t="inlineStr">
        <is>
          <t>WFP/HDX CKAN</t>
        </is>
      </c>
      <c r="L15" s="13" t="inlineStr">
        <is>
          <t>official_avg</t>
        </is>
      </c>
      <c r="M15" s="13" t="inlineStr">
        <is>
          <t>official_avg</t>
        </is>
      </c>
      <c r="N15" s="13" t="inlineStr">
        <is>
          <t>LBP</t>
        </is>
      </c>
      <c r="O15" s="13" t="n">
        <v>26</v>
      </c>
      <c r="P15" s="13" t="inlineStr">
        <is>
          <t>CKAN package_show -&gt; S3 CSV</t>
        </is>
      </c>
      <c r="Q15" s="13" t="inlineStr">
        <is>
          <t>CKAN package_show -&gt; 200, resolves wfp_food_prices_lbn.csv, 39,876 rows. 33 commodities: fruit (apples), veg (cabbage, carrots, cucumbers greenhouse, lettuce, spinach, tomatoes paste), dairy (cheese picon, milk powder), meat (canned beef, frozen whole chicken), 2 canned-fish types, 3 lentil variants, pulses (beans, chickpeas), cereals (bread pita, bulgur, pasta, rice, wheat flour), oil (sunflower), tea, sugar, salt.</t>
        </is>
      </c>
      <c r="R15" s="13" t="b">
        <v>0</v>
      </c>
      <c r="S15" s="13" t="inlineStr">
        <is>
          <t>One-line _PANELS addition: 'lbn': ('Lebanon', 'wfp-food-prices-for-lebanon').</t>
        </is>
      </c>
      <c r="T15" s="13" t="inlineStr"/>
    </row>
    <row r="16">
      <c r="A16" s="13" t="inlineStr">
        <is>
          <t>ssa</t>
        </is>
      </c>
      <c r="B16" s="13" t="inlineStr">
        <is>
          <t>senegal</t>
        </is>
      </c>
      <c r="C16" s="13" t="inlineStr">
        <is>
          <t>WFP Food Prices (HDX) -- Senegal</t>
        </is>
      </c>
      <c r="D16" s="13" t="inlineStr">
        <is>
          <t>https://data.humdata.org/dataset/wfp-food-prices-for-senegal</t>
        </is>
      </c>
      <c r="E16" s="13" t="inlineStr">
        <is>
          <t>TIER_1B</t>
        </is>
      </c>
      <c r="F16" s="13" t="inlineStr">
        <is>
          <t>low</t>
        </is>
      </c>
      <c r="G16" s="13" t="inlineStr">
        <is>
          <t>Wave 1</t>
        </is>
      </c>
      <c r="H16" s="13" t="inlineStr">
        <is>
          <t>fetcher</t>
        </is>
      </c>
      <c r="I16" s="13" t="inlineStr">
        <is>
          <t>Extend _PANELS in src/prices/fetchers/_shared/eap/wfp_food_prices.py - one line per country, no new code. DATE-CHECK each panel first.</t>
        </is>
      </c>
      <c r="J16" s="13" t="inlineStr">
        <is>
          <t>A_wfp_ckan</t>
        </is>
      </c>
      <c r="K16" s="13" t="inlineStr">
        <is>
          <t>WFP/HDX CKAN</t>
        </is>
      </c>
      <c r="L16" s="13" t="inlineStr">
        <is>
          <t>official_avg</t>
        </is>
      </c>
      <c r="M16" s="13" t="inlineStr">
        <is>
          <t>official_avg</t>
        </is>
      </c>
      <c r="N16" s="13" t="inlineStr">
        <is>
          <t>XOF</t>
        </is>
      </c>
      <c r="O16" s="13" t="n">
        <v>25</v>
      </c>
      <c r="P16" s="13" t="inlineStr">
        <is>
          <t>https://data.humdata.org/api/3/action/package_show?id=wfp-food-prices-for-senegal (resolves CSV url at run time, matches the shipped src/prices/fetchers/_shared/eap/wfp_food_prices.py pattern)</t>
        </is>
      </c>
      <c r="Q16" s="13" t="inlineStr">
        <is>
          <t>CKAN package_show resolved -&gt; CSV at .../wfp_food_prices_sen.csv, 51,579 rows. 28 distinct commodities: Bananas, Beans (niebe), Cabbage, Carrots, Cassava, Fonio, Groundnuts (shelled/unshelled), Livestock (Goat/Sheep/cattle), Maize (imported/local), Mangoes, Millet, Onions, Oranges, Potatoes, Rice (3 grades), Sorghum, Sweet potatoes, Tomatoes, Watermelons.</t>
        </is>
      </c>
      <c r="R16" s="13" t="b">
        <v>0</v>
      </c>
      <c r="S16" s="13" t="inlineStr">
        <is>
          <t>Narrower panel than Ethiopia/Mauritania/Malawi (28 vs 50-96 commodities) but reaches live animals and fonio that no retailer in this shard carries. Same fetcher shape as the existing EAP WFP module -- add sen/mwi/gab/mrt/eth/mdg/moz/zwe/tza to _PANELS.</t>
        </is>
      </c>
      <c r="T16" s="13" t="inlineStr"/>
    </row>
    <row r="17">
      <c r="A17" s="13" t="inlineStr">
        <is>
          <t>ssa</t>
        </is>
      </c>
      <c r="B17" s="13" t="inlineStr">
        <is>
          <t>mauritania</t>
        </is>
      </c>
      <c r="C17" s="13" t="inlineStr">
        <is>
          <t>WFP Food Prices (HDX) -- Mauritania</t>
        </is>
      </c>
      <c r="D17" s="13" t="inlineStr">
        <is>
          <t>https://data.humdata.org/dataset/wfp-food-prices-for-mauritania</t>
        </is>
      </c>
      <c r="E17" s="13" t="inlineStr">
        <is>
          <t>TIER_1B</t>
        </is>
      </c>
      <c r="F17" s="13" t="inlineStr">
        <is>
          <t>low</t>
        </is>
      </c>
      <c r="G17" s="13" t="inlineStr">
        <is>
          <t>Wave 1</t>
        </is>
      </c>
      <c r="H17" s="13" t="inlineStr">
        <is>
          <t>fetcher</t>
        </is>
      </c>
      <c r="I17" s="13" t="inlineStr">
        <is>
          <t>Extend _PANELS in src/prices/fetchers/_shared/eap/wfp_food_prices.py - one line per country, no new code. DATE-CHECK each panel first.</t>
        </is>
      </c>
      <c r="J17" s="13" t="inlineStr">
        <is>
          <t>A_wfp_ckan</t>
        </is>
      </c>
      <c r="K17" s="13" t="inlineStr">
        <is>
          <t>WFP/HDX CKAN</t>
        </is>
      </c>
      <c r="L17" s="13" t="inlineStr">
        <is>
          <t>official_avg</t>
        </is>
      </c>
      <c r="M17" s="13" t="inlineStr">
        <is>
          <t>official_avg</t>
        </is>
      </c>
      <c r="N17" s="13" t="inlineStr">
        <is>
          <t>MRU</t>
        </is>
      </c>
      <c r="O17" s="13" t="n">
        <v>25</v>
      </c>
      <c r="P17" s="13" t="inlineStr">
        <is>
          <t>https://data.humdata.org/api/3/action/package_show?id=wfp-food-prices-for-mauritania</t>
        </is>
      </c>
      <c r="Q17" s="13" t="inlineStr">
        <is>
          <t>CKAN resolved -&gt; wfp_food_prices_mrt.csv, 22,659 rows. 50 distinct commodities -- second-richest panel: live animals (bull/camel/cattle/goat/sheep), camel meat/milk, cow milk, milk powder, dates, couscous, feed (non-food), full cereal/legume/produce set, iodised salt.</t>
        </is>
      </c>
      <c r="R17" s="13" t="b">
        <v>0</v>
      </c>
      <c r="S17" s="13" t="inlineStr">
        <is>
          <t>Camel dairy/meat and live-animal coverage is unique to this feed among all sources probed.</t>
        </is>
      </c>
      <c r="T17" s="13" t="inlineStr"/>
    </row>
    <row r="18">
      <c r="A18" s="13" t="inlineStr">
        <is>
          <t>ssa</t>
        </is>
      </c>
      <c r="B18" s="13" t="inlineStr">
        <is>
          <t>congo_dem_rep</t>
        </is>
      </c>
      <c r="C18" s="13" t="inlineStr">
        <is>
          <t>WFP DRC (HDX)</t>
        </is>
      </c>
      <c r="D18" s="13" t="inlineStr">
        <is>
          <t>https://data.humdata.org/dataset/07a6d6fb-828d-4391-afb8-78b1fc32caa3</t>
        </is>
      </c>
      <c r="E18" s="13" t="inlineStr">
        <is>
          <t>TIER_1B</t>
        </is>
      </c>
      <c r="F18" s="13" t="inlineStr">
        <is>
          <t>low</t>
        </is>
      </c>
      <c r="G18" s="13" t="inlineStr">
        <is>
          <t>Wave 1</t>
        </is>
      </c>
      <c r="H18" s="13" t="inlineStr">
        <is>
          <t>fetcher</t>
        </is>
      </c>
      <c r="I18" s="13" t="inlineStr">
        <is>
          <t>Extend _PANELS in src/prices/fetchers/_shared/eap/wfp_food_prices.py - one line per country, no new code. DATE-CHECK each panel first.</t>
        </is>
      </c>
      <c r="J18" s="13" t="inlineStr">
        <is>
          <t>A_wfp_ckan</t>
        </is>
      </c>
      <c r="K18" s="13" t="inlineStr">
        <is>
          <t>Custom (CKAN/HDX)</t>
        </is>
      </c>
      <c r="L18" s="13" t="inlineStr">
        <is>
          <t>official_avg</t>
        </is>
      </c>
      <c r="M18" s="13" t="inlineStr">
        <is>
          <t>official_avg</t>
        </is>
      </c>
      <c r="N18" s="13" t="inlineStr">
        <is>
          <t>CDF</t>
        </is>
      </c>
      <c r="O18" s="13" t="n">
        <v>25</v>
      </c>
      <c r="P18" s="13" t="inlineStr">
        <is>
          <t>https://data.humdata.org/api/3/action/package_show?id=wfp-food-prices-for-democratic-republic-of-the-congo</t>
        </is>
      </c>
      <c r="Q18" s="13" t="inlineStr">
        <is>
          <t>CKAN-resolved CSV wfp_food_prices_cod.csv (200, 11.6MB, largest panel in the shard). 95,050 rows, 38 distinct commodities, max date 2026-05-15. Commodities incl. Cassava (+chikwangue/cossette/flour), Plantains, Sweet potatoes, Fish (fresh/salted/smoked), Livestock (Goat), Meat (beef/chicken/goat/pork).</t>
        </is>
      </c>
      <c r="R18" s="13" t="b">
        <v>0</v>
      </c>
      <c r="S18" s="13" t="inlineStr">
        <is>
          <t>Best complement to Shoppi.cd's packaged-goods gap -- covers fresh tubers, plantains, fresh meat variety, and fish that no retail source in this shard reaches.</t>
        </is>
      </c>
      <c r="T18" s="13" t="inlineStr"/>
    </row>
    <row r="19">
      <c r="A19" s="13" t="inlineStr">
        <is>
          <t>menaap</t>
        </is>
      </c>
      <c r="B19" s="13" t="inlineStr">
        <is>
          <t>libya</t>
        </is>
      </c>
      <c r="C19" s="13" t="inlineStr">
        <is>
          <t>WFP Food Prices - Libya (HDX)</t>
        </is>
      </c>
      <c r="D19" s="13" t="inlineStr">
        <is>
          <t>https://data.humdata.org/dataset/dc632a15-d376-496f-976f-c3282e67bc28</t>
        </is>
      </c>
      <c r="E19" s="13" t="inlineStr">
        <is>
          <t>TIER_1B</t>
        </is>
      </c>
      <c r="F19" s="13" t="inlineStr">
        <is>
          <t>low</t>
        </is>
      </c>
      <c r="G19" s="13" t="inlineStr">
        <is>
          <t>Wave 1</t>
        </is>
      </c>
      <c r="H19" s="13" t="inlineStr">
        <is>
          <t>fetcher</t>
        </is>
      </c>
      <c r="I19" s="13" t="inlineStr">
        <is>
          <t>Extend _PANELS in src/prices/fetchers/_shared/eap/wfp_food_prices.py - one line per country, no new code. DATE-CHECK each panel first.</t>
        </is>
      </c>
      <c r="J19" s="13" t="inlineStr">
        <is>
          <t>A_wfp_ckan</t>
        </is>
      </c>
      <c r="K19" s="13" t="inlineStr">
        <is>
          <t>WFP/HDX CKAN</t>
        </is>
      </c>
      <c r="L19" s="13" t="inlineStr">
        <is>
          <t>official_avg</t>
        </is>
      </c>
      <c r="M19" s="13" t="inlineStr">
        <is>
          <t>official_avg</t>
        </is>
      </c>
      <c r="N19" s="13" t="inlineStr">
        <is>
          <t>LYD</t>
        </is>
      </c>
      <c r="O19" s="13" t="n">
        <v>23</v>
      </c>
      <c r="P19" s="13" t="inlineStr">
        <is>
          <t>CKAN package_show -&gt; S3 CSV (resolved dynamically, same pattern as the existing eap wfp_food_prices.py fetcher)</t>
        </is>
      </c>
      <c r="Q19" s="13" t="inlineStr">
        <is>
          <t>CKAN package_show?id=wfp-food-prices-for-libya -&gt; 200, resolves live S3-presigned CSV (wfp_food_prices_lby.csv, 69,168 rows). 36 distinct commodities across 8 categories (cereals/tubers, meat/fish/eggs, milk/dairy, misc food, oil/fats, pulses/nuts, veg/fruits, non-food). Sample: 'Rice' unit '1 KG', category 'cereals and tubers', pricetype 'Retail', currency LYD.</t>
        </is>
      </c>
      <c r="R19" s="13" t="b">
        <v>0</v>
      </c>
      <c r="S19" s="13" t="inlineStr">
        <is>
          <t>Extending src/prices/fetchers/_shared/eap/wfp_food_prices.py to Libya is a one-line addition to the _PANELS dict: 'lby': ('Libya', 'wfp-food-prices-for-libya'). The fetcher's CKAN-resolution + national-average-collapse logic needs zero changes.</t>
        </is>
      </c>
      <c r="T19" s="13" t="inlineStr"/>
    </row>
    <row r="20">
      <c r="A20" s="13" t="inlineStr">
        <is>
          <t>ssa</t>
        </is>
      </c>
      <c r="B20" s="13" t="inlineStr">
        <is>
          <t>tanzania</t>
        </is>
      </c>
      <c r="C20" s="13" t="inlineStr">
        <is>
          <t>WFP Food Prices (HDX) -- Tanzania</t>
        </is>
      </c>
      <c r="D20" s="13" t="inlineStr">
        <is>
          <t>https://data.humdata.org/dataset/wfp-food-prices-for-united-republic-of-tanzania</t>
        </is>
      </c>
      <c r="E20" s="13" t="inlineStr">
        <is>
          <t>TIER_1B</t>
        </is>
      </c>
      <c r="F20" s="13" t="inlineStr">
        <is>
          <t>low</t>
        </is>
      </c>
      <c r="G20" s="13" t="inlineStr">
        <is>
          <t>Wave 1</t>
        </is>
      </c>
      <c r="H20" s="13" t="inlineStr">
        <is>
          <t>fetcher</t>
        </is>
      </c>
      <c r="I20" s="13" t="inlineStr">
        <is>
          <t>Extend _PANELS in src/prices/fetchers/_shared/eap/wfp_food_prices.py - one line per country, no new code. DATE-CHECK each panel first.</t>
        </is>
      </c>
      <c r="J20" s="13" t="inlineStr">
        <is>
          <t>A_wfp_ckan</t>
        </is>
      </c>
      <c r="K20" s="13" t="inlineStr">
        <is>
          <t>WFP/HDX CKAN</t>
        </is>
      </c>
      <c r="L20" s="13" t="inlineStr">
        <is>
          <t>official_avg</t>
        </is>
      </c>
      <c r="M20" s="13" t="inlineStr">
        <is>
          <t>official_avg</t>
        </is>
      </c>
      <c r="N20" s="13" t="inlineStr">
        <is>
          <t>TZS</t>
        </is>
      </c>
      <c r="O20" s="13" t="n">
        <v>20</v>
      </c>
      <c r="P20" s="13" t="inlineStr">
        <is>
          <t>https://data.humdata.org/api/3/action/package_show?id=wfp-food-prices-for-united-republic-of-tanzania</t>
        </is>
      </c>
      <c r="Q20" s="13" t="inlineStr">
        <is>
          <t>CKAN package id is NOT 'wfp-food-prices-for-tanzania' (404) -- resolved via package_search to 'wfp-food-prices-for-united-republic-of-tanzania'. CSV: 65,110 rows, 31 distinct commodities: beans (4 varieties), cabbage, carrots, fish (fresh), lettuce, maize (2 forms), meat (beef with/without bones, goat), millet (2 varieties), oil (cotton/sunflower), onions, potatoes, rice, sorghum, soybeans, sugar, sweet potatoes, tomatoes (2 varieties), wheat.</t>
        </is>
      </c>
      <c r="R20" s="13" t="b">
        <v>0</v>
      </c>
      <c r="S20" s="13" t="inlineStr">
        <is>
          <t>GOTCHA for whoever builds this fetcher: the slug follows the ISO 'United Republic of Tanzania' form, not the common name -- a naive slug guess 404s. Meat-cut (bone-in/out) and fresh-fish depth complement Fast &amp; Fresh.</t>
        </is>
      </c>
      <c r="T20" s="13" t="inlineStr"/>
    </row>
    <row r="21">
      <c r="A21" s="13" t="inlineStr">
        <is>
          <t>ssa</t>
        </is>
      </c>
      <c r="B21" s="13" t="inlineStr">
        <is>
          <t>guinea</t>
        </is>
      </c>
      <c r="C21" s="13" t="inlineStr">
        <is>
          <t>WFP Guinea (HDX)</t>
        </is>
      </c>
      <c r="D21" s="13" t="inlineStr">
        <is>
          <t>https://data.humdata.org/dataset/17a0a124-bedd-427c-a710-0d6e87672891</t>
        </is>
      </c>
      <c r="E21" s="13" t="inlineStr">
        <is>
          <t>TIER_1B</t>
        </is>
      </c>
      <c r="F21" s="13" t="inlineStr">
        <is>
          <t>low</t>
        </is>
      </c>
      <c r="G21" s="13" t="inlineStr">
        <is>
          <t>Wave 1</t>
        </is>
      </c>
      <c r="H21" s="13" t="inlineStr">
        <is>
          <t>fetcher</t>
        </is>
      </c>
      <c r="I21" s="13" t="inlineStr">
        <is>
          <t>Extend _PANELS in src/prices/fetchers/_shared/eap/wfp_food_prices.py - one line per country, no new code. DATE-CHECK each panel first.</t>
        </is>
      </c>
      <c r="J21" s="13" t="inlineStr">
        <is>
          <t>A_wfp_ckan</t>
        </is>
      </c>
      <c r="K21" s="13" t="inlineStr">
        <is>
          <t>Custom (CKAN/HDX)</t>
        </is>
      </c>
      <c r="L21" s="13" t="inlineStr">
        <is>
          <t>official_avg</t>
        </is>
      </c>
      <c r="M21" s="13" t="inlineStr">
        <is>
          <t>official_avg</t>
        </is>
      </c>
      <c r="N21" s="13" t="inlineStr">
        <is>
          <t>GNF</t>
        </is>
      </c>
      <c r="O21" s="13" t="n">
        <v>20</v>
      </c>
      <c r="P21" s="13" t="inlineStr">
        <is>
          <t>https://data.humdata.org/api/3/action/package_show?id=wfp-food-prices-for-guinea</t>
        </is>
      </c>
      <c r="Q21" s="13" t="inlineStr">
        <is>
          <t>CKAN-resolved CSV wfp_food_prices_gin.csv (200, 3.2MB). 26,189 rows, 26 distinct commodities, max date 2026-07-15 (current). Commodities incl. Fonio, Cassava meal (attieke/gari), Fish (fresh/dry/smoked), Groundnuts, Rice (imported/local).</t>
        </is>
      </c>
      <c r="R21" s="13" t="b">
        <v>0</v>
      </c>
      <c r="S21" s="13" t="inlineStr">
        <is>
          <t>Adds fonio (a div-01 cereal leaf with almost no other EAP/SSA source in this repo) plus three separate dried/smoked/fresh fish leaves.</t>
        </is>
      </c>
      <c r="T21" s="13" t="inlineStr"/>
    </row>
    <row r="22">
      <c r="A22" s="13" t="inlineStr">
        <is>
          <t>ssa</t>
        </is>
      </c>
      <c r="B22" s="13" t="inlineStr">
        <is>
          <t>cote_divoire</t>
        </is>
      </c>
      <c r="C22" s="13" t="inlineStr">
        <is>
          <t>WFP Cote d'Ivoire (HDX)</t>
        </is>
      </c>
      <c r="D22" s="13" t="inlineStr">
        <is>
          <t>https://data.humdata.org/dataset/e6ff12e6-0670-4a0e-af9f-3750688e6c8d</t>
        </is>
      </c>
      <c r="E22" s="13" t="inlineStr">
        <is>
          <t>TIER_1B</t>
        </is>
      </c>
      <c r="F22" s="13" t="inlineStr">
        <is>
          <t>low</t>
        </is>
      </c>
      <c r="G22" s="13" t="inlineStr">
        <is>
          <t>Wave 1</t>
        </is>
      </c>
      <c r="H22" s="13" t="inlineStr">
        <is>
          <t>fetcher</t>
        </is>
      </c>
      <c r="I22" s="13" t="inlineStr">
        <is>
          <t>Extend _PANELS in src/prices/fetchers/_shared/eap/wfp_food_prices.py - one line per country, no new code. DATE-CHECK each panel first.</t>
        </is>
      </c>
      <c r="J22" s="13" t="inlineStr">
        <is>
          <t>A_wfp_ckan</t>
        </is>
      </c>
      <c r="K22" s="13" t="inlineStr">
        <is>
          <t>Custom (CKAN/HDX)</t>
        </is>
      </c>
      <c r="L22" s="13" t="inlineStr">
        <is>
          <t>official_avg</t>
        </is>
      </c>
      <c r="M22" s="13" t="inlineStr">
        <is>
          <t>official_avg</t>
        </is>
      </c>
      <c r="N22" s="13" t="inlineStr">
        <is>
          <t>XOF</t>
        </is>
      </c>
      <c r="O22" s="13" t="n">
        <v>20</v>
      </c>
      <c r="P22" s="13" t="inlineStr">
        <is>
          <t>https://data.humdata.org/api/3/action/package_show?id=wfp-food-prices-for-cote-d-ivoire</t>
        </is>
      </c>
      <c r="Q22" s="13" t="inlineStr">
        <is>
          <t>CKAN-resolved CSV wfp_food_prices_civ.csv (200, 1.3MB). 10,698 rows, 27 distinct commodities, max date 2026-06-15. Commodities incl. Cashew nut, Cocoa, Coffee, Yam (+florido), Cassava meal (attieke), Fish (appolo/dry/fresh/smoked).</t>
        </is>
      </c>
      <c r="R22" s="13" t="b">
        <v>0</v>
      </c>
      <c r="S22" s="13" t="inlineStr">
        <is>
          <t>With Adjovan and Jumia CI both walled, this is currently the ONLY confirmed-working F&amp;B source for Cote d'Ivoire in this shard.</t>
        </is>
      </c>
      <c r="T22" s="13" t="inlineStr"/>
    </row>
    <row r="23">
      <c r="A23" s="13" t="inlineStr">
        <is>
          <t>lac</t>
        </is>
      </c>
      <c r="B23" s="13" t="inlineStr">
        <is>
          <t>chile</t>
        </is>
      </c>
      <c r="C23" s="13" t="inlineStr">
        <is>
          <t>ODEPA precios mayoristas de fruta y hortaliza</t>
        </is>
      </c>
      <c r="D23" s="13" t="inlineStr">
        <is>
          <t>https://datos.odepa.gob.cl/dataset/precios-mayoristas-de-frutas-y-hortalizas</t>
        </is>
      </c>
      <c r="E23" s="13" t="inlineStr">
        <is>
          <t>TIER_1B</t>
        </is>
      </c>
      <c r="F23" s="13" t="inlineStr">
        <is>
          <t>low</t>
        </is>
      </c>
      <c r="G23" s="13" t="inlineStr">
        <is>
          <t>Wave 1</t>
        </is>
      </c>
      <c r="H23" s="13" t="inlineStr">
        <is>
          <t>fetcher</t>
        </is>
      </c>
      <c r="I23" s="13" t="inlineStr">
        <is>
          <t>Extend _PANELS in src/prices/fetchers/_shared/eap/wfp_food_prices.py - one line per country, no new code. DATE-CHECK each panel first.</t>
        </is>
      </c>
      <c r="J23" s="13" t="inlineStr">
        <is>
          <t>A_wfp_ckan</t>
        </is>
      </c>
      <c r="K23" s="13" t="inlineStr">
        <is>
          <t>CKAN open-data portal (Chilean Ministry of Agriculture)</t>
        </is>
      </c>
      <c r="L23" s="13" t="inlineStr">
        <is>
          <t>official_avg</t>
        </is>
      </c>
      <c r="M23" s="13" t="inlineStr">
        <is>
          <t>wholesale</t>
        </is>
      </c>
      <c r="N23" s="13" t="inlineStr">
        <is>
          <t>CLP</t>
        </is>
      </c>
      <c r="O23" s="13" t="n">
        <v>20</v>
      </c>
      <c r="P23" s="13" t="inlineStr">
        <is>
          <t>CKAN package_show?id=precios-mayoristas-de-frutas-y-hortalizas -&gt; resource download URL (year-partitioned CSV, updated daily on business days)</t>
        </is>
      </c>
      <c r="Q23" s="13" t="inlineStr">
        <is>
          <t>CKAN package_show for 'precios-mayoristas-de-frutas-y-hortalizas' lists a 2026 CSV resource; GET precio_mayorista_fruta-hortaliza_2026.csv -&gt; HTTP 200, 24.3MB, 108,989 rows, dates through 2026-07-31 (1 week old). Sample row: 'Acelga', Femacal de La Calera market, $/docena de atados (6 kilos), precio promedio 4000 CLP. 79 unique products counted (Acelga, Ajo, Alcachofa, Apio, Arveja Verde, Betarraga, Brocoli, Camote, Cebolla, Choclo, Coliflor, Espinaca, Jengibre, etc).</t>
        </is>
      </c>
      <c r="R23" s="13" t="b">
        <v>0</v>
      </c>
      <c r="S23" s="13" t="inlineStr">
        <is>
          <t>Whole-catalog walker: min/max/avg wholesale price + volume per product/variety/quality/market/region, daily. Adds fresh-produce leaves retail supermarkets under-stock (specialty veg like achicoria, caigua, cebollin baby, corazon de apio).</t>
        </is>
      </c>
      <c r="T23" s="13" t="inlineStr"/>
    </row>
    <row r="24">
      <c r="A24" s="13" t="inlineStr">
        <is>
          <t>lac</t>
        </is>
      </c>
      <c r="B24" s="13" t="inlineStr">
        <is>
          <t>colombia</t>
        </is>
      </c>
      <c r="C24" s="13" t="inlineStr">
        <is>
          <t>WFP Colombia food prices (HDX)</t>
        </is>
      </c>
      <c r="D24" s="13" t="inlineStr">
        <is>
          <t>https://data.humdata.org/dataset/wfp-food-prices-for-colombia</t>
        </is>
      </c>
      <c r="E24" s="13" t="inlineStr">
        <is>
          <t>TIER_1B</t>
        </is>
      </c>
      <c r="F24" s="13" t="inlineStr">
        <is>
          <t>low</t>
        </is>
      </c>
      <c r="G24" s="13" t="inlineStr">
        <is>
          <t>Wave 1</t>
        </is>
      </c>
      <c r="H24" s="13" t="inlineStr">
        <is>
          <t>fetcher</t>
        </is>
      </c>
      <c r="I24" s="13" t="inlineStr">
        <is>
          <t>Extend _PANELS in src/prices/fetchers/_shared/eap/wfp_food_prices.py - one line per country, no new code. DATE-CHECK each panel first.</t>
        </is>
      </c>
      <c r="J24" s="13" t="inlineStr">
        <is>
          <t>A_wfp_ckan</t>
        </is>
      </c>
      <c r="K24" s="13" t="inlineStr">
        <is>
          <t>WFP HDX CKAN mirror</t>
        </is>
      </c>
      <c r="L24" s="13" t="inlineStr">
        <is>
          <t>official_avg</t>
        </is>
      </c>
      <c r="M24" s="13" t="inlineStr">
        <is>
          <t>wholesale</t>
        </is>
      </c>
      <c r="N24" s="13" t="inlineStr">
        <is>
          <t>COP</t>
        </is>
      </c>
      <c r="O24" s="13" t="n">
        <v>20</v>
      </c>
      <c r="P24" s="13" t="inlineStr">
        <is>
          <t>CKAN package_show?id=wfp-food-prices-for-colombia -&gt; wfp_food_prices_col.csv (S3 pre-signed redirect, follow -L)</t>
        </is>
      </c>
      <c r="Q24" s="13" t="inlineStr">
        <is>
          <t>CKAN package_show -&gt; resource 'Colombia - Food Prices' CSV, downloaded 9.8MB / 71,566 rows. Max observation date in file = 2026-06-15 (live, ~7 weeks old; CKAN last_modified metadata 2026-08-03 is separate from data currency, always check the max date column). Sample row: 2026-06-15, Valle Del Cauca, Tulua, 'Tomatoes', KG, Wholesale, COP 2975 (0.85 USD equiv). ~80 unique commodity strings.</t>
        </is>
      </c>
      <c r="R24" s="13" t="b">
        <v>0</v>
      </c>
      <c r="S24" s="13" t="inlineStr">
        <is>
          <t>Whole-catalog walker, mostly fresh produce/grains/legumes/fish, wholesale price basis. Confirmed live -- not stale like the Venezuela panel.</t>
        </is>
      </c>
      <c r="T24" s="13" t="inlineStr"/>
    </row>
    <row r="25">
      <c r="A25" s="13" t="inlineStr">
        <is>
          <t>menaap</t>
        </is>
      </c>
      <c r="B25" s="13" t="inlineStr">
        <is>
          <t>yemen</t>
        </is>
      </c>
      <c r="C25" s="13" t="inlineStr">
        <is>
          <t>WFP Food Prices - Yemen (HDX)</t>
        </is>
      </c>
      <c r="D25" s="13" t="inlineStr">
        <is>
          <t>https://data.humdata.org/dataset/98574e10-6866-4f13-a2b1-3c8312801af5</t>
        </is>
      </c>
      <c r="E25" s="13" t="inlineStr">
        <is>
          <t>TIER_1B</t>
        </is>
      </c>
      <c r="F25" s="13" t="inlineStr">
        <is>
          <t>low</t>
        </is>
      </c>
      <c r="G25" s="13" t="inlineStr">
        <is>
          <t>Wave 1</t>
        </is>
      </c>
      <c r="H25" s="13" t="inlineStr">
        <is>
          <t>fetcher</t>
        </is>
      </c>
      <c r="I25" s="13" t="inlineStr">
        <is>
          <t>Extend _PANELS in src/prices/fetchers/_shared/eap/wfp_food_prices.py - one line per country, no new code. DATE-CHECK each panel first.</t>
        </is>
      </c>
      <c r="J25" s="13" t="inlineStr">
        <is>
          <t>A_wfp_ckan</t>
        </is>
      </c>
      <c r="K25" s="13" t="inlineStr">
        <is>
          <t>WFP/HDX CKAN</t>
        </is>
      </c>
      <c r="L25" s="13" t="inlineStr">
        <is>
          <t>official_avg</t>
        </is>
      </c>
      <c r="M25" s="13" t="inlineStr">
        <is>
          <t>official_avg</t>
        </is>
      </c>
      <c r="N25" s="13" t="inlineStr">
        <is>
          <t>YER</t>
        </is>
      </c>
      <c r="O25" s="13" t="n">
        <v>17</v>
      </c>
      <c r="P25" s="13" t="inlineStr">
        <is>
          <t>CKAN package_show -&gt; S3 CSV</t>
        </is>
      </c>
      <c r="Q25" s="13" t="inlineStr">
        <is>
          <t>CKAN package_show -&gt; 200, resolves wfp_food_prices_yem.csv, 58,722 rows. 28 distinct commodities. No dairy and no fruit commodities at all in this panel - only cereals/tubers, pulses, oil, a few vegetables (onion/tomato/potato), meat (chicken/mutton via 'Livestock'), eggs, salt, sugar. Two rial regimes coexist in Yemen (old/new) - the CSV's 'currency' column should disambiguate but was not deep-checked this pass.</t>
        </is>
      </c>
      <c r="R25" s="13" t="b">
        <v>0</v>
      </c>
      <c r="S25" s="13" t="inlineStr">
        <is>
          <t>Thinnest of the 8 WFP panels - Yemen's monitoring focuses on cereal-security staples, not a full basket. Before shipping, verify whether 'old rial' vs 'new rial' values are mixed in one currency column (per the CSV shard's own gotcha note on domestic Yemeni sources) - if so a currency-variant split may be needed.</t>
        </is>
      </c>
      <c r="T25" s="13" t="inlineStr"/>
    </row>
    <row r="26">
      <c r="A26" s="13" t="inlineStr">
        <is>
          <t>ssa</t>
        </is>
      </c>
      <c r="B26" s="13" t="inlineStr">
        <is>
          <t>mozambique</t>
        </is>
      </c>
      <c r="C26" s="13" t="inlineStr">
        <is>
          <t>WFP Food Prices (HDX) -- Mozambique</t>
        </is>
      </c>
      <c r="D26" s="13" t="inlineStr">
        <is>
          <t>https://data.humdata.org/dataset/wfp-food-prices-for-mozambique</t>
        </is>
      </c>
      <c r="E26" s="13" t="inlineStr">
        <is>
          <t>TIER_1B</t>
        </is>
      </c>
      <c r="F26" s="13" t="inlineStr">
        <is>
          <t>low</t>
        </is>
      </c>
      <c r="G26" s="13" t="inlineStr">
        <is>
          <t>Wave 1</t>
        </is>
      </c>
      <c r="H26" s="13" t="inlineStr">
        <is>
          <t>fetcher</t>
        </is>
      </c>
      <c r="I26" s="13" t="inlineStr">
        <is>
          <t>Extend _PANELS in src/prices/fetchers/_shared/eap/wfp_food_prices.py - one line per country, no new code. DATE-CHECK each panel first.</t>
        </is>
      </c>
      <c r="J26" s="13" t="inlineStr">
        <is>
          <t>A_wfp_ckan</t>
        </is>
      </c>
      <c r="K26" s="13" t="inlineStr">
        <is>
          <t>WFP/HDX CKAN</t>
        </is>
      </c>
      <c r="L26" s="13" t="inlineStr">
        <is>
          <t>official_avg</t>
        </is>
      </c>
      <c r="M26" s="13" t="inlineStr">
        <is>
          <t>official_avg</t>
        </is>
      </c>
      <c r="N26" s="13" t="inlineStr">
        <is>
          <t>MZN</t>
        </is>
      </c>
      <c r="O26" s="13" t="n">
        <v>15</v>
      </c>
      <c r="P26" s="13" t="inlineStr">
        <is>
          <t>https://data.humdata.org/api/3/action/package_show?id=wfp-food-prices-for-mozambique</t>
        </is>
      </c>
      <c r="Q26" s="13" t="inlineStr">
        <is>
          <t>CKAN resolved -&gt; wfp_food_prices_moz.csv, 67,281 rows. 57 distinct commodities: beans (6 varieties), cassava (fresh/dry/flour/leaves), garlic (2 grades), groundnuts (4 grades), maize meal (4 grades), potatoes (3 grades), rice, sugar (2 grades), wheat flour, cowpeas, coconut, sesame.</t>
        </is>
      </c>
      <c r="R26" s="13" t="b">
        <v>0</v>
      </c>
      <c r="S26" s="13" t="inlineStr">
        <is>
          <t>Cassava-leaves and multi-grade maize-meal depth complements RECHEIO/VIP's packaged-goods lean.</t>
        </is>
      </c>
      <c r="T26" s="13" t="inlineStr"/>
    </row>
    <row r="27">
      <c r="A27" s="13" t="inlineStr">
        <is>
          <t>ssa</t>
        </is>
      </c>
      <c r="B27" s="13" t="inlineStr">
        <is>
          <t>zimbabwe</t>
        </is>
      </c>
      <c r="C27" s="13" t="inlineStr">
        <is>
          <t>WFP Food Prices (HDX) -- Zimbabwe</t>
        </is>
      </c>
      <c r="D27" s="13" t="inlineStr">
        <is>
          <t>https://data.humdata.org/dataset/wfp-food-prices-for-zimbabwe</t>
        </is>
      </c>
      <c r="E27" s="13" t="inlineStr">
        <is>
          <t>TIER_1B</t>
        </is>
      </c>
      <c r="F27" s="13" t="inlineStr">
        <is>
          <t>low</t>
        </is>
      </c>
      <c r="G27" s="13" t="inlineStr">
        <is>
          <t>Wave 1</t>
        </is>
      </c>
      <c r="H27" s="13" t="inlineStr">
        <is>
          <t>fetcher</t>
        </is>
      </c>
      <c r="I27" s="13" t="inlineStr">
        <is>
          <t>Extend _PANELS in src/prices/fetchers/_shared/eap/wfp_food_prices.py - one line per country, no new code. DATE-CHECK each panel first.</t>
        </is>
      </c>
      <c r="J27" s="13" t="inlineStr">
        <is>
          <t>A_wfp_ckan</t>
        </is>
      </c>
      <c r="K27" s="13" t="inlineStr">
        <is>
          <t>WFP/HDX CKAN</t>
        </is>
      </c>
      <c r="L27" s="13" t="inlineStr">
        <is>
          <t>official_avg</t>
        </is>
      </c>
      <c r="M27" s="13" t="inlineStr">
        <is>
          <t>official_avg</t>
        </is>
      </c>
      <c r="N27" s="13" t="inlineStr">
        <is>
          <t>USD</t>
        </is>
      </c>
      <c r="O27" s="13" t="n">
        <v>15</v>
      </c>
      <c r="P27" s="13" t="inlineStr">
        <is>
          <t>https://data.humdata.org/api/3/action/package_show?id=wfp-food-prices-for-zimbabwe</t>
        </is>
      </c>
      <c r="Q27" s="13" t="inlineStr">
        <is>
          <t>CKAN resolved -&gt; wfp_food_prices_zwe.csv, 28,596 rows. 31 distinct commodities including several biofortified variants (Beans sugar biofortified, Maize yellow biofortified, Millet biofortified, Sorghum biofortified) plus cowpeas, dried kapenta fish, standard cereals/oils/sugar/wheat.</t>
        </is>
      </c>
      <c r="R27" s="13" t="b">
        <v>0</v>
      </c>
      <c r="S27" s="13" t="inlineStr">
        <is>
          <t>Dried kapenta fish and the biofortified cereal variants are not something any confirmed retailer here carries.</t>
        </is>
      </c>
      <c r="T27" s="13" t="inlineStr"/>
    </row>
    <row r="28">
      <c r="A28" s="13" t="inlineStr">
        <is>
          <t>lac</t>
        </is>
      </c>
      <c r="B28" s="13" t="inlineStr">
        <is>
          <t>ecuador</t>
        </is>
      </c>
      <c r="C28" s="13" t="inlineStr">
        <is>
          <t>WFP Ecuador food prices (HDX)</t>
        </is>
      </c>
      <c r="D28" s="13" t="inlineStr">
        <is>
          <t>https://data.humdata.org/dataset/wfp-food-prices-for-ecuador</t>
        </is>
      </c>
      <c r="E28" s="13" t="inlineStr">
        <is>
          <t>TIER_1B</t>
        </is>
      </c>
      <c r="F28" s="13" t="inlineStr">
        <is>
          <t>low</t>
        </is>
      </c>
      <c r="G28" s="13" t="inlineStr">
        <is>
          <t>Wave 1</t>
        </is>
      </c>
      <c r="H28" s="13" t="inlineStr">
        <is>
          <t>fetcher</t>
        </is>
      </c>
      <c r="I28" s="13" t="inlineStr">
        <is>
          <t>Extend _PANELS in src/prices/fetchers/_shared/eap/wfp_food_prices.py - one line per country, no new code. DATE-CHECK each panel first.</t>
        </is>
      </c>
      <c r="J28" s="13" t="inlineStr">
        <is>
          <t>A_wfp_ckan</t>
        </is>
      </c>
      <c r="K28" s="13" t="inlineStr">
        <is>
          <t>WFP HDX CKAN mirror</t>
        </is>
      </c>
      <c r="L28" s="13" t="inlineStr">
        <is>
          <t>official_avg</t>
        </is>
      </c>
      <c r="M28" s="13" t="inlineStr">
        <is>
          <t>wholesale</t>
        </is>
      </c>
      <c r="N28" s="13" t="inlineStr">
        <is>
          <t>USD</t>
        </is>
      </c>
      <c r="O28" s="13" t="n">
        <v>15</v>
      </c>
      <c r="P28" s="13" t="inlineStr">
        <is>
          <t>CKAN package_show?id=wfp-food-prices-for-ecuador -&gt; wfp_food_prices_ecu.csv (S3 pre-signed redirect, follow -L)</t>
        </is>
      </c>
      <c r="Q28" s="13" t="inlineStr">
        <is>
          <t>CKAN package_show -&gt; resource 'Ecuador - Food Prices' CSV, downloaded 1.1MB / 9,053 rows. Max observation date = 2026-06-15 (live). Sample row: 2023-09-15..2026-06-15 range, Pichincha/Quito, 'Watermelons', KG, Wholesale, USD 0.31. 71 unique commodity strings (Apples, Avocados, Bananas, Beans variants, Beetroots, Blackberry, Bread, Maize, Onions, Plantains, Rice, etc).</t>
        </is>
      </c>
      <c r="R28" s="13" t="b">
        <v>0</v>
      </c>
      <c r="S28" s="13" t="inlineStr">
        <is>
          <t>Whole-catalog walker, wholesale produce/grains/legumes basis, confirmed live.</t>
        </is>
      </c>
      <c r="T28" s="13" t="inlineStr"/>
    </row>
    <row r="29">
      <c r="A29" s="13" t="inlineStr">
        <is>
          <t>ssa</t>
        </is>
      </c>
      <c r="B29" s="13" t="inlineStr">
        <is>
          <t>sudan</t>
        </is>
      </c>
      <c r="C29" s="13" t="inlineStr">
        <is>
          <t>WFP Sudan (HDX)</t>
        </is>
      </c>
      <c r="D29" s="13" t="inlineStr">
        <is>
          <t>https://data.humdata.org/dataset/369e003b-f0af-4e48-99d7-34fc85b44635</t>
        </is>
      </c>
      <c r="E29" s="13" t="inlineStr">
        <is>
          <t>TIER_1B</t>
        </is>
      </c>
      <c r="F29" s="13" t="inlineStr">
        <is>
          <t>low</t>
        </is>
      </c>
      <c r="G29" s="13" t="inlineStr">
        <is>
          <t>Wave 1</t>
        </is>
      </c>
      <c r="H29" s="13" t="inlineStr">
        <is>
          <t>fetcher</t>
        </is>
      </c>
      <c r="I29" s="13" t="inlineStr">
        <is>
          <t>Extend _PANELS in src/prices/fetchers/_shared/eap/wfp_food_prices.py - one line per country, no new code. DATE-CHECK each panel first.</t>
        </is>
      </c>
      <c r="J29" s="13" t="inlineStr">
        <is>
          <t>A_wfp_ckan</t>
        </is>
      </c>
      <c r="K29" s="13" t="inlineStr">
        <is>
          <t>Custom (CKAN/HDX)</t>
        </is>
      </c>
      <c r="L29" s="13" t="inlineStr">
        <is>
          <t>official_avg</t>
        </is>
      </c>
      <c r="M29" s="13" t="inlineStr">
        <is>
          <t>official_avg</t>
        </is>
      </c>
      <c r="N29" s="13" t="inlineStr">
        <is>
          <t>SDG</t>
        </is>
      </c>
      <c r="O29" s="13" t="n">
        <v>13</v>
      </c>
      <c r="P29" s="13" t="inlineStr">
        <is>
          <t>https://data.humdata.org/api/3/action/package_show?id=wfp-food-prices-for-sudan</t>
        </is>
      </c>
      <c r="Q29" s="13" t="inlineStr">
        <is>
          <t>CKAN-resolved CSV wfp_food_prices_sdn.csv (200, 2.8MB). 22,224 rows, 16 distinct commodities, max date 2026-06-15 (current). Sample commodities: Sorghum, Wheat, Wheat flour, Meat (beef/goat), Milk (powder), Onions, Salt (iodised), Sugar.</t>
        </is>
      </c>
      <c r="R29" s="13" t="b">
        <v>0</v>
      </c>
      <c r="S29" s="13" t="inlineStr">
        <is>
          <t>Thinnest WFP panel in this shard (16 commodities vs 51 for Kenya, 65 for Rwanda) -- war-affected data collection is likely constrained. Still adds fresh beef/goat meat and cereals not on HyperSale's packaged-goods shelf.</t>
        </is>
      </c>
      <c r="T29" s="13" t="inlineStr"/>
    </row>
    <row r="30">
      <c r="A30" s="13" t="inlineStr">
        <is>
          <t>ssa</t>
        </is>
      </c>
      <c r="B30" s="13" t="inlineStr">
        <is>
          <t>madagascar</t>
        </is>
      </c>
      <c r="C30" s="13" t="inlineStr">
        <is>
          <t>WFP Food Prices (HDX) -- Madagascar</t>
        </is>
      </c>
      <c r="D30" s="13" t="inlineStr">
        <is>
          <t>https://data.humdata.org/dataset/wfp-food-prices-for-madagascar</t>
        </is>
      </c>
      <c r="E30" s="13" t="inlineStr">
        <is>
          <t>TIER_1B</t>
        </is>
      </c>
      <c r="F30" s="13" t="inlineStr">
        <is>
          <t>low</t>
        </is>
      </c>
      <c r="G30" s="13" t="inlineStr">
        <is>
          <t>Wave 1</t>
        </is>
      </c>
      <c r="H30" s="13" t="inlineStr">
        <is>
          <t>fetcher</t>
        </is>
      </c>
      <c r="I30" s="13" t="inlineStr">
        <is>
          <t>Extend _PANELS in src/prices/fetchers/_shared/eap/wfp_food_prices.py - one line per country, no new code. DATE-CHECK each panel first.</t>
        </is>
      </c>
      <c r="J30" s="13" t="inlineStr">
        <is>
          <t>A_wfp_ckan</t>
        </is>
      </c>
      <c r="K30" s="13" t="inlineStr">
        <is>
          <t>WFP/HDX CKAN</t>
        </is>
      </c>
      <c r="L30" s="13" t="inlineStr">
        <is>
          <t>official_avg</t>
        </is>
      </c>
      <c r="M30" s="13" t="inlineStr">
        <is>
          <t>official_avg</t>
        </is>
      </c>
      <c r="N30" s="13" t="inlineStr">
        <is>
          <t>MGA</t>
        </is>
      </c>
      <c r="O30" s="13" t="n">
        <v>10</v>
      </c>
      <c r="P30" s="13" t="inlineStr">
        <is>
          <t>https://data.humdata.org/api/3/action/package_show?id=wfp-food-prices-for-madagascar</t>
        </is>
      </c>
      <c r="Q30" s="13" t="inlineStr">
        <is>
          <t>CKAN resolved -&gt; wfp_food_prices_mdg.csv, 34,220 rows. 20 distinct commodities: dry beans (4 varieties), cassava (dry/fresh), groundnuts (Bambara), maize (2 forms), oils (3 forms), rice (3 forms), sugar, wheat flour.</t>
        </is>
      </c>
      <c r="R30" s="13" t="b">
        <v>0</v>
      </c>
      <c r="S30" s="13" t="inlineStr">
        <is>
          <t>Narrow panel, cereal/legume/tuber-only -- no produce, protein or dairy commodities tracked for Madagascar.</t>
        </is>
      </c>
      <c r="T30" s="13" t="inlineStr"/>
    </row>
    <row r="31">
      <c r="A31" s="13" t="inlineStr">
        <is>
          <t>ssa</t>
        </is>
      </c>
      <c r="B31" s="13" t="inlineStr">
        <is>
          <t>cabo_verde</t>
        </is>
      </c>
      <c r="C31" s="13" t="inlineStr">
        <is>
          <t>WFP Cabo Verde (HDX)</t>
        </is>
      </c>
      <c r="D31" s="13" t="inlineStr">
        <is>
          <t>https://data.humdata.org/dataset/f9f8ff96-61eb-472e-9ec8-814980cfabcd</t>
        </is>
      </c>
      <c r="E31" s="13" t="inlineStr">
        <is>
          <t>TIER_1B</t>
        </is>
      </c>
      <c r="F31" s="13" t="inlineStr">
        <is>
          <t>low</t>
        </is>
      </c>
      <c r="G31" s="13" t="inlineStr">
        <is>
          <t>Wave 1</t>
        </is>
      </c>
      <c r="H31" s="13" t="inlineStr">
        <is>
          <t>fetcher</t>
        </is>
      </c>
      <c r="I31" s="13" t="inlineStr">
        <is>
          <t>Extend _PANELS in src/prices/fetchers/_shared/eap/wfp_food_prices.py - one line per country, no new code. DATE-CHECK each panel first.</t>
        </is>
      </c>
      <c r="J31" s="13" t="inlineStr">
        <is>
          <t>A_wfp_ckan</t>
        </is>
      </c>
      <c r="K31" s="13" t="inlineStr">
        <is>
          <t>Custom (CKAN/HDX)</t>
        </is>
      </c>
      <c r="L31" s="13" t="inlineStr">
        <is>
          <t>official_avg</t>
        </is>
      </c>
      <c r="M31" s="13" t="inlineStr">
        <is>
          <t>official_avg</t>
        </is>
      </c>
      <c r="N31" s="13" t="inlineStr">
        <is>
          <t>CVE</t>
        </is>
      </c>
      <c r="O31" s="13" t="n">
        <v>5</v>
      </c>
      <c r="P31" s="13" t="inlineStr">
        <is>
          <t>https://data.humdata.org/api/3/action/package_show?id=wfp-food-prices-for-cabo-verde</t>
        </is>
      </c>
      <c r="Q31" s="13" t="inlineStr">
        <is>
          <t>CKAN-resolved CSV wfp_food_prices_cpv.csv (200, 310KB -- smallest panel in the shard). 2,231 rows, only 7 distinct commodities (Cassava, Maize imported/local/yellow, Rice long/medium grain, Wheat flour), and STALE: max date is 2022-05-15, over 4 years old vs. 2026-05/07 for every other country in this shard.</t>
        </is>
      </c>
      <c r="R31" s="13" t="b">
        <v>0</v>
      </c>
      <c r="S31" s="13" t="inlineStr">
        <is>
          <t>LOW PRIORITY: unlike the other 7 countries, Cabo Verde's WFP panel is both thin (7 commodities) and stale (2022). Cabo Verde is a stable, non-crisis market where WFP monitoring has wound down; Nha Kretxeu's live retail catalog is a far better primary source here. Do not weight this feed the way the other 7 official_avg feeds are weighted.</t>
        </is>
      </c>
      <c r="T31" s="13" t="inlineStr"/>
    </row>
    <row r="32">
      <c r="A32" s="13" t="inlineStr">
        <is>
          <t>ssa</t>
        </is>
      </c>
      <c r="B32" s="13" t="inlineStr">
        <is>
          <t>gabon</t>
        </is>
      </c>
      <c r="C32" s="13" t="inlineStr">
        <is>
          <t>WFP Food Prices (HDX) -- Gabon</t>
        </is>
      </c>
      <c r="D32" s="13" t="inlineStr">
        <is>
          <t>https://data.humdata.org/dataset/wfp-food-prices-for-gabon</t>
        </is>
      </c>
      <c r="E32" s="13" t="inlineStr">
        <is>
          <t>TIER_1B</t>
        </is>
      </c>
      <c r="F32" s="13" t="inlineStr">
        <is>
          <t>low</t>
        </is>
      </c>
      <c r="G32" s="13" t="inlineStr">
        <is>
          <t>Wave 1</t>
        </is>
      </c>
      <c r="H32" s="13" t="inlineStr">
        <is>
          <t>fetcher</t>
        </is>
      </c>
      <c r="I32" s="13" t="inlineStr">
        <is>
          <t>Extend _PANELS in src/prices/fetchers/_shared/eap/wfp_food_prices.py - one line per country, no new code. DATE-CHECK each panel first.</t>
        </is>
      </c>
      <c r="J32" s="13" t="inlineStr">
        <is>
          <t>A_wfp_ckan</t>
        </is>
      </c>
      <c r="K32" s="13" t="inlineStr">
        <is>
          <t>WFP/HDX CKAN</t>
        </is>
      </c>
      <c r="L32" s="13" t="inlineStr">
        <is>
          <t>official_avg</t>
        </is>
      </c>
      <c r="M32" s="13" t="inlineStr">
        <is>
          <t>official_avg</t>
        </is>
      </c>
      <c r="N32" s="13" t="inlineStr">
        <is>
          <t>XAF</t>
        </is>
      </c>
      <c r="O32" s="13" t="n">
        <v>4</v>
      </c>
      <c r="P32" s="13" t="inlineStr">
        <is>
          <t>https://data.humdata.org/api/3/action/package_show?id=wfp-food-prices-for-gabon</t>
        </is>
      </c>
      <c r="Q32" s="13" t="inlineStr">
        <is>
          <t>CKAN resolved -&gt; wfp_food_prices_gab.csv, 505 rows (far smaller than every other panel in this shard). Only 4 distinct commodities: Cassava, Plantains, Rice, Wheat flour.</t>
        </is>
      </c>
      <c r="R32" s="13" t="b">
        <v>0</v>
      </c>
      <c r="S32" s="13" t="inlineStr">
        <is>
          <t>Structurally thin -- Gabon gets far less WFP market-monitoring attention than the Sahel/Horn countries in this shard. Free to add (same fetcher shape) but does not move the needle much.</t>
        </is>
      </c>
      <c r="T32" s="13" t="inlineStr"/>
    </row>
    <row r="33">
      <c r="A33" s="13" t="inlineStr">
        <is>
          <t>lac</t>
        </is>
      </c>
      <c r="B33" s="13" t="inlineStr">
        <is>
          <t>puerto_rico</t>
        </is>
      </c>
      <c r="C33" s="13" t="inlineStr">
        <is>
          <t>Supermercados Selectos</t>
        </is>
      </c>
      <c r="D33" s="13" t="inlineStr">
        <is>
          <t>https://www.selectoseasyshop.com/</t>
        </is>
      </c>
      <c r="E33" s="13" t="inlineStr">
        <is>
          <t>TIER_1B</t>
        </is>
      </c>
      <c r="F33" s="13" t="inlineStr">
        <is>
          <t>low</t>
        </is>
      </c>
      <c r="G33" s="13" t="inlineStr">
        <is>
          <t>Wave 2</t>
        </is>
      </c>
      <c r="H33" s="13" t="inlineStr">
        <is>
          <t>spider</t>
        </is>
      </c>
      <c r="I33" s="13" t="inlineStr">
        <is>
          <t>Generic NCR Freshop spider - one app_key per store, covers several Caribbean territories</t>
        </is>
      </c>
      <c r="J33" s="13" t="inlineStr">
        <is>
          <t>B_freshop</t>
        </is>
      </c>
      <c r="K33" s="13" t="inlineStr">
        <is>
          <t>NCR Freshop</t>
        </is>
      </c>
      <c r="L33" s="13" t="inlineStr">
        <is>
          <t>retailer_sku</t>
        </is>
      </c>
      <c r="M33" s="13" t="inlineStr">
        <is>
          <t>supermarket</t>
        </is>
      </c>
      <c r="N33" s="13" t="inlineStr">
        <is>
          <t>USD</t>
        </is>
      </c>
      <c r="O33" s="13" t="n">
        <v>170</v>
      </c>
      <c r="P33" s="13" t="inlineStr">
        <is>
          <t>api.freshop.ncrcloud.com/2/products?app_key=selectos</t>
        </is>
      </c>
      <c r="Q33" s="13" t="inlineStr">
        <is>
          <t>GET https://api.freshop.ncrcloud.com/2/products?app_key=selectos&amp;limit=5&amp;store_id=5988 -&gt; HTTP 200 JSON. Store list (/1/stores?app_key=selectos) returns 40 PR stores (Guaynabo, Mayaguez, Hatillo, Ponce, Carolina, San Juan, etc.), total catalog 85,381 items app-wide / 17,742 items for the Guaynabo store alone. Sample: 'ARROZ RICO GRANO MEDIANO' USD 2.69; 'PLATANO VERDE-MADURO PR' USD 1.00; 'Pernil de Cerdo Delantero Entero Fresco' USD 2.49; 'INDULAC LECHE REDUCIDA EN GRASA 2%' USD 2.09.</t>
        </is>
      </c>
      <c r="R33" s="13" t="b">
        <v>0</v>
      </c>
      <c r="S33" s="13" t="inlineStr">
        <is>
          <t>Largest verified PR find: 40-store chain, full-line (produce/meat/dairy/beverages confirmed), same Freshop platform already used in-repo for waltermart (PH) — app_key discovered by guessing common PR chain names against the known Freshop host.</t>
        </is>
      </c>
      <c r="T33" s="13" t="inlineStr"/>
    </row>
    <row r="34">
      <c r="A34" s="13" t="inlineStr">
        <is>
          <t>lac</t>
        </is>
      </c>
      <c r="B34" s="13" t="inlineStr">
        <is>
          <t>cayman_islands</t>
        </is>
      </c>
      <c r="C34" s="13" t="inlineStr">
        <is>
          <t>Cost-U-Less (Grand Cayman)</t>
        </is>
      </c>
      <c r="D34" s="13" t="inlineStr">
        <is>
          <t>https://www.costuless.com/grand-cayman</t>
        </is>
      </c>
      <c r="E34" s="13" t="inlineStr">
        <is>
          <t>TIER_1B</t>
        </is>
      </c>
      <c r="F34" s="13" t="inlineStr">
        <is>
          <t>low</t>
        </is>
      </c>
      <c r="G34" s="13" t="inlineStr">
        <is>
          <t>Wave 2</t>
        </is>
      </c>
      <c r="H34" s="13" t="inlineStr">
        <is>
          <t>spider</t>
        </is>
      </c>
      <c r="I34" s="13" t="inlineStr">
        <is>
          <t>Generic NCR Freshop spider - one app_key per store, covers several Caribbean territories</t>
        </is>
      </c>
      <c r="J34" s="13" t="inlineStr">
        <is>
          <t>B_freshop</t>
        </is>
      </c>
      <c r="K34" s="13" t="inlineStr">
        <is>
          <t>NCR Freshop</t>
        </is>
      </c>
      <c r="L34" s="13" t="inlineStr">
        <is>
          <t>retailer_sku</t>
        </is>
      </c>
      <c r="M34" s="13" t="inlineStr">
        <is>
          <t>warehouse_club</t>
        </is>
      </c>
      <c r="N34" s="13" t="inlineStr">
        <is>
          <t>USD</t>
        </is>
      </c>
      <c r="O34" s="13" t="n">
        <v>110</v>
      </c>
      <c r="P34" s="13" t="inlineStr">
        <is>
          <t>api.freshop.ncrcloud.com/2/products?app_key=cost_u_less&amp;store_id=3821</t>
        </is>
      </c>
      <c r="Q34" s="13" t="inlineStr">
        <is>
          <t>GET https://api.freshop.ncrcloud.com/2/products?app_key=cost_u_less&amp;store_id=3821&amp;limit=5 -&gt; HTTP 200 JSON, total 1,574 items for this store. Sample: 'Mango Red/Green' unit_price 2.49; 'Windex Trigger 23' 6.49; 'Clorox Clean-Up W/bleach 32&lt;' 5.99. Store confirmed via /1/stores?app_key=cost_u_less -&gt; id 3821 name 'Grand Cayman'.</t>
        </is>
      </c>
      <c r="R34" s="13" t="b">
        <v>0</v>
      </c>
      <c r="S34" s="13" t="inlineStr">
        <is>
          <t>CAVEAT: Freshop product payload has no currency_code field for this key (returns None); Cost-U-Less is a US-chain warehouse club so USD is the working assumption, but Cayman's official currency is KYD — verify before onboarding (many CI import-heavy retailers do price in USD given the peg, but this is unconfirmed from the API alone).</t>
        </is>
      </c>
      <c r="T34" s="13" t="inlineStr"/>
    </row>
    <row r="35">
      <c r="A35" s="13" t="inlineStr">
        <is>
          <t>lac</t>
        </is>
      </c>
      <c r="B35" s="13" t="inlineStr">
        <is>
          <t>virgin_islands_us</t>
        </is>
      </c>
      <c r="C35" s="13" t="inlineStr">
        <is>
          <t>Cost-U-Less (St. Thomas)</t>
        </is>
      </c>
      <c r="D35" s="13" t="inlineStr">
        <is>
          <t>https://www.costuless.com/st-thomas</t>
        </is>
      </c>
      <c r="E35" s="13" t="inlineStr">
        <is>
          <t>TIER_1B</t>
        </is>
      </c>
      <c r="F35" s="13" t="inlineStr">
        <is>
          <t>low</t>
        </is>
      </c>
      <c r="G35" s="13" t="inlineStr">
        <is>
          <t>Wave 2</t>
        </is>
      </c>
      <c r="H35" s="13" t="inlineStr">
        <is>
          <t>spider</t>
        </is>
      </c>
      <c r="I35" s="13" t="inlineStr">
        <is>
          <t>Generic NCR Freshop spider - one app_key per store, covers several Caribbean territories</t>
        </is>
      </c>
      <c r="J35" s="13" t="inlineStr">
        <is>
          <t>B_freshop</t>
        </is>
      </c>
      <c r="K35" s="13" t="inlineStr">
        <is>
          <t>NCR Freshop</t>
        </is>
      </c>
      <c r="L35" s="13" t="inlineStr">
        <is>
          <t>retailer_sku</t>
        </is>
      </c>
      <c r="M35" s="13" t="inlineStr">
        <is>
          <t>warehouse_club</t>
        </is>
      </c>
      <c r="N35" s="13" t="inlineStr">
        <is>
          <t>USD</t>
        </is>
      </c>
      <c r="O35" s="13" t="n">
        <v>105</v>
      </c>
      <c r="P35" s="13" t="inlineStr">
        <is>
          <t>api.freshop.ncrcloud.com/2/products?app_key=cost_u_less&amp;store_id=1967</t>
        </is>
      </c>
      <c r="Q35" s="13" t="inlineStr">
        <is>
          <t>GET https://api.freshop.ncrcloud.com/2/products?app_key=cost_u_less&amp;store_id=1967&amp;limit=5 -&gt; HTTP 200 JSON, total 2,219 items. Sample: 'Oh so GOOD! Water 40 Pack' unit_price 6.98; 'Hillandale Frm Fresh Shell Eggs Lg 18 Ct' 2.99. Store confirmed via /1/stores -&gt; id 1967 name 'St. Thomas'.</t>
        </is>
      </c>
      <c r="R35" s="13" t="b">
        <v>0</v>
      </c>
      <c r="S35" s="13" t="inlineStr">
        <is>
          <t>USVI uses USD natively so this is the one Cost-U-Less territory where the currency assumption is solid.</t>
        </is>
      </c>
      <c r="T35" s="13" t="inlineStr"/>
    </row>
    <row r="36">
      <c r="A36" s="13" t="inlineStr">
        <is>
          <t>lac</t>
        </is>
      </c>
      <c r="B36" s="13" t="inlineStr">
        <is>
          <t>sint_maarten_dutch_part</t>
        </is>
      </c>
      <c r="C36" s="13" t="inlineStr">
        <is>
          <t>Cost-U-Less (St. Maarten)</t>
        </is>
      </c>
      <c r="D36" s="13" t="inlineStr">
        <is>
          <t>https://www.costuless.com/st-maarten</t>
        </is>
      </c>
      <c r="E36" s="13" t="inlineStr">
        <is>
          <t>TIER_1B</t>
        </is>
      </c>
      <c r="F36" s="13" t="inlineStr">
        <is>
          <t>low</t>
        </is>
      </c>
      <c r="G36" s="13" t="inlineStr">
        <is>
          <t>Wave 2</t>
        </is>
      </c>
      <c r="H36" s="13" t="inlineStr">
        <is>
          <t>spider</t>
        </is>
      </c>
      <c r="I36" s="13" t="inlineStr">
        <is>
          <t>Generic NCR Freshop spider - one app_key per store, covers several Caribbean territories</t>
        </is>
      </c>
      <c r="J36" s="13" t="inlineStr">
        <is>
          <t>B_freshop</t>
        </is>
      </c>
      <c r="K36" s="13" t="inlineStr">
        <is>
          <t>NCR Freshop</t>
        </is>
      </c>
      <c r="L36" s="13" t="inlineStr">
        <is>
          <t>retailer_sku</t>
        </is>
      </c>
      <c r="M36" s="13" t="inlineStr">
        <is>
          <t>warehouse_club</t>
        </is>
      </c>
      <c r="N36" s="13" t="inlineStr">
        <is>
          <t>USD</t>
        </is>
      </c>
      <c r="O36" s="13" t="n">
        <v>100</v>
      </c>
      <c r="P36" s="13" t="inlineStr">
        <is>
          <t>api.freshop.ncrcloud.com/2/products?app_key=cost_u_less&amp;store_id=1966</t>
        </is>
      </c>
      <c r="Q36" s="13" t="inlineStr">
        <is>
          <t>GET https://api.freshop.ncrcloud.com/2/products?app_key=cost_u_less&amp;store_id=1966&amp;limit=5 -&gt; HTTP 200 JSON, total 1,704 items. Sample: 'Pnf Org Coconut Bev Original 32' unit_price 5.99; 'Hormel Black Lbl Luncheon Loaf 12' 5.99; 'Oh so GOOD! Water 40 Pack' 12.99. Store confirmed via /1/stores -&gt; id 1966 name 'St. Maarten'.</t>
        </is>
      </c>
      <c r="R36" s="13" t="b">
        <v>0</v>
      </c>
      <c r="S36" s="13" t="inlineStr">
        <is>
          <t>Same caveat as Cayman: no currency_code in payload; USD assumed (Sint Maarten's ANG/USD dual-currency zone makes USD pricing plausible for a US warehouse chain, but unconfirmed from the API).</t>
        </is>
      </c>
      <c r="T36" s="13" t="inlineStr"/>
    </row>
    <row r="37">
      <c r="A37" s="13" t="inlineStr">
        <is>
          <t>lac</t>
        </is>
      </c>
      <c r="B37" s="13" t="inlineStr">
        <is>
          <t>virgin_islands_us</t>
        </is>
      </c>
      <c r="C37" s="13" t="inlineStr">
        <is>
          <t>Cost-U-Less (St. Croix)</t>
        </is>
      </c>
      <c r="D37" s="13" t="inlineStr">
        <is>
          <t>https://www.costuless.com/</t>
        </is>
      </c>
      <c r="E37" s="13" t="inlineStr">
        <is>
          <t>TIER_1B</t>
        </is>
      </c>
      <c r="F37" s="13" t="inlineStr">
        <is>
          <t>low</t>
        </is>
      </c>
      <c r="G37" s="13" t="inlineStr">
        <is>
          <t>Wave 2</t>
        </is>
      </c>
      <c r="H37" s="13" t="inlineStr">
        <is>
          <t>spider</t>
        </is>
      </c>
      <c r="I37" s="13" t="inlineStr">
        <is>
          <t>Generic NCR Freshop spider - one app_key per store, covers several Caribbean territories</t>
        </is>
      </c>
      <c r="J37" s="13" t="inlineStr">
        <is>
          <t>B_freshop</t>
        </is>
      </c>
      <c r="K37" s="13" t="inlineStr">
        <is>
          <t>NCR Freshop</t>
        </is>
      </c>
      <c r="L37" s="13" t="inlineStr">
        <is>
          <t>retailer_sku</t>
        </is>
      </c>
      <c r="M37" s="13" t="inlineStr">
        <is>
          <t>warehouse_club</t>
        </is>
      </c>
      <c r="N37" s="13" t="inlineStr">
        <is>
          <t>USD</t>
        </is>
      </c>
      <c r="O37" s="13" t="n">
        <v>95</v>
      </c>
      <c r="P37" s="13" t="inlineStr">
        <is>
          <t>api.freshop.ncrcloud.com/2/products?app_key=cost_u_less&amp;store_id=1965</t>
        </is>
      </c>
      <c r="Q37" s="13" t="inlineStr">
        <is>
          <t>GET https://api.freshop.ncrcloud.com/2/products?app_key=cost_u_less&amp;store_id=1965&amp;limit=5 -&gt; HTTP 200 JSON, total 2,085 items. Sample: 'Apothic Red Winemakers Blend 750 Ml' unit_price 12.98; 'Alvins Hot Red Pepper Sauce 12 Oz' 6.49. Store confirmed via /1/stores -&gt; id 1965 name 'St. Croix'.</t>
        </is>
      </c>
      <c r="R37" s="13" t="b">
        <v>0</v>
      </c>
      <c r="S37" s="13" t="inlineStr">
        <is>
          <t>Second USVI store on the same tenant/app_key as St. Thomas; SKU overlap with the St. Thomas store is likely high but assortment/price can differ by island.</t>
        </is>
      </c>
      <c r="T37" s="13" t="inlineStr"/>
    </row>
    <row r="38">
      <c r="A38" s="13" t="inlineStr">
        <is>
          <t>eca</t>
        </is>
      </c>
      <c r="B38" s="13" t="inlineStr">
        <is>
          <t>azerbaijan</t>
        </is>
      </c>
      <c r="C38" s="13" t="inlineStr">
        <is>
          <t>Bazarstore.az</t>
        </is>
      </c>
      <c r="D38" s="13" t="inlineStr">
        <is>
          <t>https://bazarstore.az/en/</t>
        </is>
      </c>
      <c r="E38" s="13" t="inlineStr">
        <is>
          <t>TIER_1B</t>
        </is>
      </c>
      <c r="F38" s="13" t="inlineStr">
        <is>
          <t>low</t>
        </is>
      </c>
      <c r="G38" s="13" t="inlineStr">
        <is>
          <t>Wave 2</t>
        </is>
      </c>
      <c r="H38" s="13" t="inlineStr">
        <is>
          <t>spider</t>
        </is>
      </c>
      <c r="I38" s="13" t="inlineStr">
        <is>
          <t>Generic Shopify spider (/products.json?limit=250)</t>
        </is>
      </c>
      <c r="J38" s="13" t="inlineStr">
        <is>
          <t>C_shopify</t>
        </is>
      </c>
      <c r="K38" s="13" t="inlineStr">
        <is>
          <t>Shopify</t>
        </is>
      </c>
      <c r="L38" s="13" t="inlineStr">
        <is>
          <t>retailer_sku</t>
        </is>
      </c>
      <c r="M38" s="13" t="inlineStr">
        <is>
          <t>supermarket</t>
        </is>
      </c>
      <c r="N38" s="13" t="inlineStr">
        <is>
          <t>AZN</t>
        </is>
      </c>
      <c r="O38" s="13" t="n">
        <v>150</v>
      </c>
      <c r="P38" s="13" t="inlineStr">
        <is>
          <t>/en/products.json?limit=250</t>
        </is>
      </c>
      <c r="Q38" s="13" t="inlineStr">
        <is>
          <t>GET /en/products.json?limit=5 -&gt; 200, 5.3KB JSON. Sample: 'CORNETTO DONDURMA 130 ML GİANDUJA-ŞOKOLA' 3.90 AZN</t>
        </is>
      </c>
      <c r="R38" s="13" t="b">
        <v>1</v>
      </c>
      <c r="S38" s="13" t="inlineStr">
        <is>
          <t>217K stock lines per shard notes; category counts published for meat/fish, staples, dairy, snacks, bakery.</t>
        </is>
      </c>
      <c r="T38" s="13" t="inlineStr"/>
    </row>
    <row r="39">
      <c r="A39" s="13" t="inlineStr">
        <is>
          <t>lac</t>
        </is>
      </c>
      <c r="B39" s="13" t="inlineStr">
        <is>
          <t>aruba</t>
        </is>
      </c>
      <c r="C39" s="13" t="inlineStr">
        <is>
          <t>Ling &amp; Sons Food Market</t>
        </is>
      </c>
      <c r="D39" s="13" t="inlineStr">
        <is>
          <t>https://shop.lingandsons.com/</t>
        </is>
      </c>
      <c r="E39" s="13" t="inlineStr">
        <is>
          <t>TIER_1B</t>
        </is>
      </c>
      <c r="F39" s="13" t="inlineStr">
        <is>
          <t>low</t>
        </is>
      </c>
      <c r="G39" s="13" t="inlineStr">
        <is>
          <t>Wave 2</t>
        </is>
      </c>
      <c r="H39" s="13" t="inlineStr">
        <is>
          <t>spider</t>
        </is>
      </c>
      <c r="I39" s="13" t="inlineStr">
        <is>
          <t>Generic Shopify spider (/products.json?limit=250)</t>
        </is>
      </c>
      <c r="J39" s="13" t="inlineStr">
        <is>
          <t>C_shopify</t>
        </is>
      </c>
      <c r="K39" s="13" t="inlineStr">
        <is>
          <t>Shopify</t>
        </is>
      </c>
      <c r="L39" s="13" t="inlineStr">
        <is>
          <t>retailer_sku</t>
        </is>
      </c>
      <c r="M39" s="13" t="inlineStr">
        <is>
          <t>supermarket</t>
        </is>
      </c>
      <c r="N39" s="13" t="inlineStr">
        <is>
          <t>AWG</t>
        </is>
      </c>
      <c r="O39" s="13" t="n">
        <v>140</v>
      </c>
      <c r="P39" s="13" t="inlineStr">
        <is>
          <t>/products.json</t>
        </is>
      </c>
      <c r="Q39" s="13" t="inlineStr">
        <is>
          <t>GET /products.json?limit=5 -&gt; HTTP 200, 12.8KB JSON. Sample: 'Green Cabbage' AWG 4.49 (confirmed via /meta.json: currency AWG, money_format 'Afl{{amount}}', 1,850 published products, 126 collections).</t>
        </is>
      </c>
      <c r="R39" s="13" t="b">
        <v>0</v>
      </c>
      <c r="S39" s="13" t="inlineStr">
        <is>
          <t>Fresh produce confirmed (Green Cabbage). Aruba's premium grocery chain.</t>
        </is>
      </c>
      <c r="T39" s="13" t="inlineStr"/>
    </row>
    <row r="40">
      <c r="A40" s="13" t="inlineStr">
        <is>
          <t>sar</t>
        </is>
      </c>
      <c r="B40" s="13" t="inlineStr">
        <is>
          <t>india</t>
        </is>
      </c>
      <c r="C40" s="13" t="inlineStr">
        <is>
          <t>Star Bazaar / StarQuik (Tata)</t>
        </is>
      </c>
      <c r="D40" s="13" t="inlineStr">
        <is>
          <t>https://www.starquik.com/</t>
        </is>
      </c>
      <c r="E40" s="13" t="inlineStr">
        <is>
          <t>TIER_1B</t>
        </is>
      </c>
      <c r="F40" s="13" t="inlineStr">
        <is>
          <t>low</t>
        </is>
      </c>
      <c r="G40" s="13" t="inlineStr">
        <is>
          <t>Wave 2</t>
        </is>
      </c>
      <c r="H40" s="13" t="inlineStr">
        <is>
          <t>spider</t>
        </is>
      </c>
      <c r="I40" s="13" t="inlineStr">
        <is>
          <t>Generic Shopify spider (/products.json?limit=250)</t>
        </is>
      </c>
      <c r="J40" s="13" t="inlineStr">
        <is>
          <t>C_shopify</t>
        </is>
      </c>
      <c r="K40" s="13" t="inlineStr">
        <is>
          <t>Shopify</t>
        </is>
      </c>
      <c r="L40" s="13" t="inlineStr">
        <is>
          <t>retailer_sku</t>
        </is>
      </c>
      <c r="M40" s="13" t="inlineStr">
        <is>
          <t>supermarket</t>
        </is>
      </c>
      <c r="N40" s="13" t="inlineStr">
        <is>
          <t>INR</t>
        </is>
      </c>
      <c r="O40" s="13" t="n">
        <v>120</v>
      </c>
      <c r="P40" s="13" t="inlineStr">
        <is>
          <t>/products.json?limit=250&amp;page=N</t>
        </is>
      </c>
      <c r="Q40" s="13" t="inlineStr">
        <is>
          <t>GET /products.json?limit=100 -&gt; HTTP 200, 254KB JSON, 100 products across Beans/Brinjal/Bhindi, Exotic Fruits, Biscuits &amp; Cookies, Frozen French Fries, Milk/Cream/Sweets, Breads, Block Chocolate, Extra Virgin Olive Oil. Sample: 'Brinjal Round Violet Small, 250 g' INR 19.00.</t>
        </is>
      </c>
      <c r="R40" s="13" t="b">
        <v>0</v>
      </c>
      <c r="S40" s="13" t="inlineStr">
        <is>
          <t>Tata-owned mid-tier chain (Mumbai/Pune/Bangalore). Fits the inverse-correlation law exactly -- the market leader BigBasket is Akamai-hardened, this sibling mid-tier chain is wide open Shopify. Onboard first for India.</t>
        </is>
      </c>
      <c r="T40" s="13" t="inlineStr"/>
    </row>
    <row r="41">
      <c r="A41" s="13" t="inlineStr">
        <is>
          <t>sar</t>
        </is>
      </c>
      <c r="B41" s="13" t="inlineStr">
        <is>
          <t>sri_lanka</t>
        </is>
      </c>
      <c r="C41" s="13" t="inlineStr">
        <is>
          <t>SPAR2U Sri Lanka</t>
        </is>
      </c>
      <c r="D41" s="13" t="inlineStr">
        <is>
          <t>https://spar2u.lk/</t>
        </is>
      </c>
      <c r="E41" s="13" t="inlineStr">
        <is>
          <t>TIER_1B</t>
        </is>
      </c>
      <c r="F41" s="13" t="inlineStr">
        <is>
          <t>low</t>
        </is>
      </c>
      <c r="G41" s="13" t="inlineStr">
        <is>
          <t>Wave 2</t>
        </is>
      </c>
      <c r="H41" s="13" t="inlineStr">
        <is>
          <t>spider</t>
        </is>
      </c>
      <c r="I41" s="13" t="inlineStr">
        <is>
          <t>Generic Shopify spider (/products.json?limit=250)</t>
        </is>
      </c>
      <c r="J41" s="13" t="inlineStr">
        <is>
          <t>C_shopify</t>
        </is>
      </c>
      <c r="K41" s="13" t="inlineStr">
        <is>
          <t>Shopify</t>
        </is>
      </c>
      <c r="L41" s="13" t="inlineStr">
        <is>
          <t>retailer_sku</t>
        </is>
      </c>
      <c r="M41" s="13" t="inlineStr">
        <is>
          <t>supermarket</t>
        </is>
      </c>
      <c r="N41" s="13" t="inlineStr">
        <is>
          <t>LKR</t>
        </is>
      </c>
      <c r="O41" s="13" t="n">
        <v>110</v>
      </c>
      <c r="P41" s="13" t="inlineStr">
        <is>
          <t>/products.json?limit=250</t>
        </is>
      </c>
      <c r="Q41" s="13" t="inlineStr">
        <is>
          <t>GET /products.json?limit=250 -&gt; 200, 2.08MB JSON, 250 products (page 2 confirmed another full 250, catalog is larger). Sample: 'PORK Curry (Bone In)' Meat, LKR 5850.00; 'JF Whole Chicken, 1Kg' Meat, LKR 1250.00. product_type breakdown on page 1: Meat 68, Vegetables 44, Beverages 38, Fruits 25, Grocery 30, Chilled 6, Frozens 9, Health &amp; Beauty 12, Household 6. Confirmed via header (server: Shopify) and shopify markers in body.</t>
        </is>
      </c>
      <c r="R41" s="13" t="b">
        <v>1</v>
      </c>
      <c r="S41" s="13" t="inlineStr">
        <is>
          <t>Strongest fresh-meat depth of any Sri Lanka source seen (68 meat SKUs on page 1 alone, real cuts: pork curry, beef liver, chicken thigh boneless). Genuine full-catalog Shopify export, trivial to paginate.</t>
        </is>
      </c>
      <c r="T41" s="13" t="inlineStr"/>
    </row>
    <row r="42">
      <c r="A42" s="13" t="inlineStr">
        <is>
          <t>ssa</t>
        </is>
      </c>
      <c r="B42" s="13" t="inlineStr">
        <is>
          <t>zambia</t>
        </is>
      </c>
      <c r="C42" s="13" t="inlineStr">
        <is>
          <t>The Lusaka Grocery Delivery Company</t>
        </is>
      </c>
      <c r="D42" s="13" t="inlineStr">
        <is>
          <t>https://lusakadelivery.com/</t>
        </is>
      </c>
      <c r="E42" s="13" t="inlineStr">
        <is>
          <t>TIER_1B</t>
        </is>
      </c>
      <c r="F42" s="13" t="inlineStr">
        <is>
          <t>low</t>
        </is>
      </c>
      <c r="G42" s="13" t="inlineStr">
        <is>
          <t>Wave 2</t>
        </is>
      </c>
      <c r="H42" s="13" t="inlineStr">
        <is>
          <t>spider</t>
        </is>
      </c>
      <c r="I42" s="13" t="inlineStr">
        <is>
          <t>Generic Shopify spider (/products.json?limit=250)</t>
        </is>
      </c>
      <c r="J42" s="13" t="inlineStr">
        <is>
          <t>C_shopify</t>
        </is>
      </c>
      <c r="K42" s="13" t="inlineStr">
        <is>
          <t>Shopify</t>
        </is>
      </c>
      <c r="L42" s="13" t="inlineStr">
        <is>
          <t>retailer_sku</t>
        </is>
      </c>
      <c r="M42" s="13" t="inlineStr">
        <is>
          <t>supermarket</t>
        </is>
      </c>
      <c r="N42" s="13" t="inlineStr">
        <is>
          <t>ZMW</t>
        </is>
      </c>
      <c r="O42" s="13" t="n">
        <v>110</v>
      </c>
      <c r="P42" s="13" t="inlineStr">
        <is>
          <t>/products.json?limit=250&amp;page=N</t>
        </is>
      </c>
      <c r="Q42" s="13" t="inlineStr">
        <is>
          <t>Shopify confirmed: GET https://lusakadelivery.com/products.json?limit=250 -&gt; 200, 268KB, 250 products on page 1 alone (catalog is larger; not paginated further this pass). Sample: 'Chicken Portion Pieces 5kg' (listed as 'Copy of Chicken Portion Pieces 5kg' -- a leftover duplicate-product-entry artifact worth flagging to any downstream cleaner) ZMW 540.00; 'Lancewood sour cream 250ml' ZMW 145.00; wine/liquor SKUs also present (Pongracz, Alvis Drift).</t>
        </is>
      </c>
      <c r="R42" s="13" t="b">
        <v>1</v>
      </c>
      <c r="S42" s="13" t="inlineStr">
        <is>
          <t>Best Zambia source. CSV cites per-subcategory counts (condiments 67, canned 51, carbohydrates 44) confirming genuine full-line depth; per-kg fresh produce pricing also confirmed by CSV (tomatoes/onion per kg).</t>
        </is>
      </c>
      <c r="T42" s="13" t="inlineStr"/>
    </row>
    <row r="43">
      <c r="A43" s="13" t="inlineStr">
        <is>
          <t>lac</t>
        </is>
      </c>
      <c r="B43" s="13" t="inlineStr">
        <is>
          <t>bolivia</t>
        </is>
      </c>
      <c r="C43" s="13" t="inlineStr">
        <is>
          <t>Fidalga</t>
        </is>
      </c>
      <c r="D43" s="13" t="inlineStr">
        <is>
          <t>https://www.fidalga.com/</t>
        </is>
      </c>
      <c r="E43" s="13" t="inlineStr">
        <is>
          <t>TIER_1B</t>
        </is>
      </c>
      <c r="F43" s="13" t="inlineStr">
        <is>
          <t>low</t>
        </is>
      </c>
      <c r="G43" s="13" t="inlineStr">
        <is>
          <t>Wave 2</t>
        </is>
      </c>
      <c r="H43" s="13" t="inlineStr">
        <is>
          <t>spider</t>
        </is>
      </c>
      <c r="I43" s="13" t="inlineStr">
        <is>
          <t>Generic Shopify spider (/products.json?limit=250)</t>
        </is>
      </c>
      <c r="J43" s="13" t="inlineStr">
        <is>
          <t>C_shopify</t>
        </is>
      </c>
      <c r="K43" s="13" t="inlineStr">
        <is>
          <t>Shopify</t>
        </is>
      </c>
      <c r="L43" s="13" t="inlineStr">
        <is>
          <t>retailer_sku</t>
        </is>
      </c>
      <c r="M43" s="13" t="inlineStr">
        <is>
          <t>supermarket</t>
        </is>
      </c>
      <c r="N43" s="13" t="inlineStr">
        <is>
          <t>BOB</t>
        </is>
      </c>
      <c r="O43" s="13" t="n">
        <v>110</v>
      </c>
      <c r="P43" s="13" t="inlineStr">
        <is>
          <t>/products.json?limit=250</t>
        </is>
      </c>
      <c r="Q43" s="13" t="inlineStr">
        <is>
          <t>GET /products.json?limit=250 -&gt; 200, 296KB JSON, 250 products. Sample: 'Lavandina Mr. Cloro 250 ml' Bs3.80. CSV also cites staple SKUs directly visible on-site: pan frances Bs0.90/unit, leche Pil 900ml Bs9.70, azucar 5kg Bs33.50.</t>
        </is>
      </c>
      <c r="R43" s="13" t="b">
        <v>1</v>
      </c>
      <c r="S43" s="13" t="inlineStr">
        <is>
          <t>CSV listed platform as Custom; actually Shopify. Strong staple/basic-basket coverage per CSV notes.</t>
        </is>
      </c>
      <c r="T43" s="13" t="inlineStr"/>
    </row>
    <row r="44">
      <c r="A44" s="13" t="inlineStr">
        <is>
          <t>ssa</t>
        </is>
      </c>
      <c r="B44" s="13" t="inlineStr">
        <is>
          <t>malawi</t>
        </is>
      </c>
      <c r="C44" s="13" t="inlineStr">
        <is>
          <t>Add2Cart Malawi</t>
        </is>
      </c>
      <c r="D44" s="13" t="inlineStr">
        <is>
          <t>https://www.add2cartmw.com/</t>
        </is>
      </c>
      <c r="E44" s="13" t="inlineStr">
        <is>
          <t>TIER_1B</t>
        </is>
      </c>
      <c r="F44" s="13" t="inlineStr">
        <is>
          <t>low</t>
        </is>
      </c>
      <c r="G44" s="13" t="inlineStr">
        <is>
          <t>Wave 2</t>
        </is>
      </c>
      <c r="H44" s="13" t="inlineStr">
        <is>
          <t>spider</t>
        </is>
      </c>
      <c r="I44" s="13" t="inlineStr">
        <is>
          <t>Generic Shopify spider (/products.json?limit=250)</t>
        </is>
      </c>
      <c r="J44" s="13" t="inlineStr">
        <is>
          <t>C_shopify</t>
        </is>
      </c>
      <c r="K44" s="13" t="inlineStr">
        <is>
          <t>Shopify</t>
        </is>
      </c>
      <c r="L44" s="13" t="inlineStr">
        <is>
          <t>retailer_sku</t>
        </is>
      </c>
      <c r="M44" s="13" t="inlineStr">
        <is>
          <t>supermarket</t>
        </is>
      </c>
      <c r="N44" s="13" t="inlineStr">
        <is>
          <t>MWK</t>
        </is>
      </c>
      <c r="O44" s="13" t="n">
        <v>100</v>
      </c>
      <c r="P44" s="13" t="inlineStr">
        <is>
          <t>/products.json?limit=250&amp;page=N</t>
        </is>
      </c>
      <c r="Q44" s="13" t="inlineStr">
        <is>
          <t>GET /products.json?limit=5 -&gt; 200, real Shopify JSON payload. Sample product: 'BIG TREE APPY 500ML', vendor 'Add 2 Cart Malawi', tags ['Grocery','Lilongwe','Malawi','Online Shopping'].</t>
        </is>
      </c>
      <c r="R44" s="13" t="b">
        <v>1</v>
      </c>
      <c r="S44" s="13" t="inlineStr">
        <is>
          <t>Cheapest possible integration in this whole shard -- Shopify's own catalog JSON, no scaffolding needed beyond pagination.</t>
        </is>
      </c>
      <c r="T44" s="13" t="inlineStr"/>
    </row>
    <row r="45">
      <c r="A45" s="13" t="inlineStr">
        <is>
          <t>ssa</t>
        </is>
      </c>
      <c r="B45" s="13" t="inlineStr">
        <is>
          <t>mauritania</t>
        </is>
      </c>
      <c r="C45" s="13" t="inlineStr">
        <is>
          <t>GROX (Migross)</t>
        </is>
      </c>
      <c r="D45" s="13" t="inlineStr">
        <is>
          <t>https://groxmarket.com/</t>
        </is>
      </c>
      <c r="E45" s="13" t="inlineStr">
        <is>
          <t>TIER_1B</t>
        </is>
      </c>
      <c r="F45" s="13" t="inlineStr">
        <is>
          <t>low</t>
        </is>
      </c>
      <c r="G45" s="13" t="inlineStr">
        <is>
          <t>Wave 2</t>
        </is>
      </c>
      <c r="H45" s="13" t="inlineStr">
        <is>
          <t>spider</t>
        </is>
      </c>
      <c r="I45" s="13" t="inlineStr">
        <is>
          <t>Generic Shopify spider (/products.json?limit=250)</t>
        </is>
      </c>
      <c r="J45" s="13" t="inlineStr">
        <is>
          <t>C_shopify</t>
        </is>
      </c>
      <c r="K45" s="13" t="inlineStr">
        <is>
          <t>Shopify</t>
        </is>
      </c>
      <c r="L45" s="13" t="inlineStr">
        <is>
          <t>retailer_sku</t>
        </is>
      </c>
      <c r="M45" s="13" t="inlineStr">
        <is>
          <t>supermarket</t>
        </is>
      </c>
      <c r="N45" s="13" t="inlineStr">
        <is>
          <t>MRU</t>
        </is>
      </c>
      <c r="O45" s="13" t="n">
        <v>100</v>
      </c>
      <c r="P45" s="13" t="inlineStr">
        <is>
          <t>/products.json?limit=250&amp;page=N</t>
        </is>
      </c>
      <c r="Q45" s="13" t="inlineStr">
        <is>
          <t>GET / -&gt; 200, 233KB, Shopify fingerprint confirmed + real MRU prices: '400 MRU' x2 in raw HTML.</t>
        </is>
      </c>
      <c r="R45" s="13" t="b">
        <v>1</v>
      </c>
      <c r="S45" s="13" t="inlineStr">
        <is>
          <t>Modern supermarket + delivery, Nouakchott. Shopify catalog JSON is the cheapest path.</t>
        </is>
      </c>
      <c r="T45" s="13" t="inlineStr"/>
    </row>
    <row r="46">
      <c r="A46" s="13" t="inlineStr">
        <is>
          <t>lac</t>
        </is>
      </c>
      <c r="B46" s="13" t="inlineStr">
        <is>
          <t>barbados</t>
        </is>
      </c>
      <c r="C46" s="13" t="inlineStr">
        <is>
          <t>Aone Supermarkets</t>
        </is>
      </c>
      <c r="D46" s="13" t="inlineStr">
        <is>
          <t>https://aonesupermarkets.com/</t>
        </is>
      </c>
      <c r="E46" s="13" t="inlineStr">
        <is>
          <t>TIER_1B</t>
        </is>
      </c>
      <c r="F46" s="13" t="inlineStr">
        <is>
          <t>low</t>
        </is>
      </c>
      <c r="G46" s="13" t="inlineStr">
        <is>
          <t>Wave 2</t>
        </is>
      </c>
      <c r="H46" s="13" t="inlineStr">
        <is>
          <t>spider</t>
        </is>
      </c>
      <c r="I46" s="13" t="inlineStr">
        <is>
          <t>Generic Shopify spider (/products.json?limit=250)</t>
        </is>
      </c>
      <c r="J46" s="13" t="inlineStr">
        <is>
          <t>C_shopify</t>
        </is>
      </c>
      <c r="K46" s="13" t="inlineStr">
        <is>
          <t>Shopify</t>
        </is>
      </c>
      <c r="L46" s="13" t="inlineStr">
        <is>
          <t>retailer_sku</t>
        </is>
      </c>
      <c r="M46" s="13" t="inlineStr">
        <is>
          <t>supermarket</t>
        </is>
      </c>
      <c r="N46" s="13" t="inlineStr">
        <is>
          <t>BBD</t>
        </is>
      </c>
      <c r="O46" s="13" t="n">
        <v>60</v>
      </c>
      <c r="P46" s="13" t="inlineStr">
        <is>
          <t>/products.json?limit=250</t>
        </is>
      </c>
      <c r="Q46" s="13" t="inlineStr">
        <is>
          <t>GET /products.json?limit=250 -&gt; 200, 305KB JSON, 250 products. Sample: 'A1 Cookie Croissants' BBD 7.50; 'Hawaiian Punch Pineapple Plunge 1gal' BBD 22.85</t>
        </is>
      </c>
      <c r="R46" s="13" t="b">
        <v>1</v>
      </c>
      <c r="S46" s="13" t="inlineStr">
        <is>
          <t>Catalog skews general-merchandise (hangers, cards) alongside grocery; deep taxonomy per CSV notes.</t>
        </is>
      </c>
      <c r="T46" s="13" t="inlineStr"/>
    </row>
    <row r="47">
      <c r="A47" s="13" t="inlineStr">
        <is>
          <t>lac</t>
        </is>
      </c>
      <c r="B47" s="13" t="inlineStr">
        <is>
          <t>bolivia</t>
        </is>
      </c>
      <c r="C47" s="13" t="inlineStr">
        <is>
          <t>Amarket</t>
        </is>
      </c>
      <c r="D47" s="13" t="inlineStr">
        <is>
          <t>https://amarket.com.bo/</t>
        </is>
      </c>
      <c r="E47" s="13" t="inlineStr">
        <is>
          <t>TIER_1B</t>
        </is>
      </c>
      <c r="F47" s="13" t="inlineStr">
        <is>
          <t>low</t>
        </is>
      </c>
      <c r="G47" s="13" t="inlineStr">
        <is>
          <t>Wave 2</t>
        </is>
      </c>
      <c r="H47" s="13" t="inlineStr">
        <is>
          <t>spider</t>
        </is>
      </c>
      <c r="I47" s="13" t="inlineStr">
        <is>
          <t>Generic Shopify spider (/products.json?limit=250)</t>
        </is>
      </c>
      <c r="J47" s="13" t="inlineStr">
        <is>
          <t>C_shopify</t>
        </is>
      </c>
      <c r="K47" s="13" t="inlineStr">
        <is>
          <t>Shopify</t>
        </is>
      </c>
      <c r="L47" s="13" t="inlineStr">
        <is>
          <t>retailer_sku</t>
        </is>
      </c>
      <c r="M47" s="13" t="inlineStr">
        <is>
          <t>supermarket</t>
        </is>
      </c>
      <c r="N47" s="13" t="inlineStr">
        <is>
          <t>BOB</t>
        </is>
      </c>
      <c r="O47" s="13" t="n">
        <v>50</v>
      </c>
      <c r="P47" s="13" t="inlineStr">
        <is>
          <t>/products.json?limit=250</t>
        </is>
      </c>
      <c r="Q47" s="13" t="inlineStr">
        <is>
          <t>GET /products.json?limit=250 -&gt; 200, 326KB JSON, 250 products. Sample: 'Viva 50 Bs Tarjeta Teléfono X Unidad' Bs50.00 (phone card, confirms platform; general-merchandise-leaning catalog).</t>
        </is>
      </c>
      <c r="R47" s="13" t="b">
        <v>1</v>
      </c>
      <c r="S47" s="13" t="inlineStr">
        <is>
          <t>CSV listed platform as Custom; actually Shopify. General e-commerce store, moderate grocery share.</t>
        </is>
      </c>
      <c r="T47" s="13" t="inlineStr"/>
    </row>
    <row r="48">
      <c r="A48" s="13" t="inlineStr">
        <is>
          <t>lac</t>
        </is>
      </c>
      <c r="B48" s="13" t="inlineStr">
        <is>
          <t>trinidad_and_tobago</t>
        </is>
      </c>
      <c r="C48" s="13" t="inlineStr">
        <is>
          <t>D'Market Movers</t>
        </is>
      </c>
      <c r="D48" s="13" t="inlineStr">
        <is>
          <t>https://dmarketmovers.com/</t>
        </is>
      </c>
      <c r="E48" s="13" t="inlineStr">
        <is>
          <t>TIER_1B</t>
        </is>
      </c>
      <c r="F48" s="13" t="inlineStr">
        <is>
          <t>low</t>
        </is>
      </c>
      <c r="G48" s="13" t="inlineStr">
        <is>
          <t>Wave 2</t>
        </is>
      </c>
      <c r="H48" s="13" t="inlineStr">
        <is>
          <t>spider</t>
        </is>
      </c>
      <c r="I48" s="13" t="inlineStr">
        <is>
          <t>Generic Shopify spider (/products.json?limit=250)</t>
        </is>
      </c>
      <c r="J48" s="13" t="inlineStr">
        <is>
          <t>C_shopify</t>
        </is>
      </c>
      <c r="K48" s="13" t="inlineStr">
        <is>
          <t>Shopify</t>
        </is>
      </c>
      <c r="L48" s="13" t="inlineStr">
        <is>
          <t>retailer_sku</t>
        </is>
      </c>
      <c r="M48" s="13" t="inlineStr">
        <is>
          <t>supermarket</t>
        </is>
      </c>
      <c r="N48" s="13" t="inlineStr">
        <is>
          <t>TTD</t>
        </is>
      </c>
      <c r="O48" s="13" t="n">
        <v>50</v>
      </c>
      <c r="P48" s="13" t="inlineStr">
        <is>
          <t>/products.json?limit=250</t>
        </is>
      </c>
      <c r="Q48" s="13" t="inlineStr">
        <is>
          <t>GET /products.json?limit=250 -&gt; 200, 300KB JSON, 184 products. Sample: 'Snapper (Espeara TT)' TTD 160.00.</t>
        </is>
      </c>
      <c r="R48" s="13" t="b">
        <v>1</v>
      </c>
      <c r="S48" s="13" t="inlineStr">
        <is>
          <t>Strong local produce/fish focus per CSV notes; moderate catalog size (184 items), not a full-line supermarket.</t>
        </is>
      </c>
      <c r="T48" s="13" t="inlineStr"/>
    </row>
    <row r="49">
      <c r="A49" s="13" t="inlineStr">
        <is>
          <t>sar</t>
        </is>
      </c>
      <c r="B49" s="13" t="inlineStr">
        <is>
          <t>bhutan</t>
        </is>
      </c>
      <c r="C49" s="13" t="inlineStr">
        <is>
          <t>ShopOnline Bhutan</t>
        </is>
      </c>
      <c r="D49" s="13" t="inlineStr">
        <is>
          <t>https://shoponline.bt/</t>
        </is>
      </c>
      <c r="E49" s="13" t="inlineStr">
        <is>
          <t>TIER_1B</t>
        </is>
      </c>
      <c r="F49" s="13" t="inlineStr">
        <is>
          <t>low</t>
        </is>
      </c>
      <c r="G49" s="13" t="inlineStr">
        <is>
          <t>Wave 2</t>
        </is>
      </c>
      <c r="H49" s="13" t="inlineStr">
        <is>
          <t>spider</t>
        </is>
      </c>
      <c r="I49" s="13" t="inlineStr">
        <is>
          <t>Generic Shopify spider (/products.json?limit=250)</t>
        </is>
      </c>
      <c r="J49" s="13" t="inlineStr">
        <is>
          <t>C_shopify</t>
        </is>
      </c>
      <c r="K49" s="13" t="inlineStr">
        <is>
          <t>Shopify</t>
        </is>
      </c>
      <c r="L49" s="13" t="inlineStr">
        <is>
          <t>retailer_sku</t>
        </is>
      </c>
      <c r="M49" s="13" t="inlineStr">
        <is>
          <t>supermarket</t>
        </is>
      </c>
      <c r="N49" s="13" t="inlineStr">
        <is>
          <t>BTN</t>
        </is>
      </c>
      <c r="O49" s="13" t="n">
        <v>45</v>
      </c>
      <c r="P49" s="13" t="inlineStr">
        <is>
          <t>GET /products.json?limit=250&amp;page=N</t>
        </is>
      </c>
      <c r="Q49" s="13" t="inlineStr">
        <is>
          <t>Shopify storefront. GET https://shoponline.bt/products.json?limit=250 -&gt; 200, 238366 bytes JSON, plain curl, no auth; page=2 also returns a full 250, so &gt;=500 SKUs. product_type values include Bakery, Beverages, Biscuits, Chips, Chocolate, dairy, groceries, Juice, Noodles, Oil, 'Rice, Grains &amp; Pulses', Sauce, Spices &amp; Seasoning, Tea &amp; Coffee Items, garam masala, tea leaf, beer, wine, spirits, Local Product. Sample: 'sonai milk 1 ltr' price=85.00, 'sonai mozzarella [shredded] 2kg' price=995.00, 'Kitty Bread Crumbs 1kg' price=180.00.</t>
        </is>
      </c>
      <c r="R49" s="13" t="b">
        <v>0</v>
      </c>
      <c r="S49" s="13" t="inlineStr">
        <is>
          <t>Best new Bhutan find: real full-line packaged grocery + dairy + beverages + alcohol, comparable in depth to the already-onboarded sherza.bt (also Shopify /products.json). Not a fresh-produce store (no fruit/vegetable product_type seen in first 500 SKUs) but strong on packaged div-01/02 leaves. Trivial to scaffold -- same pattern as sherza.</t>
        </is>
      </c>
      <c r="T49" s="13" t="inlineStr"/>
    </row>
    <row r="50">
      <c r="A50" s="13" t="inlineStr">
        <is>
          <t>lac</t>
        </is>
      </c>
      <c r="B50" s="13" t="inlineStr">
        <is>
          <t>bolivia</t>
        </is>
      </c>
      <c r="C50" s="13" t="inlineStr">
        <is>
          <t>Compro.bo</t>
        </is>
      </c>
      <c r="D50" s="13" t="inlineStr">
        <is>
          <t>https://compro.bo/</t>
        </is>
      </c>
      <c r="E50" s="13" t="inlineStr">
        <is>
          <t>TIER_1B</t>
        </is>
      </c>
      <c r="F50" s="13" t="inlineStr">
        <is>
          <t>low</t>
        </is>
      </c>
      <c r="G50" s="13" t="inlineStr">
        <is>
          <t>Wave 2</t>
        </is>
      </c>
      <c r="H50" s="13" t="inlineStr">
        <is>
          <t>spider</t>
        </is>
      </c>
      <c r="I50" s="13" t="inlineStr">
        <is>
          <t>Generic Shopify spider (/products.json?limit=250)</t>
        </is>
      </c>
      <c r="J50" s="13" t="inlineStr">
        <is>
          <t>C_shopify</t>
        </is>
      </c>
      <c r="K50" s="13" t="inlineStr">
        <is>
          <t>Shopify</t>
        </is>
      </c>
      <c r="L50" s="13" t="inlineStr">
        <is>
          <t>retailer_sku</t>
        </is>
      </c>
      <c r="M50" s="13" t="inlineStr">
        <is>
          <t>supermarket</t>
        </is>
      </c>
      <c r="N50" s="13" t="inlineStr">
        <is>
          <t>BOB</t>
        </is>
      </c>
      <c r="O50" s="13" t="n">
        <v>45</v>
      </c>
      <c r="P50" s="13" t="inlineStr">
        <is>
          <t>/products.json?limit=250</t>
        </is>
      </c>
      <c r="Q50" s="13" t="inlineStr">
        <is>
          <t>GET /products.json?limit=250 -&gt; 200, 220KB JSON, 250 products. Sample: 'SOBAQUERA 3 PLUMAS 200ML' Bs10.00 (deodorant; CSV notes a 38-category tree focused on national/domestic production).</t>
        </is>
      </c>
      <c r="R50" s="13" t="b">
        <v>1</v>
      </c>
      <c r="S50" s="13" t="inlineStr">
        <is>
          <t>CSV listed platform as Custom; actually Shopify.</t>
        </is>
      </c>
      <c r="T50" s="13" t="inlineStr"/>
    </row>
    <row r="51">
      <c r="A51" s="13" t="inlineStr">
        <is>
          <t>ssa</t>
        </is>
      </c>
      <c r="B51" s="13" t="inlineStr">
        <is>
          <t>congo_dem_rep</t>
        </is>
      </c>
      <c r="C51" s="13" t="inlineStr">
        <is>
          <t>Shoppi (S&amp;K)</t>
        </is>
      </c>
      <c r="D51" s="13" t="inlineStr">
        <is>
          <t>https://www.shoppi.cd/</t>
        </is>
      </c>
      <c r="E51" s="13" t="inlineStr">
        <is>
          <t>TIER_1B</t>
        </is>
      </c>
      <c r="F51" s="13" t="inlineStr">
        <is>
          <t>low</t>
        </is>
      </c>
      <c r="G51" s="13" t="inlineStr">
        <is>
          <t>Wave 2</t>
        </is>
      </c>
      <c r="H51" s="13" t="inlineStr">
        <is>
          <t>spider</t>
        </is>
      </c>
      <c r="I51" s="13" t="inlineStr">
        <is>
          <t>Generic Shopify spider (/products.json?limit=250)</t>
        </is>
      </c>
      <c r="J51" s="13" t="inlineStr">
        <is>
          <t>C_shopify</t>
        </is>
      </c>
      <c r="K51" s="13" t="inlineStr">
        <is>
          <t>Shopify</t>
        </is>
      </c>
      <c r="L51" s="13" t="inlineStr">
        <is>
          <t>retailer_sku</t>
        </is>
      </c>
      <c r="M51" s="13" t="inlineStr">
        <is>
          <t>supermarket</t>
        </is>
      </c>
      <c r="N51" s="13" t="inlineStr">
        <is>
          <t>CDF</t>
        </is>
      </c>
      <c r="O51" s="13" t="n">
        <v>35</v>
      </c>
      <c r="P51" s="13" t="inlineStr">
        <is>
          <t>/products.json</t>
        </is>
      </c>
      <c r="Q51" s="13" t="inlineStr">
        <is>
          <t>GET /products.json?limit=250 -&gt; HTTP 200, 279KB. Shopify confirmed. 250 products sampled; product_type breakdown: Salty groceries(20), Sweet groceries(19), Dairy/eggs(10), Breakfast(8), Baby corner(8), Pasta/rice/noodles(7), Sugar/flour/baking(7), Wines(6), Soft drinks(6), Spirits(5), Beers(4). Sample: 'Weibo Ruler 30cm' 800 FC (non-food, confirms schema); food category prices e.g. '3,500 FC' seen in raw HTML for grocery items.</t>
        </is>
      </c>
      <c r="R51" s="13" t="b">
        <v>1</v>
      </c>
      <c r="S51" s="13" t="inlineStr">
        <is>
          <t>Packaged-goods-leaning grocer -- NO fresh produce, meat, or fish product_type categories observed in the sampled catalog, despite the CSV describing a 'full grocery taxonomy including bakery, produce, dairy, frozen.' Covers 3 div-02 leaves (wine/beer/spirits) which most sources in this shard miss.</t>
        </is>
      </c>
      <c r="T51" s="13" t="inlineStr"/>
    </row>
    <row r="52">
      <c r="A52" s="13" t="inlineStr">
        <is>
          <t>ssa</t>
        </is>
      </c>
      <c r="B52" s="13" t="inlineStr">
        <is>
          <t>kenya</t>
        </is>
      </c>
      <c r="C52" s="13" t="inlineStr">
        <is>
          <t>Zucchini Food Market</t>
        </is>
      </c>
      <c r="D52" s="13" t="inlineStr">
        <is>
          <t>https://zucchini.co.ke/</t>
        </is>
      </c>
      <c r="E52" s="13" t="inlineStr">
        <is>
          <t>TIER_1B</t>
        </is>
      </c>
      <c r="F52" s="13" t="inlineStr">
        <is>
          <t>low</t>
        </is>
      </c>
      <c r="G52" s="13" t="inlineStr">
        <is>
          <t>Wave 2</t>
        </is>
      </c>
      <c r="H52" s="13" t="inlineStr">
        <is>
          <t>spider</t>
        </is>
      </c>
      <c r="I52" s="13" t="inlineStr">
        <is>
          <t>Generic Shopify spider (/products.json?limit=250)</t>
        </is>
      </c>
      <c r="J52" s="13" t="inlineStr">
        <is>
          <t>C_shopify</t>
        </is>
      </c>
      <c r="K52" s="13" t="inlineStr">
        <is>
          <t>Shopify</t>
        </is>
      </c>
      <c r="L52" s="13" t="inlineStr">
        <is>
          <t>retailer_sku</t>
        </is>
      </c>
      <c r="M52" s="13" t="inlineStr">
        <is>
          <t>supermarket</t>
        </is>
      </c>
      <c r="N52" s="13" t="inlineStr">
        <is>
          <t>KES</t>
        </is>
      </c>
      <c r="O52" s="13" t="n">
        <v>30</v>
      </c>
      <c r="P52" s="13" t="inlineStr">
        <is>
          <t>/products.json</t>
        </is>
      </c>
      <c r="Q52" s="13" t="inlineStr">
        <is>
          <t>GET /products.json?limit=5 -&gt; 200, Shopify. Samples: 'Pineapple - (Appx 1 piece) per Kg' KES 149 (type: Melons + Pineapples); 'Beef Tomatoes' KES 179 (type: Vegetables); 'Sawa Kahawa Medium Dark Roast 250gm' KES 1490 (type: Beverage).</t>
        </is>
      </c>
      <c r="R52" s="13" t="b">
        <v>0</v>
      </c>
      <c r="S52" s="13" t="inlineStr">
        <is>
          <t>Fresh-produce specialist, discovered via web search (not in shard). Overlaps foodplus.co.ke on fresh fruit/veg but adds independent price observations for spatial/temporal dispersion.</t>
        </is>
      </c>
      <c r="T52" s="13" t="inlineStr"/>
    </row>
    <row r="53">
      <c r="A53" s="13" t="inlineStr">
        <is>
          <t>lac</t>
        </is>
      </c>
      <c r="B53" s="13" t="inlineStr">
        <is>
          <t>bolivia</t>
        </is>
      </c>
      <c r="C53" s="13" t="inlineStr">
        <is>
          <t>Farmacorp</t>
        </is>
      </c>
      <c r="D53" s="13" t="inlineStr">
        <is>
          <t>https://www.farmacorp.com/</t>
        </is>
      </c>
      <c r="E53" s="13" t="inlineStr">
        <is>
          <t>TIER_1B</t>
        </is>
      </c>
      <c r="F53" s="13" t="inlineStr">
        <is>
          <t>low</t>
        </is>
      </c>
      <c r="G53" s="13" t="inlineStr">
        <is>
          <t>Wave 2</t>
        </is>
      </c>
      <c r="H53" s="13" t="inlineStr">
        <is>
          <t>spider</t>
        </is>
      </c>
      <c r="I53" s="13" t="inlineStr">
        <is>
          <t>Generic Shopify spider (/products.json?limit=250)</t>
        </is>
      </c>
      <c r="J53" s="13" t="inlineStr">
        <is>
          <t>C_shopify</t>
        </is>
      </c>
      <c r="K53" s="13" t="inlineStr">
        <is>
          <t>Shopify</t>
        </is>
      </c>
      <c r="L53" s="13" t="inlineStr">
        <is>
          <t>retailer_sku</t>
        </is>
      </c>
      <c r="M53" s="13" t="inlineStr">
        <is>
          <t>pharmacy</t>
        </is>
      </c>
      <c r="N53" s="13" t="inlineStr">
        <is>
          <t>BOB</t>
        </is>
      </c>
      <c r="O53" s="13" t="n">
        <v>15</v>
      </c>
      <c r="P53" s="13" t="inlineStr">
        <is>
          <t>/products.json?limit=250</t>
        </is>
      </c>
      <c r="Q53" s="13" t="inlineStr">
        <is>
          <t>GET /products.json?limit=5 -&gt; 200, 11.8KB JSON, 5 products (Shopify, not VTEX as CSV claimed). Root page HTML also shows SSR prices e.g. Bs370,00. Sample product: 'Stickers Para Uñas Essence So Cherry Happy' Bs28.30.</t>
        </is>
      </c>
      <c r="R53" s="13" t="b">
        <v>1</v>
      </c>
      <c r="S53" s="13" t="inlineStr">
        <is>
          <t>Pharmacy chain (COICOP 6 focus); CSV claimed VTEX but it is actually Shopify. Minor F&amp;B tail (snacks/drinks at checkout) only.</t>
        </is>
      </c>
      <c r="T53" s="13" t="inlineStr"/>
    </row>
    <row r="54">
      <c r="A54" s="13" t="inlineStr">
        <is>
          <t>menaap</t>
        </is>
      </c>
      <c r="B54" s="13" t="inlineStr">
        <is>
          <t>yemen</t>
        </is>
      </c>
      <c r="C54" s="13" t="inlineStr">
        <is>
          <t>Yemen Box</t>
        </is>
      </c>
      <c r="D54" s="13" t="inlineStr">
        <is>
          <t>https://yemenbox.com/collections/grocery/products.json</t>
        </is>
      </c>
      <c r="E54" s="13" t="inlineStr">
        <is>
          <t>TIER_1B</t>
        </is>
      </c>
      <c r="F54" s="13" t="inlineStr">
        <is>
          <t>low</t>
        </is>
      </c>
      <c r="G54" s="13" t="inlineStr">
        <is>
          <t>Wave 2</t>
        </is>
      </c>
      <c r="H54" s="13" t="inlineStr">
        <is>
          <t>spider</t>
        </is>
      </c>
      <c r="I54" s="13" t="inlineStr">
        <is>
          <t>Generic Shopify spider (/products.json?limit=250)</t>
        </is>
      </c>
      <c r="J54" s="13" t="inlineStr">
        <is>
          <t>C_shopify</t>
        </is>
      </c>
      <c r="K54" s="13" t="inlineStr">
        <is>
          <t>Shopify</t>
        </is>
      </c>
      <c r="L54" s="13" t="inlineStr">
        <is>
          <t>retailer_sku</t>
        </is>
      </c>
      <c r="M54" s="13" t="inlineStr">
        <is>
          <t>marketplace</t>
        </is>
      </c>
      <c r="N54" s="13" t="inlineStr">
        <is>
          <t>USD</t>
        </is>
      </c>
      <c r="O54" s="13" t="n">
        <v>12</v>
      </c>
      <c r="P54" s="13" t="inlineStr">
        <is>
          <t>/collections/grocery/products.json</t>
        </is>
      </c>
      <c r="Q54" s="13" t="inlineStr">
        <is>
          <t>curl GET https://yemenbox.com/collections/grocery/products.json?limit=5 -&gt; 200, clean Shopify JSON. Real SKUs: 'Kraft Cheddar Cheese (190 g)' price 3.99, tags:['GROCERY']; '(Mawassem) Creme Caramel' also under the grocery collection. Standard Shopify /products.json?limit=250&amp;page=N paginates the rest.</t>
        </is>
      </c>
      <c r="R54" s="13" t="b">
        <v>1</v>
      </c>
      <c r="S54" s="13" t="inlineStr">
        <is>
          <t>USD pricing + diaspora shipping framing (per CSV note) - document this basis explicitly if onboarded; not domestic YER retail. Catalog looks like imported packaged/shelf-stable goods (cheese, desserts, canned) rather than fresh produce or meat.</t>
        </is>
      </c>
      <c r="T54" s="13" t="inlineStr"/>
    </row>
    <row r="55">
      <c r="A55" s="13" t="inlineStr">
        <is>
          <t>ssa</t>
        </is>
      </c>
      <c r="B55" s="13" t="inlineStr">
        <is>
          <t>ghana</t>
        </is>
      </c>
      <c r="C55" s="13" t="inlineStr">
        <is>
          <t>Konzoom</t>
        </is>
      </c>
      <c r="D55" s="13" t="inlineStr">
        <is>
          <t>https://konzoom.shop/</t>
        </is>
      </c>
      <c r="E55" s="13" t="inlineStr">
        <is>
          <t>TIER_1B</t>
        </is>
      </c>
      <c r="F55" s="13" t="inlineStr">
        <is>
          <t>low</t>
        </is>
      </c>
      <c r="G55" s="13" t="inlineStr">
        <is>
          <t>Wave 2</t>
        </is>
      </c>
      <c r="H55" s="13" t="inlineStr">
        <is>
          <t>spider</t>
        </is>
      </c>
      <c r="I55" s="13" t="inlineStr">
        <is>
          <t>Generic Shopify spider (/products.json?limit=250)</t>
        </is>
      </c>
      <c r="J55" s="13" t="inlineStr">
        <is>
          <t>C_shopify</t>
        </is>
      </c>
      <c r="K55" s="13" t="inlineStr">
        <is>
          <t>Shopify</t>
        </is>
      </c>
      <c r="L55" s="13" t="inlineStr">
        <is>
          <t>retailer_sku</t>
        </is>
      </c>
      <c r="M55" s="13" t="inlineStr">
        <is>
          <t>supermarket</t>
        </is>
      </c>
      <c r="N55" s="13" t="inlineStr">
        <is>
          <t>GHS</t>
        </is>
      </c>
      <c r="O55" s="13" t="n">
        <v>12</v>
      </c>
      <c r="P55" s="13" t="inlineStr">
        <is>
          <t>/products.json?limit=250&amp;page=N</t>
        </is>
      </c>
      <c r="Q55" s="13" t="inlineStr">
        <is>
          <t>CSV's own EXTRACTION endpoint confirmed live: GET https://konzoom.shop/products.json?limit=20 -&gt; 200, 42KB, Shopify. 20 real SKUs returned (Febreze Air Freshener, Heritage Natural Black Soap, Alata Samina, shea body products) -- these are real catalog entries, not the 'Example product title' placeholders the CSV warned about on the homepage.</t>
        </is>
      </c>
      <c r="R55" s="13" t="b">
        <v>1</v>
      </c>
      <c r="S55" s="13" t="inlineStr">
        <is>
          <t>Sampled page is personal-care/household heavy; the CSV-cited 'Local Delicacies' food category not independently re-sampled within budget.</t>
        </is>
      </c>
      <c r="T55" s="13" t="inlineStr"/>
    </row>
    <row r="56">
      <c r="A56" s="13" t="inlineStr">
        <is>
          <t>sar</t>
        </is>
      </c>
      <c r="B56" s="13" t="inlineStr">
        <is>
          <t>pakistan</t>
        </is>
      </c>
      <c r="C56" s="13" t="inlineStr">
        <is>
          <t>Alfatah</t>
        </is>
      </c>
      <c r="D56" s="13" t="inlineStr">
        <is>
          <t>https://alfatah.pk/</t>
        </is>
      </c>
      <c r="E56" s="13" t="inlineStr">
        <is>
          <t>TIER_1B</t>
        </is>
      </c>
      <c r="F56" s="13" t="inlineStr">
        <is>
          <t>low</t>
        </is>
      </c>
      <c r="G56" s="13" t="inlineStr">
        <is>
          <t>Wave 2</t>
        </is>
      </c>
      <c r="H56" s="13" t="inlineStr">
        <is>
          <t>spider</t>
        </is>
      </c>
      <c r="I56" s="13" t="inlineStr">
        <is>
          <t>Generic Shopify spider (/products.json?limit=250)</t>
        </is>
      </c>
      <c r="J56" s="13" t="inlineStr">
        <is>
          <t>C_shopify</t>
        </is>
      </c>
      <c r="K56" s="13" t="inlineStr">
        <is>
          <t>Shopify</t>
        </is>
      </c>
      <c r="L56" s="13" t="inlineStr">
        <is>
          <t>retailer_sku</t>
        </is>
      </c>
      <c r="M56" s="13" t="inlineStr">
        <is>
          <t>supermarket</t>
        </is>
      </c>
      <c r="N56" s="13" t="inlineStr">
        <is>
          <t>PKR</t>
        </is>
      </c>
      <c r="O56" s="13" t="n">
        <v>0</v>
      </c>
      <c r="P56" s="13" t="inlineStr">
        <is>
          <t>/products.json?limit=250&amp;page=N</t>
        </is>
      </c>
      <c r="Q56" s="13" t="inlineStr">
        <is>
          <t>GET /products.json?limit=250 -&gt; HTTP 200, 310KB JSON, Shopify. But a 250-product sample is dominated by houseware/kitchenware/electronics ('LG REFRIGERATOR...', 'TOWEL STAND STEEL...', 'SUGAR POT SET...', 'STEAMER STEEL...'); food-keyword grep hit only false positives (sugar POT, rice serving SPOON, spice SET -- containers, not the commodities). No actual grocery SKUs surfaced in the sample.</t>
        </is>
      </c>
      <c r="R56" s="13" t="b">
        <v>0</v>
      </c>
      <c r="S56" s="13" t="inlineStr">
        <is>
          <t>Technically Tier 1B and trivially scrapeable, but Alfatah is a fabric/houseware/electronics department store, not a grocer -- near-zero div-01/02 relevance. Not worth onboarding for F&amp;B.</t>
        </is>
      </c>
      <c r="T56" s="13" t="inlineStr"/>
    </row>
    <row r="57">
      <c r="A57" s="13" t="inlineStr">
        <is>
          <t>menaap</t>
        </is>
      </c>
      <c r="B57" s="13" t="inlineStr">
        <is>
          <t>morocco</t>
        </is>
      </c>
      <c r="C57" s="13" t="inlineStr">
        <is>
          <t>Aswak Assalam</t>
        </is>
      </c>
      <c r="D57" s="13" t="inlineStr">
        <is>
          <t>https://www.aswakassalam.com/</t>
        </is>
      </c>
      <c r="E57" s="13" t="inlineStr">
        <is>
          <t>TIER_1B</t>
        </is>
      </c>
      <c r="F57" s="13" t="inlineStr">
        <is>
          <t>low</t>
        </is>
      </c>
      <c r="G57" s="13" t="inlineStr">
        <is>
          <t>Wave 2</t>
        </is>
      </c>
      <c r="H57" s="13" t="inlineStr">
        <is>
          <t>spider</t>
        </is>
      </c>
      <c r="I57" s="13" t="inlineStr">
        <is>
          <t>Generic WooCommerce spider (/wp-json/wc/store/v1/products) - WATCH the minor-unit exponent</t>
        </is>
      </c>
      <c r="J57" s="13" t="inlineStr">
        <is>
          <t>D_woocommerce</t>
        </is>
      </c>
      <c r="K57" s="13" t="inlineStr">
        <is>
          <t>WooCommerce</t>
        </is>
      </c>
      <c r="L57" s="13" t="inlineStr">
        <is>
          <t>retailer_sku</t>
        </is>
      </c>
      <c r="M57" s="13" t="inlineStr">
        <is>
          <t>supermarket</t>
        </is>
      </c>
      <c r="N57" s="13" t="inlineStr">
        <is>
          <t>MAD</t>
        </is>
      </c>
      <c r="O57" s="13" t="n">
        <v>150</v>
      </c>
      <c r="P57" s="13" t="inlineStr">
        <is>
          <t>/wp-json/wc/store/v1/products?per_page=100&amp;page=N</t>
        </is>
      </c>
      <c r="Q57" s="13" t="inlineStr">
        <is>
          <t>GET /wp-json/wc/store/v1/products?per_page=20 -&gt; 200, 61KB JSON. Sample: 'PATE A TARTINER 350G NUTELLA', price 4550 (minor_unit=2) = 45.50 MAD, currency_code MAD. x-wp-total = 5260 products. /wp-json/wc/store/v1/products/categories?per_page=100 -&gt; 100 categories including BOUCHERIE 11, BOUCHERIE &amp; VOLAILLE 24, BOULANGERIE 72, CHARCUTERIE &amp; TRAITEUR 105, CHARCUTERIE A BASE DE VIANDE 14, CHARCUTERIE A BASE DE VOLAILLE 57, CREMERIE 343, CONSERVES 208, BOISSONS 311, EAU 86, BISCUITERIE &amp; CONFISERIE 827.</t>
        </is>
      </c>
      <c r="R57" s="13" t="b">
        <v>1</v>
      </c>
      <c r="S57" s="13" t="inlineStr">
        <is>
          <t>Best find of the whole run for Morocco. Genuine full-line hypermarket (Ynna Group) with butchery, poultry, deli, bakery, dairy, canned goods, beverages -- open WooCommerce Store API, no auth, no WAF. 5260 SKUs is large enough to expect deep leaf coverage across most of div-01.</t>
        </is>
      </c>
      <c r="T57" s="13" t="inlineStr"/>
    </row>
    <row r="58">
      <c r="A58" s="13" t="inlineStr">
        <is>
          <t>eca</t>
        </is>
      </c>
      <c r="B58" s="13" t="inlineStr">
        <is>
          <t>iceland</t>
        </is>
      </c>
      <c r="C58" s="13" t="inlineStr">
        <is>
          <t>Bonus</t>
        </is>
      </c>
      <c r="D58" s="13" t="inlineStr">
        <is>
          <t>https://bonus.is/</t>
        </is>
      </c>
      <c r="E58" s="13" t="inlineStr">
        <is>
          <t>TIER_1B</t>
        </is>
      </c>
      <c r="F58" s="13" t="inlineStr">
        <is>
          <t>low</t>
        </is>
      </c>
      <c r="G58" s="13" t="inlineStr">
        <is>
          <t>Wave 2</t>
        </is>
      </c>
      <c r="H58" s="13" t="inlineStr">
        <is>
          <t>spider</t>
        </is>
      </c>
      <c r="I58" s="13" t="inlineStr">
        <is>
          <t>Generic WooCommerce spider (/wp-json/wc/store/v1/products) - WATCH the minor-unit exponent</t>
        </is>
      </c>
      <c r="J58" s="13" t="inlineStr">
        <is>
          <t>D_woocommerce</t>
        </is>
      </c>
      <c r="K58" s="13" t="inlineStr">
        <is>
          <t>WooCommerce + Next.js</t>
        </is>
      </c>
      <c r="L58" s="13" t="inlineStr">
        <is>
          <t>retailer_sku</t>
        </is>
      </c>
      <c r="M58" s="13" t="inlineStr">
        <is>
          <t>supermarket</t>
        </is>
      </c>
      <c r="N58" s="13" t="inlineStr">
        <is>
          <t>ISK</t>
        </is>
      </c>
      <c r="O58" s="13" t="n">
        <v>140</v>
      </c>
      <c r="P58" s="13" t="inlineStr">
        <is>
          <t>/wp-json/wc/store/v1/products</t>
        </is>
      </c>
      <c r="Q58" s="13" t="inlineStr">
        <is>
          <t>GET https://bonus.is/wp-json/wc/store/v1/products?per_page=5 -&gt; HTTP 200, structured WooCommerce Store API JSON, ISK currency_code confirmed. Sample product was a gift card (non-food); also confirmed embedded price JSON on a verslun.bonus.is PDP ("price":798 etc).</t>
        </is>
      </c>
      <c r="R58" s="13" t="b">
        <v>1</v>
      </c>
      <c r="S58" s="13" t="inlineStr">
        <is>
          <t>Iceland's dominant discounter per CSV. API confirmed working structurally; grocery-category depth not directly sampled (first page returned a gift card SKU) -- paginate/filter by category before trusting the estimate.</t>
        </is>
      </c>
      <c r="T58" s="13" t="inlineStr"/>
    </row>
    <row r="59">
      <c r="A59" s="13" t="inlineStr">
        <is>
          <t>eca</t>
        </is>
      </c>
      <c r="B59" s="13" t="inlineStr">
        <is>
          <t>malta</t>
        </is>
      </c>
      <c r="C59" s="13" t="inlineStr">
        <is>
          <t>Scotts Supermarket</t>
        </is>
      </c>
      <c r="D59" s="13" t="inlineStr">
        <is>
          <t>https://www.scotts.com.mt/</t>
        </is>
      </c>
      <c r="E59" s="13" t="inlineStr">
        <is>
          <t>TIER_1B</t>
        </is>
      </c>
      <c r="F59" s="13" t="inlineStr">
        <is>
          <t>low</t>
        </is>
      </c>
      <c r="G59" s="13" t="inlineStr">
        <is>
          <t>Wave 2</t>
        </is>
      </c>
      <c r="H59" s="13" t="inlineStr">
        <is>
          <t>spider</t>
        </is>
      </c>
      <c r="I59" s="13" t="inlineStr">
        <is>
          <t>Generic WooCommerce spider (/wp-json/wc/store/v1/products) - WATCH the minor-unit exponent</t>
        </is>
      </c>
      <c r="J59" s="13" t="inlineStr">
        <is>
          <t>D_woocommerce</t>
        </is>
      </c>
      <c r="K59" s="13" t="inlineStr">
        <is>
          <t>WooCommerce</t>
        </is>
      </c>
      <c r="L59" s="13" t="inlineStr">
        <is>
          <t>retailer_sku</t>
        </is>
      </c>
      <c r="M59" s="13" t="inlineStr">
        <is>
          <t>supermarket</t>
        </is>
      </c>
      <c r="N59" s="13" t="inlineStr">
        <is>
          <t>EUR</t>
        </is>
      </c>
      <c r="O59" s="13" t="n">
        <v>130</v>
      </c>
      <c r="P59" s="13" t="inlineStr">
        <is>
          <t>/wp-json/wc/store/v1/products?per_page=N</t>
        </is>
      </c>
      <c r="Q59" s="13" t="inlineStr">
        <is>
          <t>curl 200 on WooCommerce Store API /wp-json/wc/store/v1/products?per_page=5 -&gt; HTTP 200, 20.1KB JSON. Sample: 'LOACKER 45G PEANUT BUTTER' price 85 minor units / currency_minor_unit=2 -&gt; EUR 0.85</t>
        </is>
      </c>
      <c r="R59" s="13" t="b">
        <v>1</v>
      </c>
      <c r="S59" s="13" t="inlineStr">
        <is>
          <t>CSV URL (scottssupermarket.com) was DEAD (NXDOMAIN). Correct current domain found via WebSearch: scotts.com.mt. Store API prices are minor units - divide by 10**currency_minor_unit.</t>
        </is>
      </c>
      <c r="T59" s="13" t="inlineStr"/>
    </row>
    <row r="60">
      <c r="A60" s="13" t="inlineStr">
        <is>
          <t>eca</t>
        </is>
      </c>
      <c r="B60" s="13" t="inlineStr">
        <is>
          <t>bosnia_and_herzegovina</t>
        </is>
      </c>
      <c r="C60" s="13" t="inlineStr">
        <is>
          <t>PametnoKupuj</t>
        </is>
      </c>
      <c r="D60" s="13" t="inlineStr">
        <is>
          <t>https://pametnokupuj.ba/</t>
        </is>
      </c>
      <c r="E60" s="13" t="inlineStr">
        <is>
          <t>TIER_1B</t>
        </is>
      </c>
      <c r="F60" s="13" t="inlineStr">
        <is>
          <t>low</t>
        </is>
      </c>
      <c r="G60" s="13" t="inlineStr">
        <is>
          <t>Wave 2</t>
        </is>
      </c>
      <c r="H60" s="13" t="inlineStr">
        <is>
          <t>spider</t>
        </is>
      </c>
      <c r="I60" s="13" t="inlineStr">
        <is>
          <t>Generic WooCommerce spider (/wp-json/wc/store/v1/products) - WATCH the minor-unit exponent</t>
        </is>
      </c>
      <c r="J60" s="13" t="inlineStr">
        <is>
          <t>D_woocommerce</t>
        </is>
      </c>
      <c r="K60" s="13" t="inlineStr">
        <is>
          <t>WooCommerce</t>
        </is>
      </c>
      <c r="L60" s="13" t="inlineStr">
        <is>
          <t>retailer_sku</t>
        </is>
      </c>
      <c r="M60" s="13" t="inlineStr">
        <is>
          <t>marketplace</t>
        </is>
      </c>
      <c r="N60" s="13" t="inlineStr">
        <is>
          <t>BAM</t>
        </is>
      </c>
      <c r="O60" s="13" t="n">
        <v>130</v>
      </c>
      <c r="P60" s="13" t="inlineStr">
        <is>
          <t>/wp-json/wc/store/v1/products</t>
        </is>
      </c>
      <c r="Q60" s="13" t="inlineStr">
        <is>
          <t>GET /wp-json/wc/store/v1/products?per_page=5 -&gt; 200, 16KB JSON. Sample: 'PALMOLIVE KUPKA ZA TUŠIRANJE BLACK ORCHID 750 ml' 5.45 KM.</t>
        </is>
      </c>
      <c r="R60" s="13" t="b">
        <v>1</v>
      </c>
      <c r="S60" s="13" t="inlineStr">
        <is>
          <t>22,000 articles, dedicated 'Hrana i pice' category, chilled-goods delivery. Largest BiH catalogue found.</t>
        </is>
      </c>
      <c r="T60" s="13" t="inlineStr"/>
    </row>
    <row r="61">
      <c r="A61" s="13" t="inlineStr">
        <is>
          <t>lac</t>
        </is>
      </c>
      <c r="B61" s="13" t="inlineStr">
        <is>
          <t>barbados</t>
        </is>
      </c>
      <c r="C61" s="13" t="inlineStr">
        <is>
          <t>Massy Stores Barbados</t>
        </is>
      </c>
      <c r="D61" s="13" t="inlineStr">
        <is>
          <t>https://www.shopmassystoresbb.com/</t>
        </is>
      </c>
      <c r="E61" s="13" t="inlineStr">
        <is>
          <t>TIER_1B</t>
        </is>
      </c>
      <c r="F61" s="13" t="inlineStr">
        <is>
          <t>low</t>
        </is>
      </c>
      <c r="G61" s="13" t="inlineStr">
        <is>
          <t>Wave 2</t>
        </is>
      </c>
      <c r="H61" s="13" t="inlineStr">
        <is>
          <t>spider</t>
        </is>
      </c>
      <c r="I61" s="13" t="inlineStr">
        <is>
          <t>Generic WooCommerce spider (/wp-json/wc/store/v1/products) - WATCH the minor-unit exponent</t>
        </is>
      </c>
      <c r="J61" s="13" t="inlineStr">
        <is>
          <t>D_woocommerce</t>
        </is>
      </c>
      <c r="K61" s="13" t="inlineStr">
        <is>
          <t>WooCommerce</t>
        </is>
      </c>
      <c r="L61" s="13" t="inlineStr">
        <is>
          <t>retailer_sku</t>
        </is>
      </c>
      <c r="M61" s="13" t="inlineStr">
        <is>
          <t>supermarket</t>
        </is>
      </c>
      <c r="N61" s="13" t="inlineStr">
        <is>
          <t>BBD</t>
        </is>
      </c>
      <c r="O61" s="13" t="n">
        <v>130</v>
      </c>
      <c r="P61" s="13" t="inlineStr">
        <is>
          <t>/?rest_route=/wc/store/v1/products</t>
        </is>
      </c>
      <c r="Q61" s="13" t="inlineStr">
        <is>
          <t>Corporate site massystoresbb.com links to real shop at shopmassystoresbb.com (WooCommerce). Default /wp-json/wc/store/v1/products 500s; workaround GET /?rest_route=/wc/store/v1/products&amp;per_page=5 -&gt; 200, 22.5KB JSON, 5 products. Sample: 'SELECT PASTA Shells 340g' BBD 3.29 (price 329 minor units, currency_minor_unit=2)</t>
        </is>
      </c>
      <c r="R61" s="13" t="b">
        <v>1</v>
      </c>
      <c r="S61" s="13" t="inlineStr">
        <is>
          <t>Real supermarket chain (Massy Group). Default wp-json path 500s on this install; must use ?rest_route= query-string form of the REST route.</t>
        </is>
      </c>
      <c r="T61" s="13" t="inlineStr"/>
    </row>
    <row r="62">
      <c r="A62" s="13" t="inlineStr">
        <is>
          <t>lac</t>
        </is>
      </c>
      <c r="B62" s="13" t="inlineStr">
        <is>
          <t>jamaica</t>
        </is>
      </c>
      <c r="C62" s="13" t="inlineStr">
        <is>
          <t>Sampars</t>
        </is>
      </c>
      <c r="D62" s="13" t="inlineStr">
        <is>
          <t>https://www.shopsampars.com/</t>
        </is>
      </c>
      <c r="E62" s="13" t="inlineStr">
        <is>
          <t>TIER_1B</t>
        </is>
      </c>
      <c r="F62" s="13" t="inlineStr">
        <is>
          <t>low</t>
        </is>
      </c>
      <c r="G62" s="13" t="inlineStr">
        <is>
          <t>Wave 2</t>
        </is>
      </c>
      <c r="H62" s="13" t="inlineStr">
        <is>
          <t>spider</t>
        </is>
      </c>
      <c r="I62" s="13" t="inlineStr">
        <is>
          <t>Generic WooCommerce spider (/wp-json/wc/store/v1/products) - WATCH the minor-unit exponent</t>
        </is>
      </c>
      <c r="J62" s="13" t="inlineStr">
        <is>
          <t>D_woocommerce</t>
        </is>
      </c>
      <c r="K62" s="13" t="inlineStr">
        <is>
          <t>WooCommerce</t>
        </is>
      </c>
      <c r="L62" s="13" t="inlineStr">
        <is>
          <t>retailer_sku</t>
        </is>
      </c>
      <c r="M62" s="13" t="inlineStr">
        <is>
          <t>supermarket</t>
        </is>
      </c>
      <c r="N62" s="13" t="inlineStr">
        <is>
          <t>JMD</t>
        </is>
      </c>
      <c r="O62" s="13" t="n">
        <v>120</v>
      </c>
      <c r="P62" s="13" t="inlineStr">
        <is>
          <t>/wp-json/wc/store/v1/products</t>
        </is>
      </c>
      <c r="Q62" s="13" t="inlineStr">
        <is>
          <t>GET /wp-json/wc/store/v1/products?per_page=3 -&gt; 200 (intermittent: two earlier attempts on this same path timed out with exit 28, third attempt succeeded — looks like transient rate-limiting, not a hard block). Sample: 'Hurricane Relief Packages I' JMD 3,500.00 (currency_code JMD, minor_unit 2).</t>
        </is>
      </c>
      <c r="R62" s="13" t="b">
        <v>1</v>
      </c>
      <c r="S62" s="13" t="inlineStr">
        <is>
          <t>Store API path was intermittently slow/timing out (2 of 3 attempts) even though the homepage always loaded fast — worth a lower request rate at collection time. Self-service wholesale per CSV notes, with per-kg meat pricing.</t>
        </is>
      </c>
      <c r="T62" s="13" t="inlineStr"/>
    </row>
    <row r="63">
      <c r="A63" s="13" t="inlineStr">
        <is>
          <t>lac</t>
        </is>
      </c>
      <c r="B63" s="13" t="inlineStr">
        <is>
          <t>trinidad_and_tobago</t>
        </is>
      </c>
      <c r="C63" s="13" t="inlineStr">
        <is>
          <t>Door To Door West</t>
        </is>
      </c>
      <c r="D63" s="13" t="inlineStr">
        <is>
          <t>https://shop.doortodoortt.com/west/</t>
        </is>
      </c>
      <c r="E63" s="13" t="inlineStr">
        <is>
          <t>TIER_1B</t>
        </is>
      </c>
      <c r="F63" s="13" t="inlineStr">
        <is>
          <t>low</t>
        </is>
      </c>
      <c r="G63" s="13" t="inlineStr">
        <is>
          <t>Wave 2</t>
        </is>
      </c>
      <c r="H63" s="13" t="inlineStr">
        <is>
          <t>spider</t>
        </is>
      </c>
      <c r="I63" s="13" t="inlineStr">
        <is>
          <t>Generic WooCommerce spider (/wp-json/wc/store/v1/products) - WATCH the minor-unit exponent</t>
        </is>
      </c>
      <c r="J63" s="13" t="inlineStr">
        <is>
          <t>D_woocommerce</t>
        </is>
      </c>
      <c r="K63" s="13" t="inlineStr">
        <is>
          <t>WooCommerce</t>
        </is>
      </c>
      <c r="L63" s="13" t="inlineStr">
        <is>
          <t>retailer_sku</t>
        </is>
      </c>
      <c r="M63" s="13" t="inlineStr">
        <is>
          <t>supermarket</t>
        </is>
      </c>
      <c r="N63" s="13" t="inlineStr">
        <is>
          <t>TTD</t>
        </is>
      </c>
      <c r="O63" s="13" t="n">
        <v>120</v>
      </c>
      <c r="P63" s="13" t="inlineStr">
        <is>
          <t>/wp-json/wc/store/v1/products</t>
        </is>
      </c>
      <c r="Q63" s="13" t="inlineStr">
        <is>
          <t>GET /wp-json/wc/store/v1/products?per_page=10 -&gt; 200, 26.4KB JSON. Sample: 'White Rain Body Wash 15oz Ocean Mist' TTD 15.95. CSV also cites per-lb fresh pricing on site (onion $3.95/lb, chicken breast $23.95/lb).</t>
        </is>
      </c>
      <c r="R63" s="13" t="b">
        <v>1</v>
      </c>
      <c r="S63" s="13" t="inlineStr">
        <is>
          <t>Full supermarket range per CSV notes including fresh/per-lb pricing.</t>
        </is>
      </c>
      <c r="T63" s="13" t="inlineStr"/>
    </row>
    <row r="64">
      <c r="A64" s="13" t="inlineStr">
        <is>
          <t>lac</t>
        </is>
      </c>
      <c r="B64" s="13" t="inlineStr">
        <is>
          <t>curacao</t>
        </is>
      </c>
      <c r="C64" s="13" t="inlineStr">
        <is>
          <t>Mangusa Hypermarket</t>
        </is>
      </c>
      <c r="D64" s="13" t="inlineStr">
        <is>
          <t>https://www.mangusahypermarket.com/</t>
        </is>
      </c>
      <c r="E64" s="13" t="inlineStr">
        <is>
          <t>TIER_1B</t>
        </is>
      </c>
      <c r="F64" s="13" t="inlineStr">
        <is>
          <t>low</t>
        </is>
      </c>
      <c r="G64" s="13" t="inlineStr">
        <is>
          <t>Wave 2</t>
        </is>
      </c>
      <c r="H64" s="13" t="inlineStr">
        <is>
          <t>spider</t>
        </is>
      </c>
      <c r="I64" s="13" t="inlineStr">
        <is>
          <t>Generic WooCommerce spider (/wp-json/wc/store/v1/products) - WATCH the minor-unit exponent</t>
        </is>
      </c>
      <c r="J64" s="13" t="inlineStr">
        <is>
          <t>D_woocommerce</t>
        </is>
      </c>
      <c r="K64" s="13" t="inlineStr">
        <is>
          <t>WooCommerce</t>
        </is>
      </c>
      <c r="L64" s="13" t="inlineStr">
        <is>
          <t>retailer_sku</t>
        </is>
      </c>
      <c r="M64" s="13" t="inlineStr">
        <is>
          <t>supermarket</t>
        </is>
      </c>
      <c r="N64" s="13" t="inlineStr">
        <is>
          <t>XCG</t>
        </is>
      </c>
      <c r="O64" s="13" t="n">
        <v>120</v>
      </c>
      <c r="P64" s="13" t="inlineStr">
        <is>
          <t>/wp-json/wc/store/v1/products</t>
        </is>
      </c>
      <c r="Q64" s="13" t="inlineStr">
        <is>
          <t>GET /wp-json/wc/store/v1/products?per_page=5 -&gt; HTTP 200, 19.4KB JSON. Sample: 'Unoli Canola oil 2ltr (6 pieces)' price 8410 minor units / currency_minor_unit 2 = XCG 84.10 (note: Curacao's currency migrated from ANG to the new Caribbean Guilder 'XCG' — WooCommerce Store API already reflects the new code).</t>
        </is>
      </c>
      <c r="R64" s="13" t="b">
        <v>0</v>
      </c>
      <c r="S64" s="13" t="inlineStr">
        <is>
          <t>Hypermarket format, bulk/wholesale-leaning SKUs. Note ANG-&gt;XCG currency transition — downstream normalization must treat XCG as the live code for CW/SXM, not the legacy ANG.</t>
        </is>
      </c>
      <c r="T64" s="13" t="inlineStr"/>
    </row>
    <row r="65">
      <c r="A65" s="13" t="inlineStr">
        <is>
          <t>lac</t>
        </is>
      </c>
      <c r="B65" s="13" t="inlineStr">
        <is>
          <t>venezuela_rb</t>
        </is>
      </c>
      <c r="C65" s="13" t="inlineStr">
        <is>
          <t>Mafabre</t>
        </is>
      </c>
      <c r="D65" s="13" t="inlineStr">
        <is>
          <t>https://mafabre.com/</t>
        </is>
      </c>
      <c r="E65" s="13" t="inlineStr">
        <is>
          <t>TIER_1B</t>
        </is>
      </c>
      <c r="F65" s="13" t="inlineStr">
        <is>
          <t>low</t>
        </is>
      </c>
      <c r="G65" s="13" t="inlineStr">
        <is>
          <t>Wave 2</t>
        </is>
      </c>
      <c r="H65" s="13" t="inlineStr">
        <is>
          <t>spider</t>
        </is>
      </c>
      <c r="I65" s="13" t="inlineStr">
        <is>
          <t>Generic WooCommerce spider (/wp-json/wc/store/v1/products) - WATCH the minor-unit exponent</t>
        </is>
      </c>
      <c r="J65" s="13" t="inlineStr">
        <is>
          <t>D_woocommerce</t>
        </is>
      </c>
      <c r="K65" s="13" t="inlineStr">
        <is>
          <t>WooCommerce Store API</t>
        </is>
      </c>
      <c r="L65" s="13" t="inlineStr">
        <is>
          <t>retailer_sku</t>
        </is>
      </c>
      <c r="M65" s="13" t="inlineStr">
        <is>
          <t>supermarket</t>
        </is>
      </c>
      <c r="N65" s="13" t="inlineStr">
        <is>
          <t>USD</t>
        </is>
      </c>
      <c r="O65" s="13" t="n">
        <v>110</v>
      </c>
      <c r="P65" s="13" t="inlineStr">
        <is>
          <t>/wp-json/wc/store/v1/products</t>
        </is>
      </c>
      <c r="Q65" s="13" t="inlineStr">
        <is>
          <t>GET https://mafabre.com/wp-json/wc/store/v1/products?per_page=10&amp;search=arroz -&gt; HTTP 200, 41863 bytes. Sample: 'Arroz Mary Tipo I 900gr | Despacho en Caracas | Mafabre' price object {price:'120', currency_code:'USD', currency_minor_unit:2} = USD 1.20.</t>
        </is>
      </c>
      <c r="R65" s="13" t="b">
        <v>0</v>
      </c>
      <c r="S65" s="13" t="inlineStr">
        <is>
          <t>20+ year Caracas food distributor turned online grocery, prices in USD (dollarized retail is standard in VE). Remember to divide raw 'price' by 10^currency_minor_unit.</t>
        </is>
      </c>
      <c r="T65" s="13" t="inlineStr"/>
    </row>
    <row r="66">
      <c r="A66" s="13" t="inlineStr">
        <is>
          <t>sar</t>
        </is>
      </c>
      <c r="B66" s="13" t="inlineStr">
        <is>
          <t>sri_lanka</t>
        </is>
      </c>
      <c r="C66" s="13" t="inlineStr">
        <is>
          <t>OnlineKade</t>
        </is>
      </c>
      <c r="D66" s="13" t="inlineStr">
        <is>
          <t>https://onlinekade.lk/</t>
        </is>
      </c>
      <c r="E66" s="13" t="inlineStr">
        <is>
          <t>TIER_1B</t>
        </is>
      </c>
      <c r="F66" s="13" t="inlineStr">
        <is>
          <t>low</t>
        </is>
      </c>
      <c r="G66" s="13" t="inlineStr">
        <is>
          <t>Wave 2</t>
        </is>
      </c>
      <c r="H66" s="13" t="inlineStr">
        <is>
          <t>spider</t>
        </is>
      </c>
      <c r="I66" s="13" t="inlineStr">
        <is>
          <t>Generic WooCommerce spider (/wp-json/wc/store/v1/products) - WATCH the minor-unit exponent</t>
        </is>
      </c>
      <c r="J66" s="13" t="inlineStr">
        <is>
          <t>D_woocommerce</t>
        </is>
      </c>
      <c r="K66" s="13" t="inlineStr">
        <is>
          <t>WooCommerce</t>
        </is>
      </c>
      <c r="L66" s="13" t="inlineStr">
        <is>
          <t>retailer_sku</t>
        </is>
      </c>
      <c r="M66" s="13" t="inlineStr">
        <is>
          <t>supermarket</t>
        </is>
      </c>
      <c r="N66" s="13" t="inlineStr">
        <is>
          <t>LKR</t>
        </is>
      </c>
      <c r="O66" s="13" t="n">
        <v>100</v>
      </c>
      <c r="P66" s="13" t="inlineStr">
        <is>
          <t>/wp-json/wc/store/v1/products</t>
        </is>
      </c>
      <c r="Q66" s="13" t="inlineStr">
        <is>
          <t>GET /wp-json/wc/store/v1/products?per_page=10 -&gt; 200, 47KB JSON. Sample: 'Himalaya Purifying Neem Facewash 100Ml' price 170000/currency_minor_unit=2 -&gt; LKR 1700.00 (confirms same WooCommerce minor-unit convention). GET /wp-json/wc/store/v1/products/categories?per_page=50 -&gt; 200, 126KB, 50 categories, very large FMCG catalog (Chocolates 2180, Candies &amp; Sweets 1731, Beverages 1611, Biscuits &amp; Cookies 1213, Coffee/Tea/Malts 685, Dairy Products 413, Cereals 528) but thin genuine fresh: Fresh Produce only 20, Eggs only 3, no dedicated fresh meat/fish category (only 'Dry Fish And Soya Meat' 108, 'Frozen' 786 undifferentiated).</t>
        </is>
      </c>
      <c r="R66" s="13" t="b">
        <v>1</v>
      </c>
      <c r="S66" s="13" t="inlineStr">
        <is>
          <t>Best packaged-goods depth of any Sri Lanka source found (widest brand/SKU variety per leaf) but structurally weak on fresh -- functions more like a pharmacy-adjacent FMCG superstore than a fresh grocer.</t>
        </is>
      </c>
      <c r="T66" s="13" t="inlineStr"/>
    </row>
    <row r="67">
      <c r="A67" s="13" t="inlineStr">
        <is>
          <t>lac</t>
        </is>
      </c>
      <c r="B67" s="13" t="inlineStr">
        <is>
          <t>jamaica</t>
        </is>
      </c>
      <c r="C67" s="13" t="inlineStr">
        <is>
          <t>Store To Door Jamaica</t>
        </is>
      </c>
      <c r="D67" s="13" t="inlineStr">
        <is>
          <t>https://storetodoorja.com/</t>
        </is>
      </c>
      <c r="E67" s="13" t="inlineStr">
        <is>
          <t>TIER_1B</t>
        </is>
      </c>
      <c r="F67" s="13" t="inlineStr">
        <is>
          <t>low</t>
        </is>
      </c>
      <c r="G67" s="13" t="inlineStr">
        <is>
          <t>Wave 2</t>
        </is>
      </c>
      <c r="H67" s="13" t="inlineStr">
        <is>
          <t>spider</t>
        </is>
      </c>
      <c r="I67" s="13" t="inlineStr">
        <is>
          <t>Generic WooCommerce spider (/wp-json/wc/store/v1/products) - WATCH the minor-unit exponent</t>
        </is>
      </c>
      <c r="J67" s="13" t="inlineStr">
        <is>
          <t>D_woocommerce</t>
        </is>
      </c>
      <c r="K67" s="13" t="inlineStr">
        <is>
          <t>WooCommerce</t>
        </is>
      </c>
      <c r="L67" s="13" t="inlineStr">
        <is>
          <t>retailer_sku</t>
        </is>
      </c>
      <c r="M67" s="13" t="inlineStr">
        <is>
          <t>supermarket</t>
        </is>
      </c>
      <c r="N67" s="13" t="inlineStr">
        <is>
          <t>JMD</t>
        </is>
      </c>
      <c r="O67" s="13" t="n">
        <v>100</v>
      </c>
      <c r="P67" s="13" t="inlineStr">
        <is>
          <t>/wp-json/wc/store/v1/products</t>
        </is>
      </c>
      <c r="Q67" s="13" t="inlineStr">
        <is>
          <t>GET /wp-json/wc/store/v1/products?per_page=10 -&gt; 200, 19.7KB JSON. Sample: 'White Rain Body Wash 15oz Ocean Mist' JMD 15.95 (price 1595 minor units, currency_code JMD).</t>
        </is>
      </c>
      <c r="R67" s="13" t="b">
        <v>1</v>
      </c>
      <c r="S67" s="13" t="inlineStr">
        <is>
          <t>CSV flags mixed domestic/diaspora model (barrel-shipping for overseas senders, J$95,000 'Barrel Come' packages) alongside regular grocery SKUs — filter barrel/package line items out at classification time, not a blocker to onboarding the feed itself.</t>
        </is>
      </c>
      <c r="T67" s="13" t="inlineStr"/>
    </row>
    <row r="68">
      <c r="A68" s="13" t="inlineStr">
        <is>
          <t>sar</t>
        </is>
      </c>
      <c r="B68" s="13" t="inlineStr">
        <is>
          <t>sri_lanka</t>
        </is>
      </c>
      <c r="C68" s="13" t="inlineStr">
        <is>
          <t>ColomboSuper</t>
        </is>
      </c>
      <c r="D68" s="13" t="inlineStr">
        <is>
          <t>https://colombosuper.lk/</t>
        </is>
      </c>
      <c r="E68" s="13" t="inlineStr">
        <is>
          <t>TIER_1B</t>
        </is>
      </c>
      <c r="F68" s="13" t="inlineStr">
        <is>
          <t>low</t>
        </is>
      </c>
      <c r="G68" s="13" t="inlineStr">
        <is>
          <t>Wave 2</t>
        </is>
      </c>
      <c r="H68" s="13" t="inlineStr">
        <is>
          <t>spider</t>
        </is>
      </c>
      <c r="I68" s="13" t="inlineStr">
        <is>
          <t>Generic WooCommerce spider (/wp-json/wc/store/v1/products) - WATCH the minor-unit exponent</t>
        </is>
      </c>
      <c r="J68" s="13" t="inlineStr">
        <is>
          <t>D_woocommerce</t>
        </is>
      </c>
      <c r="K68" s="13" t="inlineStr">
        <is>
          <t>WooCommerce</t>
        </is>
      </c>
      <c r="L68" s="13" t="inlineStr">
        <is>
          <t>retailer_sku</t>
        </is>
      </c>
      <c r="M68" s="13" t="inlineStr">
        <is>
          <t>supermarket</t>
        </is>
      </c>
      <c r="N68" s="13" t="inlineStr">
        <is>
          <t>LKR</t>
        </is>
      </c>
      <c r="O68" s="13" t="n">
        <v>90</v>
      </c>
      <c r="P68" s="13" t="inlineStr">
        <is>
          <t>/wp-json/wc/store/v1/products</t>
        </is>
      </c>
      <c r="Q68" s="13" t="inlineStr">
        <is>
          <t>GET /wp-json/wc/store/v1/products?per_page=10 -&gt; 200, 25KB JSON, 10 products. Sample: 'Maliban Full Cream Milk Powder Pouch 400.00 g' price 120000 minor units / currency_minor_unit=2 -&gt; LKR 1200.00. GET /wp-json/wc/store/v1/products/categories?per_page=50 -&gt; 200, 41KB, categories include Fresh Fruits(24), Fresh Vegetables(36), Dairy(41), Milk &amp; Cream(20), Beverages(75), Biscuits &amp; Cookies(17), Chocolates(27), Leafies &amp; Herbs(9), Snacks &amp; Confectionery(60), plus thin fresh-meat singles (Beef 1, Chicken 1, Bacon 1, Deli Meat 1).</t>
        </is>
      </c>
      <c r="R68" s="13" t="b">
        <v>1</v>
      </c>
      <c r="S68" s="13" t="inlineStr">
        <is>
          <t>Minor-unit trap confirmed: divide price by 10^currency_minor_unit (2) from the same payload. Real fresh produce + dairy but essentially no fresh meat/fish depth (1 SKU per meat type).</t>
        </is>
      </c>
      <c r="T68" s="13" t="inlineStr"/>
    </row>
    <row r="69">
      <c r="A69" s="13" t="inlineStr">
        <is>
          <t>ssa</t>
        </is>
      </c>
      <c r="B69" s="13" t="inlineStr">
        <is>
          <t>togo</t>
        </is>
      </c>
      <c r="C69" s="13" t="inlineStr">
        <is>
          <t>Miabe Marche</t>
        </is>
      </c>
      <c r="D69" s="13" t="inlineStr">
        <is>
          <t>https://miabemarche.tg/</t>
        </is>
      </c>
      <c r="E69" s="13" t="inlineStr">
        <is>
          <t>TIER_1B</t>
        </is>
      </c>
      <c r="F69" s="13" t="inlineStr">
        <is>
          <t>low</t>
        </is>
      </c>
      <c r="G69" s="13" t="inlineStr">
        <is>
          <t>Wave 2</t>
        </is>
      </c>
      <c r="H69" s="13" t="inlineStr">
        <is>
          <t>spider</t>
        </is>
      </c>
      <c r="I69" s="13" t="inlineStr">
        <is>
          <t>Generic WooCommerce spider (/wp-json/wc/store/v1/products) - WATCH the minor-unit exponent</t>
        </is>
      </c>
      <c r="J69" s="13" t="inlineStr">
        <is>
          <t>D_woocommerce</t>
        </is>
      </c>
      <c r="K69" s="13" t="inlineStr">
        <is>
          <t>WordPress/WooCommerce</t>
        </is>
      </c>
      <c r="L69" s="13" t="inlineStr">
        <is>
          <t>retailer_sku</t>
        </is>
      </c>
      <c r="M69" s="13" t="inlineStr">
        <is>
          <t>supermarket</t>
        </is>
      </c>
      <c r="N69" s="13" t="inlineStr">
        <is>
          <t>XOF</t>
        </is>
      </c>
      <c r="O69" s="13" t="n">
        <v>90</v>
      </c>
      <c r="P69" s="13" t="inlineStr">
        <is>
          <t>/wp-json/wc/store/v1/products?per_page=100</t>
        </is>
      </c>
      <c r="Q69" s="13" t="inlineStr">
        <is>
          <t>WooCommerce Store API confirmed: GET https://miabemarche.tg/wp-json/wc/store/v1/products?per_page=50&amp;page=3 -&gt; 200, 366KB, 50/50 products with nonzero prices (an initial page-1 sample of breakfast-brand SKUs happened to all show price=0, a normal partial-catalog/out-of-stock artifact, not a systemic issue). Sample: 'Piment Antillais (Gboebesse) en Botte, Kg' 700 CFA; 'Poisson Seche Sale (Dzemekpe) 500g' (dried salted fish) 1000 CFA; 'Ademe (Corete Potagere) 1Kg' 500 CFA. Category tree includes ALIMENTATION GENERALE, AGPRODUITS LAITIERS (dairy), Cuisine africaine, Cuisine rapide, Petit-dejeuner, Pour les enfants.</t>
        </is>
      </c>
      <c r="R69" s="13" t="b">
        <v>1</v>
      </c>
      <c r="S69" s="13" t="inlineStr">
        <is>
          <t>Strongest Togo source: local fresh-produce and dried-fish items alongside a packaged/branded-goods catalog (CSV cites CASINO 86 lines, CADIE 15, DOLAIT 8).</t>
        </is>
      </c>
      <c r="T69" s="13" t="inlineStr"/>
    </row>
    <row r="70">
      <c r="A70" s="13" t="inlineStr">
        <is>
          <t>menaap</t>
        </is>
      </c>
      <c r="B70" s="13" t="inlineStr">
        <is>
          <t>tunisia</t>
        </is>
      </c>
      <c r="C70" s="13" t="inlineStr">
        <is>
          <t>Otrity</t>
        </is>
      </c>
      <c r="D70" s="13" t="inlineStr">
        <is>
          <t>https://otrity.com/</t>
        </is>
      </c>
      <c r="E70" s="13" t="inlineStr">
        <is>
          <t>TIER_1B</t>
        </is>
      </c>
      <c r="F70" s="13" t="inlineStr">
        <is>
          <t>low</t>
        </is>
      </c>
      <c r="G70" s="13" t="inlineStr">
        <is>
          <t>Wave 2</t>
        </is>
      </c>
      <c r="H70" s="13" t="inlineStr">
        <is>
          <t>spider</t>
        </is>
      </c>
      <c r="I70" s="13" t="inlineStr">
        <is>
          <t>Generic WooCommerce spider (/wp-json/wc/store/v1/products) - WATCH the minor-unit exponent</t>
        </is>
      </c>
      <c r="J70" s="13" t="inlineStr">
        <is>
          <t>D_woocommerce</t>
        </is>
      </c>
      <c r="K70" s="13" t="inlineStr">
        <is>
          <t>WooCommerce</t>
        </is>
      </c>
      <c r="L70" s="13" t="inlineStr">
        <is>
          <t>retailer_sku</t>
        </is>
      </c>
      <c r="M70" s="13" t="inlineStr">
        <is>
          <t>grocer</t>
        </is>
      </c>
      <c r="N70" s="13" t="inlineStr">
        <is>
          <t>TND</t>
        </is>
      </c>
      <c r="O70" s="13" t="n">
        <v>70</v>
      </c>
      <c r="P70" s="13" t="inlineStr">
        <is>
          <t>/wp-json/wc/store/v1/products (WooCommerce Store API, no auth)</t>
        </is>
      </c>
      <c r="Q70" s="13" t="inlineStr">
        <is>
          <t>curl homepage -&gt; 200, WooCommerce fingerprint, prices visible in HTML (45.000DT etc). WC Store API /wp-json/wc/store/v1/products -&gt; 200 clean JSON: 'Lait Concentré sucré SMART CHEF' price 9120 (currency_minor_unit 3 -&gt; TND 9.120), 'Petits Pois Le ROIT Carotte' TND 9.228.</t>
        </is>
      </c>
      <c r="R70" s="13" t="b">
        <v>0</v>
      </c>
      <c r="S70" s="13" t="inlineStr">
        <is>
          <t>Packaged-goods/pantry grocer -- no fresh produce, meat, or fish categories in the 100+ category list (couscous, conserves de poissons/viandes, épices, chorba/soupes, harissa, chamia are present -- good Tunisian pantry depth, but structurally caps leaf coverage well below a full-line store).</t>
        </is>
      </c>
      <c r="T70" s="13" t="inlineStr"/>
    </row>
    <row r="71">
      <c r="A71" s="13" t="inlineStr">
        <is>
          <t>lac</t>
        </is>
      </c>
      <c r="B71" s="13" t="inlineStr">
        <is>
          <t>venezuela_rb</t>
        </is>
      </c>
      <c r="C71" s="13" t="inlineStr">
        <is>
          <t>Supermercados Pao Trolado</t>
        </is>
      </c>
      <c r="D71" s="13" t="inlineStr">
        <is>
          <t>https://supermercados-paotrolado.com/</t>
        </is>
      </c>
      <c r="E71" s="13" t="inlineStr">
        <is>
          <t>TIER_1B</t>
        </is>
      </c>
      <c r="F71" s="13" t="inlineStr">
        <is>
          <t>low</t>
        </is>
      </c>
      <c r="G71" s="13" t="inlineStr">
        <is>
          <t>Wave 2</t>
        </is>
      </c>
      <c r="H71" s="13" t="inlineStr">
        <is>
          <t>spider</t>
        </is>
      </c>
      <c r="I71" s="13" t="inlineStr">
        <is>
          <t>Generic WooCommerce spider (/wp-json/wc/store/v1/products) - WATCH the minor-unit exponent</t>
        </is>
      </c>
      <c r="J71" s="13" t="inlineStr">
        <is>
          <t>D_woocommerce</t>
        </is>
      </c>
      <c r="K71" s="13" t="inlineStr">
        <is>
          <t>WooCommerce Store API</t>
        </is>
      </c>
      <c r="L71" s="13" t="inlineStr">
        <is>
          <t>retailer_sku</t>
        </is>
      </c>
      <c r="M71" s="13" t="inlineStr">
        <is>
          <t>supermarket</t>
        </is>
      </c>
      <c r="N71" s="13" t="inlineStr">
        <is>
          <t>USD</t>
        </is>
      </c>
      <c r="O71" s="13" t="n">
        <v>70</v>
      </c>
      <c r="P71" s="13" t="inlineStr">
        <is>
          <t>/wp-json/wc/store/v1/products</t>
        </is>
      </c>
      <c r="Q71" s="13" t="inlineStr">
        <is>
          <t>GET https://supermercados-paotrolado.com/wp-json/wc/store/v1/products?per_page=10 -&gt; HTTP 200, 33006 bytes. Sample: 'Centro de Cama Mimlot 10 unidades' price object {price:'738', currency_code:'USD', currency_minor_unit:2} = USD 7.38 (non-food item in first page; site is a general household+grocery online store, food categories present in nav but not sampled in the first 10-item page).</t>
        </is>
      </c>
      <c r="R71" s="13" t="b">
        <v>0</v>
      </c>
      <c r="S71" s="13" t="inlineStr">
        <is>
          <t>Mixed household/grocery online store; re-probe with search= terms per COICOP leaf before onboarding to confirm F&amp;B depth -- first page sample was non-food.</t>
        </is>
      </c>
      <c r="T71" s="13" t="inlineStr"/>
    </row>
    <row r="72">
      <c r="A72" s="13" t="inlineStr">
        <is>
          <t>menaap</t>
        </is>
      </c>
      <c r="B72" s="13" t="inlineStr">
        <is>
          <t>algeria</t>
        </is>
      </c>
      <c r="C72" s="13" t="inlineStr">
        <is>
          <t>Coursesnet</t>
        </is>
      </c>
      <c r="D72" s="13" t="inlineStr">
        <is>
          <t>https://coursesnet.dz/</t>
        </is>
      </c>
      <c r="E72" s="13" t="inlineStr">
        <is>
          <t>TIER_1B</t>
        </is>
      </c>
      <c r="F72" s="13" t="inlineStr">
        <is>
          <t>low</t>
        </is>
      </c>
      <c r="G72" s="13" t="inlineStr">
        <is>
          <t>Wave 2</t>
        </is>
      </c>
      <c r="H72" s="13" t="inlineStr">
        <is>
          <t>spider</t>
        </is>
      </c>
      <c r="I72" s="13" t="inlineStr">
        <is>
          <t>Generic WooCommerce spider (/wp-json/wc/store/v1/products) - WATCH the minor-unit exponent</t>
        </is>
      </c>
      <c r="J72" s="13" t="inlineStr">
        <is>
          <t>D_woocommerce</t>
        </is>
      </c>
      <c r="K72" s="13" t="inlineStr">
        <is>
          <t>WooCommerce</t>
        </is>
      </c>
      <c r="L72" s="13" t="inlineStr">
        <is>
          <t>retailer_sku</t>
        </is>
      </c>
      <c r="M72" s="13" t="inlineStr">
        <is>
          <t>grocer</t>
        </is>
      </c>
      <c r="N72" s="13" t="inlineStr">
        <is>
          <t>DZD</t>
        </is>
      </c>
      <c r="O72" s="13" t="n">
        <v>65</v>
      </c>
      <c r="P72" s="13" t="inlineStr">
        <is>
          <t>/wp-json/wc/store/v1/products (WooCommerce Store API, no auth)</t>
        </is>
      </c>
      <c r="Q72" s="13" t="inlineStr">
        <is>
          <t>curl homepage -&gt; 200, WooCommerce fingerprint, DA3 price token visible. WC Store API /wp-json/wc/store/v1/products -&gt; 200 clean JSON: 'Eau Minérale Ayris – 1,5L x6' price 24500 (currency_minor_unit 2 -&gt; DZD 245.00), 'Halawiyat ELCherif – Batonnets De Dattes' DZD 360.00.</t>
        </is>
      </c>
      <c r="R72" s="13" t="b">
        <v>0</v>
      </c>
      <c r="S72" s="13" t="inlineStr">
        <is>
          <t>Packaged-goods/pantry grocer, ~2500 total category-tagged items across biscuiterie, conserves, farines, huiles, fromages, laits, pâtes/couscous. 'Légumes' category has only 3 items and there is no meat/fish category at all -- confirms no fresh coverage. currency_minor_unit is 2 here vs 3 on Otrity (Tunisia) -- do not assume a shared exponent across countries.</t>
        </is>
      </c>
      <c r="T72" s="13" t="inlineStr"/>
    </row>
    <row r="73">
      <c r="A73" s="13" t="inlineStr">
        <is>
          <t>ssa</t>
        </is>
      </c>
      <c r="B73" s="13" t="inlineStr">
        <is>
          <t>lesotho</t>
        </is>
      </c>
      <c r="C73" s="13" t="inlineStr">
        <is>
          <t>Lesotho Virtual Mall</t>
        </is>
      </c>
      <c r="D73" s="13" t="inlineStr">
        <is>
          <t>https://www.lesothovirtualmall.co.ls/store/m-grocery/</t>
        </is>
      </c>
      <c r="E73" s="13" t="inlineStr">
        <is>
          <t>TIER_1B</t>
        </is>
      </c>
      <c r="F73" s="13" t="inlineStr">
        <is>
          <t>low</t>
        </is>
      </c>
      <c r="G73" s="13" t="inlineStr">
        <is>
          <t>Wave 2</t>
        </is>
      </c>
      <c r="H73" s="13" t="inlineStr">
        <is>
          <t>spider</t>
        </is>
      </c>
      <c r="I73" s="13" t="inlineStr">
        <is>
          <t>Generic WooCommerce spider (/wp-json/wc/store/v1/products) - WATCH the minor-unit exponent</t>
        </is>
      </c>
      <c r="J73" s="13" t="inlineStr">
        <is>
          <t>D_woocommerce</t>
        </is>
      </c>
      <c r="K73" s="13" t="inlineStr">
        <is>
          <t>WordPress/WooCommerce</t>
        </is>
      </c>
      <c r="L73" s="13" t="inlineStr">
        <is>
          <t>retailer_sku</t>
        </is>
      </c>
      <c r="M73" s="13" t="inlineStr">
        <is>
          <t>supermarket</t>
        </is>
      </c>
      <c r="N73" s="13" t="inlineStr">
        <is>
          <t>LSL</t>
        </is>
      </c>
      <c r="O73" s="13" t="n">
        <v>65</v>
      </c>
      <c r="P73" s="13" t="inlineStr">
        <is>
          <t>/wp-json/wc/store/v1/products?per_page=100</t>
        </is>
      </c>
      <c r="Q73" s="13" t="inlineStr">
        <is>
          <t>WooCommerce Store API confirmed: GET https://www.lesothovirtualmall.co.ls/wp-json/wc/store/v1/products?per_page=20 -&gt; 200, 190KB, 1080+ products. Sample: '1/4 Chicken - Njays Menu' price=8800, currency_minor_unit=2 -&gt; M88.00. GOTCHA: the API's currency_code field returns 'TMT' (Turkmenistan Manat's ISO code, clearly a site misconfiguration) while currency_symbol is 'm' (Maloti) and the price scale matches real Lesotho pricing -- hardcode LSL, do not trust the currency_code field from this API.</t>
        </is>
      </c>
      <c r="R73" s="13" t="b">
        <v>1</v>
      </c>
      <c r="S73" s="13" t="inlineStr">
        <is>
          <t>Mixed catalog: pharmacy/incontinence products, prepared restaurant-style meals ('Njays Menu'), and grocery variant-range items (CSV cites potatoes M17.80-88.80). currency_code data-quality gotcha documented above.</t>
        </is>
      </c>
      <c r="T73" s="13" t="inlineStr"/>
    </row>
    <row r="74">
      <c r="A74" s="13" t="inlineStr">
        <is>
          <t>lac</t>
        </is>
      </c>
      <c r="B74" s="13" t="inlineStr">
        <is>
          <t>belize</t>
        </is>
      </c>
      <c r="C74" s="13" t="inlineStr">
        <is>
          <t>Ultraw</t>
        </is>
      </c>
      <c r="D74" s="13" t="inlineStr">
        <is>
          <t>https://ultraw.bz/</t>
        </is>
      </c>
      <c r="E74" s="13" t="inlineStr">
        <is>
          <t>TIER_1B</t>
        </is>
      </c>
      <c r="F74" s="13" t="inlineStr">
        <is>
          <t>low</t>
        </is>
      </c>
      <c r="G74" s="13" t="inlineStr">
        <is>
          <t>Wave 2</t>
        </is>
      </c>
      <c r="H74" s="13" t="inlineStr">
        <is>
          <t>spider</t>
        </is>
      </c>
      <c r="I74" s="13" t="inlineStr">
        <is>
          <t>Generic WooCommerce spider (/wp-json/wc/store/v1/products) - WATCH the minor-unit exponent</t>
        </is>
      </c>
      <c r="J74" s="13" t="inlineStr">
        <is>
          <t>D_woocommerce</t>
        </is>
      </c>
      <c r="K74" s="13" t="inlineStr">
        <is>
          <t>WooCommerce</t>
        </is>
      </c>
      <c r="L74" s="13" t="inlineStr">
        <is>
          <t>retailer_sku</t>
        </is>
      </c>
      <c r="M74" s="13" t="inlineStr">
        <is>
          <t>marketplace</t>
        </is>
      </c>
      <c r="N74" s="13" t="inlineStr">
        <is>
          <t>BZD</t>
        </is>
      </c>
      <c r="O74" s="13" t="n">
        <v>60</v>
      </c>
      <c r="P74" s="13" t="inlineStr">
        <is>
          <t>/wp-json/wc/store/v1/products</t>
        </is>
      </c>
      <c r="Q74" s="13" t="inlineStr">
        <is>
          <t>GET /wp-json/wc/store/v1/products?category=dairy-and-eggs -&gt; 200, 11.3KB JSON. Sample: 'Hershey's Kisses Milk Chocolate 1.55 oz' BZD 3.00 (price 300 minor units). Category counts via /wp-json/wc/store/v1/products/categories: Groceries &amp; Supermarket 408, Pantry Staples 302, Dairy &amp; Eggs 48, Beverages (Non-Alcoholic) 33, Snacks &amp; Sweets 16; fresh produce/meat/bakery categories exist but each shows only 1-2 items (thin).</t>
        </is>
      </c>
      <c r="R74" s="13" t="b">
        <v>1</v>
      </c>
      <c r="S74" s="13" t="inlineStr">
        <is>
          <t>Two CSV rows (P1+P2) for the same domain, collapsed to one probe. Multi-vendor marketplace (Super Buy, Caribbean Cellars) strong on dry goods/dairy/beverages, structurally thin on fresh produce/meat/fish/bakery.</t>
        </is>
      </c>
      <c r="T74" s="13" t="inlineStr"/>
    </row>
    <row r="75">
      <c r="A75" s="13" t="inlineStr">
        <is>
          <t>lac</t>
        </is>
      </c>
      <c r="B75" s="13" t="inlineStr">
        <is>
          <t>cuba</t>
        </is>
      </c>
      <c r="C75" s="13" t="inlineStr">
        <is>
          <t>MercoCaribe (Habana)</t>
        </is>
      </c>
      <c r="D75" s="13" t="inlineStr">
        <is>
          <t>https://habana.mercocaribe.com/</t>
        </is>
      </c>
      <c r="E75" s="13" t="inlineStr">
        <is>
          <t>TIER_1B</t>
        </is>
      </c>
      <c r="F75" s="13" t="inlineStr">
        <is>
          <t>low</t>
        </is>
      </c>
      <c r="G75" s="13" t="inlineStr">
        <is>
          <t>Wave 2</t>
        </is>
      </c>
      <c r="H75" s="13" t="inlineStr">
        <is>
          <t>spider</t>
        </is>
      </c>
      <c r="I75" s="13" t="inlineStr">
        <is>
          <t>Generic WooCommerce spider (/wp-json/wc/store/v1/products) - WATCH the minor-unit exponent</t>
        </is>
      </c>
      <c r="J75" s="13" t="inlineStr">
        <is>
          <t>D_woocommerce</t>
        </is>
      </c>
      <c r="K75" s="13" t="inlineStr">
        <is>
          <t>WooCommerce</t>
        </is>
      </c>
      <c r="L75" s="13" t="inlineStr">
        <is>
          <t>retailer_sku</t>
        </is>
      </c>
      <c r="M75" s="13" t="inlineStr">
        <is>
          <t>supermarket (MLC/foreign-card channel)</t>
        </is>
      </c>
      <c r="N75" s="13" t="inlineStr">
        <is>
          <t>EUR</t>
        </is>
      </c>
      <c r="O75" s="13" t="n">
        <v>60</v>
      </c>
      <c r="P75" s="13" t="inlineStr">
        <is>
          <t>/wp-json/wc/store/v1/products</t>
        </is>
      </c>
      <c r="Q75" s="13" t="inlineStr">
        <is>
          <t>GET /wp-json/wc/store/v1/products?per_page=5 -&gt; HTTP 200, 16.9KB JSON. Sample: 'Jugo de Albaricoque (Goze) 200Ml' price 55 minor units / currency_minor_unit 2 = EUR 0.55 (WooCommerce Store API minor-unit format). SSR listing page also shows real product links/names: 'Pollo Muslo y Contramuslo (Delightfull Farms) 4.53kg', 'Yogur Natural Azucarado Larga Vida (Feiraco) 4x125g', 'Tomate Frito (Orlando) brik 780g'.</t>
        </is>
      </c>
      <c r="R75" s="13" t="b">
        <v>0</v>
      </c>
      <c r="S75" s="13" t="inlineStr">
        <is>
          <t>IMPORTANT CAVEAT: this is one of Cuba's 'MLC'-style virtual stores for foreign-card/diaspora-funded purchases (delivery inside Cuba, payment in EUR/USD via international card), not the domestic CUP retail network. Assortment observed is packaged/frozen imports (juice, chicken, dairy, snacks, canned goods) — no fresh produce/local-market categories seen. Treat fnb_leaves_est as a ceiling for packaged-goods leaves only; flag the pricing-currency mismatch (EUR, not domestic CUP) before onboarding.</t>
        </is>
      </c>
      <c r="T75" s="13" t="inlineStr"/>
    </row>
    <row r="76">
      <c r="A76" s="13" t="inlineStr">
        <is>
          <t>sar</t>
        </is>
      </c>
      <c r="B76" s="13" t="inlineStr">
        <is>
          <t>maldives</t>
        </is>
      </c>
      <c r="C76" s="13" t="inlineStr">
        <is>
          <t>LittleFINO</t>
        </is>
      </c>
      <c r="D76" s="13" t="inlineStr">
        <is>
          <t>https://fino.com.mv/</t>
        </is>
      </c>
      <c r="E76" s="13" t="inlineStr">
        <is>
          <t>TIER_1B</t>
        </is>
      </c>
      <c r="F76" s="13" t="inlineStr">
        <is>
          <t>low</t>
        </is>
      </c>
      <c r="G76" s="13" t="inlineStr">
        <is>
          <t>Wave 2</t>
        </is>
      </c>
      <c r="H76" s="13" t="inlineStr">
        <is>
          <t>spider</t>
        </is>
      </c>
      <c r="I76" s="13" t="inlineStr">
        <is>
          <t>Generic WooCommerce spider (/wp-json/wc/store/v1/products) - WATCH the minor-unit exponent</t>
        </is>
      </c>
      <c r="J76" s="13" t="inlineStr">
        <is>
          <t>D_woocommerce</t>
        </is>
      </c>
      <c r="K76" s="13" t="inlineStr">
        <is>
          <t>WooCommerce</t>
        </is>
      </c>
      <c r="L76" s="13" t="inlineStr">
        <is>
          <t>retailer_sku</t>
        </is>
      </c>
      <c r="M76" s="13" t="inlineStr">
        <is>
          <t>supermarket</t>
        </is>
      </c>
      <c r="N76" s="13" t="inlineStr">
        <is>
          <t>MVR</t>
        </is>
      </c>
      <c r="O76" s="13" t="n">
        <v>45</v>
      </c>
      <c r="P76" s="13" t="inlineStr">
        <is>
          <t>/wp-json/wc/store/v1/products</t>
        </is>
      </c>
      <c r="Q76" s="13" t="inlineStr">
        <is>
          <t>GET /wp-json/wc/store/v1/products/categories?per_page=100 -&gt; 200, 12KB, WooCommerce confirmed (string 'woocommerce' + '/wp-json/wc/store/v1/' both present). ~54 categories including Fresh &amp; Chilled(24), Frozen Meat &amp; Poultry(31), Frozen Fish &amp; Seafood(3), Frozen Vegetables(3), Cheese(11), Milk(11 across two dupe cats), Yoghurts(3), Rice/Pasta/Pulses(16+4), Condiments(14), Cooking Sauces(39), but only 1 SKU under 'Fruits &amp; Vegetables' -- packaged/frozen goods dominate over fresh.</t>
        </is>
      </c>
      <c r="R76" s="13" t="b">
        <v>0</v>
      </c>
      <c r="S76" s="13" t="inlineStr">
        <is>
          <t>New discovery via web search ('online grocery Maldives'). Real WooCommerce store API, easy onboard, but thin on fresh produce -- mainly useful as an incremental packaged/frozen layer on top of whim_mv.</t>
        </is>
      </c>
      <c r="T76" s="13" t="inlineStr"/>
    </row>
    <row r="77">
      <c r="A77" s="13" t="inlineStr">
        <is>
          <t>ssa</t>
        </is>
      </c>
      <c r="B77" s="13" t="inlineStr">
        <is>
          <t>kenya</t>
        </is>
      </c>
      <c r="C77" s="13" t="inlineStr">
        <is>
          <t>Greenspoon</t>
        </is>
      </c>
      <c r="D77" s="13" t="inlineStr">
        <is>
          <t>https://greenspoon.co.ke/</t>
        </is>
      </c>
      <c r="E77" s="13" t="inlineStr">
        <is>
          <t>TIER_1B</t>
        </is>
      </c>
      <c r="F77" s="13" t="inlineStr">
        <is>
          <t>low</t>
        </is>
      </c>
      <c r="G77" s="13" t="inlineStr">
        <is>
          <t>Wave 2</t>
        </is>
      </c>
      <c r="H77" s="13" t="inlineStr">
        <is>
          <t>spider</t>
        </is>
      </c>
      <c r="I77" s="13" t="inlineStr">
        <is>
          <t>Generic WooCommerce spider (/wp-json/wc/store/v1/products) - WATCH the minor-unit exponent</t>
        </is>
      </c>
      <c r="J77" s="13" t="inlineStr">
        <is>
          <t>D_woocommerce</t>
        </is>
      </c>
      <c r="K77" s="13" t="inlineStr">
        <is>
          <t>WooCommerce</t>
        </is>
      </c>
      <c r="L77" s="13" t="inlineStr">
        <is>
          <t>retailer_sku</t>
        </is>
      </c>
      <c r="M77" s="13" t="inlineStr">
        <is>
          <t>supermarket</t>
        </is>
      </c>
      <c r="N77" s="13" t="inlineStr">
        <is>
          <t>KES</t>
        </is>
      </c>
      <c r="O77" s="13" t="n">
        <v>40</v>
      </c>
      <c r="P77" s="13" t="inlineStr">
        <is>
          <t>/wp-json/wc/store/v1/products</t>
        </is>
      </c>
      <c r="Q77" s="13" t="inlineStr">
        <is>
          <t>GET /wp-json/wc/store/v1/products?per_page=3 -&gt; 200, WooCommerce Store API open no auth. currency_minor_unit=0. Sample 'Hobby Pomegranate Blossom Body Wash' KES 498.</t>
        </is>
      </c>
      <c r="R77" s="13" t="b">
        <v>1</v>
      </c>
      <c r="S77" s="13" t="inlineStr">
        <is>
          <t>Organic/artisan grocer. DATA QUALITY FLAG: one sampled product's `description` field contained ~2KB of unrelated leftover HTML that looks like a scraped AI-chat UI fragment (div classes referencing a conversation thread) -- garbage in their CMS content, not a security issue, but strip/ignore the description field rather than using it as classifier input.</t>
        </is>
      </c>
      <c r="T77" s="13" t="inlineStr"/>
    </row>
    <row r="78">
      <c r="A78" s="13" t="inlineStr">
        <is>
          <t>menaap</t>
        </is>
      </c>
      <c r="B78" s="13" t="inlineStr">
        <is>
          <t>djibouti</t>
        </is>
      </c>
      <c r="C78" s="13" t="inlineStr">
        <is>
          <t>NIRIGS</t>
        </is>
      </c>
      <c r="D78" s="13" t="inlineStr">
        <is>
          <t>https://nirigs.com/</t>
        </is>
      </c>
      <c r="E78" s="13" t="inlineStr">
        <is>
          <t>TIER_1B</t>
        </is>
      </c>
      <c r="F78" s="13" t="inlineStr">
        <is>
          <t>low</t>
        </is>
      </c>
      <c r="G78" s="13" t="inlineStr">
        <is>
          <t>Wave 2</t>
        </is>
      </c>
      <c r="H78" s="13" t="inlineStr">
        <is>
          <t>spider</t>
        </is>
      </c>
      <c r="I78" s="13" t="inlineStr">
        <is>
          <t>Generic WooCommerce spider (/wp-json/wc/store/v1/products) - WATCH the minor-unit exponent</t>
        </is>
      </c>
      <c r="J78" s="13" t="inlineStr">
        <is>
          <t>D_woocommerce</t>
        </is>
      </c>
      <c r="K78" s="13" t="inlineStr">
        <is>
          <t>WooCommerce</t>
        </is>
      </c>
      <c r="L78" s="13" t="inlineStr">
        <is>
          <t>retailer_sku</t>
        </is>
      </c>
      <c r="M78" s="13" t="inlineStr">
        <is>
          <t>supermarket</t>
        </is>
      </c>
      <c r="N78" s="13" t="inlineStr">
        <is>
          <t>DJF</t>
        </is>
      </c>
      <c r="O78" s="13" t="n">
        <v>30</v>
      </c>
      <c r="P78" s="13" t="inlineStr">
        <is>
          <t>/wp-json/wc/store/v1/products?per_page=100&amp;page=N</t>
        </is>
      </c>
      <c r="Q78" s="13" t="inlineStr">
        <is>
          <t>GET /wp-json/wc/store/v1/products?per_page=20 -&gt; 200, 199KB JSON. Sample: 'Nuna Cereales au ble et lait des 6 mois - 350 g', price 1250 DJF (minor_unit=0). x-wp-total = 448 products across 13 categories: Alimentation, Boissons, Boissons gazeuses, Boissons vegetales, Bebe et famille, Cafe/The/Boissons, Gouters et desserts, Jus de Fruits, Laits en poudre, Laits infantiles, Petit-Dejeuner, Produits laitiers en conserves, Epicerie.</t>
        </is>
      </c>
      <c r="R78" s="13" t="b">
        <v>1</v>
      </c>
      <c r="S78" s="13" t="inlineStr">
        <is>
          <t>Best Djibouti source by volume (448 SKUs) and category breadth. Still no fresh produce/meat/bakery -- purely packaged/shelf-stable epicerie.</t>
        </is>
      </c>
      <c r="T78" s="13" t="inlineStr"/>
    </row>
    <row r="79">
      <c r="A79" s="13" t="inlineStr">
        <is>
          <t>ssa</t>
        </is>
      </c>
      <c r="B79" s="13" t="inlineStr">
        <is>
          <t>mozambique</t>
        </is>
      </c>
      <c r="C79" s="13" t="inlineStr">
        <is>
          <t>VIP Supermercado</t>
        </is>
      </c>
      <c r="D79" s="13" t="inlineStr">
        <is>
          <t>https://vipspar.com/</t>
        </is>
      </c>
      <c r="E79" s="13" t="inlineStr">
        <is>
          <t>TIER_1B</t>
        </is>
      </c>
      <c r="F79" s="13" t="inlineStr">
        <is>
          <t>low</t>
        </is>
      </c>
      <c r="G79" s="13" t="inlineStr">
        <is>
          <t>Wave 2</t>
        </is>
      </c>
      <c r="H79" s="13" t="inlineStr">
        <is>
          <t>spider</t>
        </is>
      </c>
      <c r="I79" s="13" t="inlineStr">
        <is>
          <t>Generic WooCommerce spider (/wp-json/wc/store/v1/products) - WATCH the minor-unit exponent</t>
        </is>
      </c>
      <c r="J79" s="13" t="inlineStr">
        <is>
          <t>D_woocommerce</t>
        </is>
      </c>
      <c r="K79" s="13" t="inlineStr">
        <is>
          <t>WooCommerce</t>
        </is>
      </c>
      <c r="L79" s="13" t="inlineStr">
        <is>
          <t>retailer_sku</t>
        </is>
      </c>
      <c r="M79" s="13" t="inlineStr">
        <is>
          <t>supermarket</t>
        </is>
      </c>
      <c r="N79" s="13" t="inlineStr">
        <is>
          <t>MZN</t>
        </is>
      </c>
      <c r="O79" s="13" t="n">
        <v>30</v>
      </c>
      <c r="P79" s="13" t="inlineStr">
        <is>
          <t>/wp-json/wc/store/products?per_page=100&amp;page=N (note: NOT /wc/store/v1/ -- this WooCommerce install exposes the pre-v1 Store API namespace only)</t>
        </is>
      </c>
      <c r="Q79" s="13" t="inlineStr">
        <is>
          <t>wc/store/v1/products 404'd, but the older non-versioned route works: GET /wp-json/wc/store/products?per_page=5 -&gt; 200, real JSON. Sample: 'LOTUS RICE ARROZ JASMIN' price=680 MZN (currency_minor_unit=0, no division needed), 'AMANHECER ARROZ INTEGRAL 1KG' price=190 MZN, 'DIVELLA ARBORIO ARROZ 1KG' price=750 MZN.</t>
        </is>
      </c>
      <c r="R79" s="13" t="b">
        <v>1</v>
      </c>
      <c r="S79" s="13" t="inlineStr">
        <is>
          <t>Multi-vendor (Dokan) WooCommerce; Store API is open with zero auth. Endpoint path is nonstandard versus the documented /wc/store/v1/ pattern -- worth adding as a documented gotcha.</t>
        </is>
      </c>
      <c r="T79" s="13" t="inlineStr"/>
    </row>
    <row r="80">
      <c r="A80" s="13" t="inlineStr">
        <is>
          <t>ssa</t>
        </is>
      </c>
      <c r="B80" s="13" t="inlineStr">
        <is>
          <t>ghana</t>
        </is>
      </c>
      <c r="C80" s="13" t="inlineStr">
        <is>
          <t>GHBasket</t>
        </is>
      </c>
      <c r="D80" s="13" t="inlineStr">
        <is>
          <t>https://ghbasket.com/</t>
        </is>
      </c>
      <c r="E80" s="13" t="inlineStr">
        <is>
          <t>TIER_1B</t>
        </is>
      </c>
      <c r="F80" s="13" t="inlineStr">
        <is>
          <t>low</t>
        </is>
      </c>
      <c r="G80" s="13" t="inlineStr">
        <is>
          <t>Wave 2</t>
        </is>
      </c>
      <c r="H80" s="13" t="inlineStr">
        <is>
          <t>spider</t>
        </is>
      </c>
      <c r="I80" s="13" t="inlineStr">
        <is>
          <t>Generic WooCommerce spider (/wp-json/wc/store/v1/products) - WATCH the minor-unit exponent</t>
        </is>
      </c>
      <c r="J80" s="13" t="inlineStr">
        <is>
          <t>D_woocommerce</t>
        </is>
      </c>
      <c r="K80" s="13" t="inlineStr">
        <is>
          <t>WordPress/WooCommerce</t>
        </is>
      </c>
      <c r="L80" s="13" t="inlineStr">
        <is>
          <t>retailer_sku</t>
        </is>
      </c>
      <c r="M80" s="13" t="inlineStr">
        <is>
          <t>supermarket</t>
        </is>
      </c>
      <c r="N80" s="13" t="inlineStr">
        <is>
          <t>GHS</t>
        </is>
      </c>
      <c r="O80" s="13" t="n">
        <v>20</v>
      </c>
      <c r="P80" s="13" t="inlineStr">
        <is>
          <t>/wp-json/wc/store/v1/products?per_page=100</t>
        </is>
      </c>
      <c r="Q80" s="13" t="inlineStr">
        <is>
          <t>CSV's own EXTRACTION endpoint confirmed live: GET https://ghbasket.com/wp-json/wc/store/v1/products?per_page=100 -&gt; 200, 55KB. WooCommerce Store API. Sample: 'Cow Leg' price=11000, currency_minor_unit=2 -&gt; GHS 110.00.</t>
        </is>
      </c>
      <c r="R80" s="13" t="b">
        <v>1</v>
      </c>
      <c r="S80" s="13" t="inlineStr">
        <is>
          <t>Only first page verified this pass; CSV's local-unit-measure claims (koobi, apatre, olonka) not independently re-sampled but platform and endpoint are live and exactly as documented.</t>
        </is>
      </c>
      <c r="T80" s="13" t="inlineStr"/>
    </row>
    <row r="81">
      <c r="A81" s="13" t="inlineStr">
        <is>
          <t>menaap</t>
        </is>
      </c>
      <c r="B81" s="13" t="inlineStr">
        <is>
          <t>djibouti</t>
        </is>
      </c>
      <c r="C81" s="13" t="inlineStr">
        <is>
          <t>Djibonline</t>
        </is>
      </c>
      <c r="D81" s="13" t="inlineStr">
        <is>
          <t>https://djibonline.com/</t>
        </is>
      </c>
      <c r="E81" s="13" t="inlineStr">
        <is>
          <t>TIER_1B</t>
        </is>
      </c>
      <c r="F81" s="13" t="inlineStr">
        <is>
          <t>low</t>
        </is>
      </c>
      <c r="G81" s="13" t="inlineStr">
        <is>
          <t>Wave 2</t>
        </is>
      </c>
      <c r="H81" s="13" t="inlineStr">
        <is>
          <t>spider</t>
        </is>
      </c>
      <c r="I81" s="13" t="inlineStr">
        <is>
          <t>Generic WooCommerce spider (/wp-json/wc/store/v1/products) - WATCH the minor-unit exponent</t>
        </is>
      </c>
      <c r="J81" s="13" t="inlineStr">
        <is>
          <t>D_woocommerce</t>
        </is>
      </c>
      <c r="K81" s="13" t="inlineStr">
        <is>
          <t>WooCommerce</t>
        </is>
      </c>
      <c r="L81" s="13" t="inlineStr">
        <is>
          <t>retailer_sku</t>
        </is>
      </c>
      <c r="M81" s="13" t="inlineStr">
        <is>
          <t>supermarket</t>
        </is>
      </c>
      <c r="N81" s="13" t="inlineStr">
        <is>
          <t>DJF</t>
        </is>
      </c>
      <c r="O81" s="13" t="n">
        <v>15</v>
      </c>
      <c r="P81" s="13" t="inlineStr">
        <is>
          <t>/wp-json/wc/store/v1/products?per_page=100&amp;page=N</t>
        </is>
      </c>
      <c r="Q81" s="13" t="inlineStr">
        <is>
          <t>GET /wp-json/wc/store/v1/products?per_page=20 -&gt; 200, 144KB JSON. Sample: 'Flocons d'avoine Five Star – 400 g'. Price object: price=250 (minor_unit=0) -&gt; 250 Fr = 250 DJF. x-wp-total header = 142 products across 4 categories: Cartes &amp; Codes digitaux, Lait &amp; produits laitiers, Sucre &amp; petit-dejeuner, Epices.</t>
        </is>
      </c>
      <c r="R81" s="13" t="b">
        <v>1</v>
      </c>
      <c r="S81" s="13" t="inlineStr">
        <is>
          <t>Small catalog (142 SKUs), thin categories (dairy, sweets/breakfast, spices, phone top-up cards). No fresh, no meat, no bakery.</t>
        </is>
      </c>
      <c r="T81" s="13" t="inlineStr"/>
    </row>
    <row r="82">
      <c r="A82" s="13" t="inlineStr">
        <is>
          <t>ssa</t>
        </is>
      </c>
      <c r="B82" s="13" t="inlineStr">
        <is>
          <t>lesotho</t>
        </is>
      </c>
      <c r="C82" s="13" t="inlineStr">
        <is>
          <t>Wiza Shopping</t>
        </is>
      </c>
      <c r="D82" s="13" t="inlineStr">
        <is>
          <t>https://wizashopping.co.ls/</t>
        </is>
      </c>
      <c r="E82" s="13" t="inlineStr">
        <is>
          <t>TIER_1B</t>
        </is>
      </c>
      <c r="F82" s="13" t="inlineStr">
        <is>
          <t>low</t>
        </is>
      </c>
      <c r="G82" s="13" t="inlineStr">
        <is>
          <t>Wave 2</t>
        </is>
      </c>
      <c r="H82" s="13" t="inlineStr">
        <is>
          <t>spider</t>
        </is>
      </c>
      <c r="I82" s="13" t="inlineStr">
        <is>
          <t>Generic WooCommerce spider (/wp-json/wc/store/v1/products) - WATCH the minor-unit exponent</t>
        </is>
      </c>
      <c r="J82" s="13" t="inlineStr">
        <is>
          <t>D_woocommerce</t>
        </is>
      </c>
      <c r="K82" s="13" t="inlineStr">
        <is>
          <t>WordPress/WooCommerce</t>
        </is>
      </c>
      <c r="L82" s="13" t="inlineStr">
        <is>
          <t>retailer_sku</t>
        </is>
      </c>
      <c r="M82" s="13" t="inlineStr">
        <is>
          <t>aggregator</t>
        </is>
      </c>
      <c r="N82" s="13" t="inlineStr">
        <is>
          <t>LSL</t>
        </is>
      </c>
      <c r="O82" s="13" t="n">
        <v>15</v>
      </c>
      <c r="P82" s="13" t="inlineStr">
        <is>
          <t>/wp-json/wc/store/v1/products?per_page=100</t>
        </is>
      </c>
      <c r="Q82" s="13" t="inlineStr">
        <is>
          <t>WooCommerce Store API confirmed: GET https://wizashopping.co.ls/wp-json/wc/store/v1/products?per_page=20 -&gt; 200, 63KB. Sample: 'Pork Chops per KG' price=11555 -&gt; M115.55 (per-kg meat pricing).</t>
        </is>
      </c>
      <c r="R82" s="13" t="b">
        <v>1</v>
      </c>
      <c r="S82" s="13" t="inlineStr">
        <is>
          <t>Price-comparison hub across multiple Lesotho retailers per CSV -- unusually valuable multi-retailer view, but likely overlaps heavily with Lesotho Virtual Mall's SKUs.</t>
        </is>
      </c>
      <c r="T82" s="13" t="inlineStr"/>
    </row>
    <row r="83">
      <c r="A83" s="13" t="inlineStr">
        <is>
          <t>ssa</t>
        </is>
      </c>
      <c r="B83" s="13" t="inlineStr">
        <is>
          <t>togo</t>
        </is>
      </c>
      <c r="C83" s="13" t="inlineStr">
        <is>
          <t>Assivito</t>
        </is>
      </c>
      <c r="D83" s="13" t="inlineStr">
        <is>
          <t>https://www.assivito.com/</t>
        </is>
      </c>
      <c r="E83" s="13" t="inlineStr">
        <is>
          <t>TIER_1B</t>
        </is>
      </c>
      <c r="F83" s="13" t="inlineStr">
        <is>
          <t>low</t>
        </is>
      </c>
      <c r="G83" s="13" t="inlineStr">
        <is>
          <t>Wave 2</t>
        </is>
      </c>
      <c r="H83" s="13" t="inlineStr">
        <is>
          <t>spider</t>
        </is>
      </c>
      <c r="I83" s="13" t="inlineStr">
        <is>
          <t>Generic WooCommerce spider (/wp-json/wc/store/v1/products) - WATCH the minor-unit exponent</t>
        </is>
      </c>
      <c r="J83" s="13" t="inlineStr">
        <is>
          <t>D_woocommerce</t>
        </is>
      </c>
      <c r="K83" s="13" t="inlineStr">
        <is>
          <t>WordPress/WooCommerce</t>
        </is>
      </c>
      <c r="L83" s="13" t="inlineStr">
        <is>
          <t>retailer_sku</t>
        </is>
      </c>
      <c r="M83" s="13" t="inlineStr">
        <is>
          <t>aggregator</t>
        </is>
      </c>
      <c r="N83" s="13" t="inlineStr">
        <is>
          <t>XOF</t>
        </is>
      </c>
      <c r="O83" s="13" t="n">
        <v>8</v>
      </c>
      <c r="P83" s="13" t="inlineStr">
        <is>
          <t>/wp-json/wc/store/v1/products?category=173 (Produits transformes)</t>
        </is>
      </c>
      <c r="Q83" s="13" t="inlineStr">
        <is>
          <t>WooCommerce Store API confirmed open: GET https://www.assivito.com/wp-json/wc/store/v1/products/categories?per_page=100 -&gt; 200, 7.1KB, 21 categories. One category, 'Produits transformes' (id 173, 89 products), is genuinely food: GET .../products?category=173&amp;per_page=20 -&gt; 200, sample 'Puree de sesame 100% naturelle' 4000 FCFA, 'Pate d'arachide 100% naturelle' (groundnut paste) 5000 FCFA, 'Miabe Gari (farine de manioc)' 1300 FCFA, 'Haricot brun - 1kg' 1800 FCFA, 'Arachides grillees - 350g' 2000 FCFA.</t>
        </is>
      </c>
      <c r="R83" s="13" t="b">
        <v>1</v>
      </c>
      <c r="S83" s="13" t="inlineStr">
        <is>
          <t>General local-products marketplace (agri/health, artisans, fashion, real estate, vehicles dominate); only one of 21 categories is genuinely food, but it is real local-staple food (gari, groundnut/sesame paste, dried beans, roasted peanuts).</t>
        </is>
      </c>
      <c r="T83" s="13" t="inlineStr"/>
    </row>
    <row r="84">
      <c r="A84" s="13" t="inlineStr">
        <is>
          <t>menaap</t>
        </is>
      </c>
      <c r="B84" s="13" t="inlineStr">
        <is>
          <t>syria</t>
        </is>
      </c>
      <c r="C84" s="13" t="inlineStr">
        <is>
          <t>Tsaooq</t>
        </is>
      </c>
      <c r="D84" s="13" t="inlineStr">
        <is>
          <t>https://tsaooq.com/wp-json/wc/store/v1/products?category=&lt;food-cat-id&gt;</t>
        </is>
      </c>
      <c r="E84" s="13" t="inlineStr">
        <is>
          <t>TIER_1B</t>
        </is>
      </c>
      <c r="F84" s="13" t="inlineStr">
        <is>
          <t>low</t>
        </is>
      </c>
      <c r="G84" s="13" t="inlineStr">
        <is>
          <t>Wave 2</t>
        </is>
      </c>
      <c r="H84" s="13" t="inlineStr">
        <is>
          <t>spider</t>
        </is>
      </c>
      <c r="I84" s="13" t="inlineStr">
        <is>
          <t>Generic WooCommerce spider (/wp-json/wc/store/v1/products) - WATCH the minor-unit exponent</t>
        </is>
      </c>
      <c r="J84" s="13" t="inlineStr">
        <is>
          <t>D_woocommerce</t>
        </is>
      </c>
      <c r="K84" s="13" t="inlineStr">
        <is>
          <t>WooCommerce</t>
        </is>
      </c>
      <c r="L84" s="13" t="inlineStr">
        <is>
          <t>retailer_sku</t>
        </is>
      </c>
      <c r="M84" s="13" t="inlineStr">
        <is>
          <t>marketplace</t>
        </is>
      </c>
      <c r="N84" s="13" t="inlineStr">
        <is>
          <t>SYP</t>
        </is>
      </c>
      <c r="O84" s="13" t="n">
        <v>4</v>
      </c>
      <c r="P84" s="13" t="inlineStr">
        <is>
          <t>/wp-json/wc/store/v1/products/categories and /wp-json/wc/store/v1/products?category=&lt;id&gt;</t>
        </is>
      </c>
      <c r="Q84" s="13" t="inlineStr">
        <is>
          <t>curl GET /wp-json/wc/store/v1/products/categories?per_page=100 -&gt; 200, clean JSON. Category 'الأغذية والمشروبات' (Food &amp; Beverages) exists, count=4. Fetched that category's products -&gt; real items: 'كاتشيتزا – بيتزا محشية الأطراف' (stuffed-crust pizza) SYP 10000, 'سلطة فواكه' (fruit salad) SYP 10000, 'بقلاوة ملكي' (baklava) SYP 10000, cake SYP 10000. currency_minor_unit=0.</t>
        </is>
      </c>
      <c r="R84" s="13" t="b">
        <v>0</v>
      </c>
      <c r="S84" s="13" t="inlineStr">
        <is>
          <t>Live and technically Tier 1B, but the F&amp;B slice of this general Syrian marketplace is only 4 prepared/bakery items (pizza, fruit salad, baklava, cake) - bakery/confectionery/prepared-meal leaves only, no fresh produce/meat/dairy/staples. Not worth a dedicated spider on its own; would only be additive alongside a fuller Syrian source.</t>
        </is>
      </c>
      <c r="T84" s="13" t="inlineStr"/>
    </row>
    <row r="85">
      <c r="A85" s="13" t="inlineStr">
        <is>
          <t>lac</t>
        </is>
      </c>
      <c r="B85" s="13" t="inlineStr">
        <is>
          <t>peru</t>
        </is>
      </c>
      <c r="C85" s="13" t="inlineStr">
        <is>
          <t>Wong</t>
        </is>
      </c>
      <c r="D85" s="13" t="inlineStr">
        <is>
          <t>https://www.wong.pe/</t>
        </is>
      </c>
      <c r="E85" s="13" t="inlineStr">
        <is>
          <t>TIER_1B</t>
        </is>
      </c>
      <c r="F85" s="13" t="inlineStr">
        <is>
          <t>low</t>
        </is>
      </c>
      <c r="G85" s="13" t="inlineStr">
        <is>
          <t>Wave 2</t>
        </is>
      </c>
      <c r="H85" s="13" t="inlineStr">
        <is>
          <t>spider</t>
        </is>
      </c>
      <c r="I85" s="13" t="inlineStr">
        <is>
          <t>Generic VTEX spider (/api/catalog_system/pub/products/search) - fall back to the *.myvtex.com origin host</t>
        </is>
      </c>
      <c r="J85" s="13" t="inlineStr">
        <is>
          <t>E_vtex</t>
        </is>
      </c>
      <c r="K85" s="13" t="inlineStr">
        <is>
          <t>VTEX</t>
        </is>
      </c>
      <c r="L85" s="13" t="inlineStr">
        <is>
          <t>retailer_sku</t>
        </is>
      </c>
      <c r="M85" s="13" t="inlineStr">
        <is>
          <t>supermarket</t>
        </is>
      </c>
      <c r="N85" s="13" t="inlineStr">
        <is>
          <t>PEN</t>
        </is>
      </c>
      <c r="O85" s="13" t="n">
        <v>170</v>
      </c>
      <c r="P85" s="13" t="inlineStr">
        <is>
          <t>/api/catalog_system/pub/products/search?_from=0&amp;_to=49</t>
        </is>
      </c>
      <c r="Q85" s="13" t="inlineStr">
        <is>
          <t>GET /api/catalog_system/pub/products/search?_from=0&amp;_to=4 -&gt; 206, 251KB JSON, 5 products. Sample: 'Huevos Pardos Wong 30un' PEN 17.9. CSV-supplied endpoint worked directly.</t>
        </is>
      </c>
      <c r="R85" s="13" t="b">
        <v>1</v>
      </c>
      <c r="S85" s="13" t="inlineStr">
        <is>
          <t>Premium/upper-mid banner; CSV notes 3 price tiers per SKU (online/regular/Prime) — must not collapse them.</t>
        </is>
      </c>
      <c r="T85" s="13" t="inlineStr"/>
    </row>
    <row r="86">
      <c r="A86" s="13" t="inlineStr">
        <is>
          <t>lac</t>
        </is>
      </c>
      <c r="B86" s="13" t="inlineStr">
        <is>
          <t>peru</t>
        </is>
      </c>
      <c r="C86" s="13" t="inlineStr">
        <is>
          <t>Metro Peru</t>
        </is>
      </c>
      <c r="D86" s="13" t="inlineStr">
        <is>
          <t>https://www.metro.pe/</t>
        </is>
      </c>
      <c r="E86" s="13" t="inlineStr">
        <is>
          <t>TIER_1B</t>
        </is>
      </c>
      <c r="F86" s="13" t="inlineStr">
        <is>
          <t>low</t>
        </is>
      </c>
      <c r="G86" s="13" t="inlineStr">
        <is>
          <t>Wave 2</t>
        </is>
      </c>
      <c r="H86" s="13" t="inlineStr">
        <is>
          <t>spider</t>
        </is>
      </c>
      <c r="I86" s="13" t="inlineStr">
        <is>
          <t>Generic VTEX spider (/api/catalog_system/pub/products/search) - fall back to the *.myvtex.com origin host</t>
        </is>
      </c>
      <c r="J86" s="13" t="inlineStr">
        <is>
          <t>E_vtex</t>
        </is>
      </c>
      <c r="K86" s="13" t="inlineStr">
        <is>
          <t>VTEX</t>
        </is>
      </c>
      <c r="L86" s="13" t="inlineStr">
        <is>
          <t>retailer_sku</t>
        </is>
      </c>
      <c r="M86" s="13" t="inlineStr">
        <is>
          <t>supermarket</t>
        </is>
      </c>
      <c r="N86" s="13" t="inlineStr">
        <is>
          <t>PEN</t>
        </is>
      </c>
      <c r="O86" s="13" t="n">
        <v>160</v>
      </c>
      <c r="P86" s="13" t="inlineStr">
        <is>
          <t>/api/catalog_system/pub/products/search</t>
        </is>
      </c>
      <c r="Q86" s="13" t="inlineStr">
        <is>
          <t>GET /api/catalog_system/pub/products/search?_from=0&amp;_to=4 -&gt; 206, 209KB JSON, 5 products. Sample: 'Huevos Pardos Metro 30un' PEN 16.5.</t>
        </is>
      </c>
      <c r="R86" s="13" t="b">
        <v>1</v>
      </c>
      <c r="S86" s="13" t="inlineStr">
        <is>
          <t>Cencosud discount banner, VTEX. Full-line supermarket.</t>
        </is>
      </c>
      <c r="T86" s="13" t="inlineStr"/>
    </row>
    <row r="87">
      <c r="A87" s="13" t="inlineStr">
        <is>
          <t>lac</t>
        </is>
      </c>
      <c r="B87" s="13" t="inlineStr">
        <is>
          <t>peru</t>
        </is>
      </c>
      <c r="C87" s="13" t="inlineStr">
        <is>
          <t>plazaVea</t>
        </is>
      </c>
      <c r="D87" s="13" t="inlineStr">
        <is>
          <t>https://www.plazavea.com.pe/supermercado</t>
        </is>
      </c>
      <c r="E87" s="13" t="inlineStr">
        <is>
          <t>TIER_1B</t>
        </is>
      </c>
      <c r="F87" s="13" t="inlineStr">
        <is>
          <t>low</t>
        </is>
      </c>
      <c r="G87" s="13" t="inlineStr">
        <is>
          <t>Wave 2</t>
        </is>
      </c>
      <c r="H87" s="13" t="inlineStr">
        <is>
          <t>spider</t>
        </is>
      </c>
      <c r="I87" s="13" t="inlineStr">
        <is>
          <t>Generic VTEX spider (/api/catalog_system/pub/products/search) - fall back to the *.myvtex.com origin host</t>
        </is>
      </c>
      <c r="J87" s="13" t="inlineStr">
        <is>
          <t>E_vtex</t>
        </is>
      </c>
      <c r="K87" s="13" t="inlineStr">
        <is>
          <t>VTEX</t>
        </is>
      </c>
      <c r="L87" s="13" t="inlineStr">
        <is>
          <t>retailer_sku</t>
        </is>
      </c>
      <c r="M87" s="13" t="inlineStr">
        <is>
          <t>supermarket</t>
        </is>
      </c>
      <c r="N87" s="13" t="inlineStr">
        <is>
          <t>PEN</t>
        </is>
      </c>
      <c r="O87" s="13" t="n">
        <v>160</v>
      </c>
      <c r="P87" s="13" t="inlineStr">
        <is>
          <t>/api/catalog_system/pub/products/search with sc (sales channel) parameter</t>
        </is>
      </c>
      <c r="Q87" s="13" t="inlineStr">
        <is>
          <t>GET /api/catalog_system/pub/products/search?_from=0&amp;_to=4 -&gt; 206, 83KB JSON, 5 products. Sample: 'Bio Bolsa PLAZAVEA Mediana' PEN 0.20.</t>
        </is>
      </c>
      <c r="R87" s="13" t="b">
        <v>1</v>
      </c>
      <c r="S87" s="13" t="inlineStr">
        <is>
          <t>Intercorp mass-market chain, VTEX. May need an sc= sales-channel param for the right regional assortment per CSV.</t>
        </is>
      </c>
      <c r="T87" s="13" t="inlineStr"/>
    </row>
    <row r="88">
      <c r="A88" s="13" t="inlineStr">
        <is>
          <t>lac</t>
        </is>
      </c>
      <c r="B88" s="13" t="inlineStr">
        <is>
          <t>argentina</t>
        </is>
      </c>
      <c r="C88" s="13" t="inlineStr">
        <is>
          <t>Jumbo Argentina</t>
        </is>
      </c>
      <c r="D88" s="13" t="inlineStr">
        <is>
          <t>https://www.jumbo.com.ar/</t>
        </is>
      </c>
      <c r="E88" s="13" t="inlineStr">
        <is>
          <t>TIER_1B</t>
        </is>
      </c>
      <c r="F88" s="13" t="inlineStr">
        <is>
          <t>low</t>
        </is>
      </c>
      <c r="G88" s="13" t="inlineStr">
        <is>
          <t>Wave 2</t>
        </is>
      </c>
      <c r="H88" s="13" t="inlineStr">
        <is>
          <t>spider</t>
        </is>
      </c>
      <c r="I88" s="13" t="inlineStr">
        <is>
          <t>Generic VTEX spider (/api/catalog_system/pub/products/search) - fall back to the *.myvtex.com origin host</t>
        </is>
      </c>
      <c r="J88" s="13" t="inlineStr">
        <is>
          <t>E_vtex</t>
        </is>
      </c>
      <c r="K88" s="13" t="inlineStr">
        <is>
          <t>VTEX</t>
        </is>
      </c>
      <c r="L88" s="13" t="inlineStr">
        <is>
          <t>retailer_sku</t>
        </is>
      </c>
      <c r="M88" s="13" t="inlineStr">
        <is>
          <t>supermarket</t>
        </is>
      </c>
      <c r="N88" s="13" t="inlineStr">
        <is>
          <t>ARS</t>
        </is>
      </c>
      <c r="O88" s="13" t="n">
        <v>160</v>
      </c>
      <c r="P88" s="13" t="inlineStr">
        <is>
          <t>/api/catalog_system/pub/products/search</t>
        </is>
      </c>
      <c r="Q88" s="13" t="inlineStr">
        <is>
          <t>GET https://www.jumbo.com.ar/api/catalog_system/pub/products/search?_from=0&amp;_to=9 -&gt; HTTP 206, 243915 bytes, 10 products. Sample: 'Cebolla Superior Por Kg' ARS 2599.0</t>
        </is>
      </c>
      <c r="R88" s="13" t="b">
        <v>0</v>
      </c>
      <c r="S88" s="13" t="inlineStr">
        <is>
          <t>Cencosud AR flagship hypermarket, full-line incl. fresh produce/meat.</t>
        </is>
      </c>
      <c r="T88" s="13" t="inlineStr"/>
    </row>
    <row r="89">
      <c r="A89" s="13" t="inlineStr">
        <is>
          <t>lac</t>
        </is>
      </c>
      <c r="B89" s="13" t="inlineStr">
        <is>
          <t>argentina</t>
        </is>
      </c>
      <c r="C89" s="13" t="inlineStr">
        <is>
          <t>Carrefour Argentina</t>
        </is>
      </c>
      <c r="D89" s="13" t="inlineStr">
        <is>
          <t>https://www.carrefour.com.ar/</t>
        </is>
      </c>
      <c r="E89" s="13" t="inlineStr">
        <is>
          <t>TIER_1B</t>
        </is>
      </c>
      <c r="F89" s="13" t="inlineStr">
        <is>
          <t>low</t>
        </is>
      </c>
      <c r="G89" s="13" t="inlineStr">
        <is>
          <t>Wave 2</t>
        </is>
      </c>
      <c r="H89" s="13" t="inlineStr">
        <is>
          <t>spider</t>
        </is>
      </c>
      <c r="I89" s="13" t="inlineStr">
        <is>
          <t>Generic VTEX spider (/api/catalog_system/pub/products/search) - fall back to the *.myvtex.com origin host</t>
        </is>
      </c>
      <c r="J89" s="13" t="inlineStr">
        <is>
          <t>E_vtex</t>
        </is>
      </c>
      <c r="K89" s="13" t="inlineStr">
        <is>
          <t>VTEX</t>
        </is>
      </c>
      <c r="L89" s="13" t="inlineStr">
        <is>
          <t>retailer_sku</t>
        </is>
      </c>
      <c r="M89" s="13" t="inlineStr">
        <is>
          <t>supermarket</t>
        </is>
      </c>
      <c r="N89" s="13" t="inlineStr">
        <is>
          <t>ARS</t>
        </is>
      </c>
      <c r="O89" s="13" t="n">
        <v>160</v>
      </c>
      <c r="P89" s="13" t="inlineStr">
        <is>
          <t>/api/catalog_system/pub/products/search</t>
        </is>
      </c>
      <c r="Q89" s="13" t="inlineStr">
        <is>
          <t>GET https://www.carrefour.com.ar/api/catalog_system/pub/products/search?_from=0&amp;_to=9 -&gt; HTTP 206, 240119 bytes. Sample: 'Rollo de cocina Sussex clasico 50 panos 3 uni' ARS 2044.0</t>
        </is>
      </c>
      <c r="R89" s="13" t="b">
        <v>0</v>
      </c>
      <c r="S89" s="13" t="inlineStr">
        <is>
          <t>Full-line hypermarket, independent tenant from Cencosud AR banners.</t>
        </is>
      </c>
      <c r="T89" s="13" t="inlineStr"/>
    </row>
    <row r="90">
      <c r="A90" s="13" t="inlineStr">
        <is>
          <t>lac</t>
        </is>
      </c>
      <c r="B90" s="13" t="inlineStr">
        <is>
          <t>mexico</t>
        </is>
      </c>
      <c r="C90" s="13" t="inlineStr">
        <is>
          <t>Chedraui</t>
        </is>
      </c>
      <c r="D90" s="13" t="inlineStr">
        <is>
          <t>https://www.chedraui.com.mx/</t>
        </is>
      </c>
      <c r="E90" s="13" t="inlineStr">
        <is>
          <t>TIER_1B</t>
        </is>
      </c>
      <c r="F90" s="13" t="inlineStr">
        <is>
          <t>low</t>
        </is>
      </c>
      <c r="G90" s="13" t="inlineStr">
        <is>
          <t>Wave 2</t>
        </is>
      </c>
      <c r="H90" s="13" t="inlineStr">
        <is>
          <t>spider</t>
        </is>
      </c>
      <c r="I90" s="13" t="inlineStr">
        <is>
          <t>Generic VTEX spider (/api/catalog_system/pub/products/search) - fall back to the *.myvtex.com origin host</t>
        </is>
      </c>
      <c r="J90" s="13" t="inlineStr">
        <is>
          <t>E_vtex</t>
        </is>
      </c>
      <c r="K90" s="13" t="inlineStr">
        <is>
          <t>VTEX</t>
        </is>
      </c>
      <c r="L90" s="13" t="inlineStr">
        <is>
          <t>retailer_sku</t>
        </is>
      </c>
      <c r="M90" s="13" t="inlineStr">
        <is>
          <t>supermarket</t>
        </is>
      </c>
      <c r="N90" s="13" t="inlineStr">
        <is>
          <t>MXN</t>
        </is>
      </c>
      <c r="O90" s="13" t="n">
        <v>160</v>
      </c>
      <c r="P90" s="13" t="inlineStr">
        <is>
          <t>/api/catalog_system/pub/products/search</t>
        </is>
      </c>
      <c r="Q90" s="13" t="inlineStr">
        <is>
          <t>GET /api/catalog_system/pub/products/search?_from=0&amp;_to=9 -&gt; HTTP 206, 178KB JSON, 10 products. Sample: 'Tomate Saladet por kg' MXN 17.00 (items[0].sellers[0].commertialOffer.Price).</t>
        </is>
      </c>
      <c r="R90" s="13" t="b">
        <v>0</v>
      </c>
      <c r="S90" s="13" t="inlineStr">
        <is>
          <t>Full-line supermarket incl. fresh produce (Frutas y Verduras dept confirmed).</t>
        </is>
      </c>
      <c r="T90" s="13" t="inlineStr"/>
    </row>
    <row r="91">
      <c r="A91" s="13" t="inlineStr">
        <is>
          <t>lac</t>
        </is>
      </c>
      <c r="B91" s="13" t="inlineStr">
        <is>
          <t>guatemala</t>
        </is>
      </c>
      <c r="C91" s="13" t="inlineStr">
        <is>
          <t>Paiz</t>
        </is>
      </c>
      <c r="D91" s="13" t="inlineStr">
        <is>
          <t>https://www.paiz.com.gt/</t>
        </is>
      </c>
      <c r="E91" s="13" t="inlineStr">
        <is>
          <t>TIER_1B</t>
        </is>
      </c>
      <c r="F91" s="13" t="inlineStr">
        <is>
          <t>low</t>
        </is>
      </c>
      <c r="G91" s="13" t="inlineStr">
        <is>
          <t>Wave 2</t>
        </is>
      </c>
      <c r="H91" s="13" t="inlineStr">
        <is>
          <t>spider</t>
        </is>
      </c>
      <c r="I91" s="13" t="inlineStr">
        <is>
          <t>Generic VTEX spider (/api/catalog_system/pub/products/search) - fall back to the *.myvtex.com origin host</t>
        </is>
      </c>
      <c r="J91" s="13" t="inlineStr">
        <is>
          <t>E_vtex</t>
        </is>
      </c>
      <c r="K91" s="13" t="inlineStr">
        <is>
          <t>VTEX</t>
        </is>
      </c>
      <c r="L91" s="13" t="inlineStr">
        <is>
          <t>retailer_sku</t>
        </is>
      </c>
      <c r="M91" s="13" t="inlineStr">
        <is>
          <t>supermarket</t>
        </is>
      </c>
      <c r="N91" s="13" t="inlineStr">
        <is>
          <t>GTQ</t>
        </is>
      </c>
      <c r="O91" s="13" t="n">
        <v>160</v>
      </c>
      <c r="P91" s="13" t="inlineStr">
        <is>
          <t>/api/catalog_system/pub/products/search</t>
        </is>
      </c>
      <c r="Q91" s="13" t="inlineStr">
        <is>
          <t>GET /api/catalog_system/pub/products/search?_from=0&amp;_to=9 -&gt; HTTP 206, 203KB JSON. Sample: 'Separaditos Filete de Pechuga Pollo Rey - 5 lb' GTQ 198.00.</t>
        </is>
      </c>
      <c r="R91" s="13" t="b">
        <v>0</v>
      </c>
      <c r="S91" s="13" t="inlineStr">
        <is>
          <t>Walmart Centroamerica banner, full-line incl. meat.</t>
        </is>
      </c>
      <c r="T91" s="13" t="inlineStr"/>
    </row>
    <row r="92">
      <c r="A92" s="13" t="inlineStr">
        <is>
          <t>lac</t>
        </is>
      </c>
      <c r="B92" s="13" t="inlineStr">
        <is>
          <t>costa_rica</t>
        </is>
      </c>
      <c r="C92" s="13" t="inlineStr">
        <is>
          <t>Walmart / MasxMenos (Costa Rica)</t>
        </is>
      </c>
      <c r="D92" s="13" t="inlineStr">
        <is>
          <t>https://www.walmart.co.cr/</t>
        </is>
      </c>
      <c r="E92" s="13" t="inlineStr">
        <is>
          <t>TIER_1B</t>
        </is>
      </c>
      <c r="F92" s="13" t="inlineStr">
        <is>
          <t>low</t>
        </is>
      </c>
      <c r="G92" s="13" t="inlineStr">
        <is>
          <t>Wave 2</t>
        </is>
      </c>
      <c r="H92" s="13" t="inlineStr">
        <is>
          <t>spider</t>
        </is>
      </c>
      <c r="I92" s="13" t="inlineStr">
        <is>
          <t>Generic VTEX spider (/api/catalog_system/pub/products/search) - fall back to the *.myvtex.com origin host</t>
        </is>
      </c>
      <c r="J92" s="13" t="inlineStr">
        <is>
          <t>E_vtex</t>
        </is>
      </c>
      <c r="K92" s="13" t="inlineStr">
        <is>
          <t>VTEX</t>
        </is>
      </c>
      <c r="L92" s="13" t="inlineStr">
        <is>
          <t>retailer_sku</t>
        </is>
      </c>
      <c r="M92" s="13" t="inlineStr">
        <is>
          <t>supermarket</t>
        </is>
      </c>
      <c r="N92" s="13" t="inlineStr">
        <is>
          <t>CRC</t>
        </is>
      </c>
      <c r="O92" s="13" t="n">
        <v>160</v>
      </c>
      <c r="P92" s="13" t="inlineStr">
        <is>
          <t>/api/catalog_system/pub/products/search</t>
        </is>
      </c>
      <c r="Q92" s="13" t="inlineStr">
        <is>
          <t>GET /api/catalog_system/pub/products/search?_from=0&amp;_to=9 -&gt; HTTP 206, 189KB JSON. Sample: 'Huevo Gallina Precio Indicado Por Kilo Don Cristobal Marrón Cartón de 30 Uds' CRC 950.26. Same VTEX tenant/catalog also answers at masxmenos.cr (identical productId/price returned) — one probe covers both CR storefronts.</t>
        </is>
      </c>
      <c r="R92" s="13" t="b">
        <v>0</v>
      </c>
      <c r="S92" s="13" t="inlineStr">
        <is>
          <t>Walmart Centroamerica's CR banners (Walmart + MasxMenos) share one VTEX catalog.</t>
        </is>
      </c>
      <c r="T92" s="13" t="inlineStr"/>
    </row>
    <row r="93">
      <c r="A93" s="13" t="inlineStr">
        <is>
          <t>lac</t>
        </is>
      </c>
      <c r="B93" s="13" t="inlineStr">
        <is>
          <t>colombia</t>
        </is>
      </c>
      <c r="C93" s="13" t="inlineStr">
        <is>
          <t>Jumbo Colombia</t>
        </is>
      </c>
      <c r="D93" s="13" t="inlineStr">
        <is>
          <t>https://www.jumbocolombia.com/</t>
        </is>
      </c>
      <c r="E93" s="13" t="inlineStr">
        <is>
          <t>TIER_1B</t>
        </is>
      </c>
      <c r="F93" s="13" t="inlineStr">
        <is>
          <t>low</t>
        </is>
      </c>
      <c r="G93" s="13" t="inlineStr">
        <is>
          <t>Wave 2</t>
        </is>
      </c>
      <c r="H93" s="13" t="inlineStr">
        <is>
          <t>spider</t>
        </is>
      </c>
      <c r="I93" s="13" t="inlineStr">
        <is>
          <t>Generic VTEX spider (/api/catalog_system/pub/products/search) - fall back to the *.myvtex.com origin host</t>
        </is>
      </c>
      <c r="J93" s="13" t="inlineStr">
        <is>
          <t>E_vtex</t>
        </is>
      </c>
      <c r="K93" s="13" t="inlineStr">
        <is>
          <t>VTEX</t>
        </is>
      </c>
      <c r="L93" s="13" t="inlineStr">
        <is>
          <t>retailer_sku</t>
        </is>
      </c>
      <c r="M93" s="13" t="inlineStr">
        <is>
          <t>supermarket</t>
        </is>
      </c>
      <c r="N93" s="13" t="inlineStr">
        <is>
          <t>COP</t>
        </is>
      </c>
      <c r="O93" s="13" t="n">
        <v>155</v>
      </c>
      <c r="P93" s="13" t="inlineStr">
        <is>
          <t>/api/catalog_system/pub/products/search</t>
        </is>
      </c>
      <c r="Q93" s="13" t="inlineStr">
        <is>
          <t>GET https://www.jumbocolombia.com/api/catalog_system/pub/products/search?_from=0&amp;_to=9 -&gt; HTTP 206, 343098 bytes. Sample: 'Aceite Cuisine&amp;Co Mezcla Vegetal x3000Ml' COP 22890.0</t>
        </is>
      </c>
      <c r="R93" s="13" t="b">
        <v>0</v>
      </c>
      <c r="S93" s="13" t="inlineStr">
        <is>
          <t>Cencosud CO flagship hypermarket, full-line.</t>
        </is>
      </c>
      <c r="T93" s="13" t="inlineStr"/>
    </row>
    <row r="94">
      <c r="A94" s="13" t="inlineStr">
        <is>
          <t>lac</t>
        </is>
      </c>
      <c r="B94" s="13" t="inlineStr">
        <is>
          <t>honduras</t>
        </is>
      </c>
      <c r="C94" s="13" t="inlineStr">
        <is>
          <t>Walmart (Honduras)</t>
        </is>
      </c>
      <c r="D94" s="13" t="inlineStr">
        <is>
          <t>https://www.walmart.com.hn/</t>
        </is>
      </c>
      <c r="E94" s="13" t="inlineStr">
        <is>
          <t>TIER_1B</t>
        </is>
      </c>
      <c r="F94" s="13" t="inlineStr">
        <is>
          <t>low</t>
        </is>
      </c>
      <c r="G94" s="13" t="inlineStr">
        <is>
          <t>Wave 2</t>
        </is>
      </c>
      <c r="H94" s="13" t="inlineStr">
        <is>
          <t>spider</t>
        </is>
      </c>
      <c r="I94" s="13" t="inlineStr">
        <is>
          <t>Generic VTEX spider (/api/catalog_system/pub/products/search) - fall back to the *.myvtex.com origin host</t>
        </is>
      </c>
      <c r="J94" s="13" t="inlineStr">
        <is>
          <t>E_vtex</t>
        </is>
      </c>
      <c r="K94" s="13" t="inlineStr">
        <is>
          <t>VTEX</t>
        </is>
      </c>
      <c r="L94" s="13" t="inlineStr">
        <is>
          <t>retailer_sku</t>
        </is>
      </c>
      <c r="M94" s="13" t="inlineStr">
        <is>
          <t>supermarket</t>
        </is>
      </c>
      <c r="N94" s="13" t="inlineStr">
        <is>
          <t>HNL</t>
        </is>
      </c>
      <c r="O94" s="13" t="n">
        <v>155</v>
      </c>
      <c r="P94" s="13" t="inlineStr">
        <is>
          <t>/api/catalog_system/pub/products/search</t>
        </is>
      </c>
      <c r="Q94" s="13" t="inlineStr">
        <is>
          <t>GET /api/catalog_system/pub/products/search?_from=0&amp;_to=9 -&gt; HTTP 206, 142KB JSON. Sample: 'Banano Maduro Selección Especial - 3 Unidades Por Libra' HNL 10.00.</t>
        </is>
      </c>
      <c r="R94" s="13" t="b">
        <v>0</v>
      </c>
      <c r="S94" s="13" t="inlineStr">
        <is>
          <t>Full-line, fresh produce confirmed at index 0.</t>
        </is>
      </c>
      <c r="T94" s="13" t="inlineStr"/>
    </row>
    <row r="95">
      <c r="A95" s="13" t="inlineStr">
        <is>
          <t>lac</t>
        </is>
      </c>
      <c r="B95" s="13" t="inlineStr">
        <is>
          <t>el_salvador</t>
        </is>
      </c>
      <c r="C95" s="13" t="inlineStr">
        <is>
          <t>Walmart (El Salvador / Walmart Centroamerica)</t>
        </is>
      </c>
      <c r="D95" s="13" t="inlineStr">
        <is>
          <t>https://www.walmart.com.sv/</t>
        </is>
      </c>
      <c r="E95" s="13" t="inlineStr">
        <is>
          <t>TIER_1B</t>
        </is>
      </c>
      <c r="F95" s="13" t="inlineStr">
        <is>
          <t>low</t>
        </is>
      </c>
      <c r="G95" s="13" t="inlineStr">
        <is>
          <t>Wave 2</t>
        </is>
      </c>
      <c r="H95" s="13" t="inlineStr">
        <is>
          <t>spider</t>
        </is>
      </c>
      <c r="I95" s="13" t="inlineStr">
        <is>
          <t>Generic VTEX spider (/api/catalog_system/pub/products/search) - fall back to the *.myvtex.com origin host</t>
        </is>
      </c>
      <c r="J95" s="13" t="inlineStr">
        <is>
          <t>E_vtex</t>
        </is>
      </c>
      <c r="K95" s="13" t="inlineStr">
        <is>
          <t>VTEX</t>
        </is>
      </c>
      <c r="L95" s="13" t="inlineStr">
        <is>
          <t>retailer_sku</t>
        </is>
      </c>
      <c r="M95" s="13" t="inlineStr">
        <is>
          <t>supermarket</t>
        </is>
      </c>
      <c r="N95" s="13" t="inlineStr">
        <is>
          <t>USD</t>
        </is>
      </c>
      <c r="O95" s="13" t="n">
        <v>155</v>
      </c>
      <c r="P95" s="13" t="inlineStr">
        <is>
          <t>/api/catalog_system/pub/products/search</t>
        </is>
      </c>
      <c r="Q95" s="13" t="inlineStr">
        <is>
          <t>GET /api/catalog_system/pub/products/search?_from=0&amp;_to=9 -&gt; HTTP 206, 210KB JSON. Sample: 'Carne Molida Don Cristobal Especial - Precio Indicado Por Libra (454 g)' USD 3.70.</t>
        </is>
      </c>
      <c r="R95" s="13" t="b">
        <v>0</v>
      </c>
      <c r="S95" s="13" t="inlineStr">
        <is>
          <t>Full-line, meat confirmed. El Salvador uses USD.</t>
        </is>
      </c>
      <c r="T95" s="13" t="inlineStr"/>
    </row>
    <row r="96">
      <c r="A96" s="13" t="inlineStr">
        <is>
          <t>lac</t>
        </is>
      </c>
      <c r="B96" s="13" t="inlineStr">
        <is>
          <t>argentina</t>
        </is>
      </c>
      <c r="C96" s="13" t="inlineStr">
        <is>
          <t>Disco</t>
        </is>
      </c>
      <c r="D96" s="13" t="inlineStr">
        <is>
          <t>https://www.disco.com.ar/</t>
        </is>
      </c>
      <c r="E96" s="13" t="inlineStr">
        <is>
          <t>TIER_1B</t>
        </is>
      </c>
      <c r="F96" s="13" t="inlineStr">
        <is>
          <t>low</t>
        </is>
      </c>
      <c r="G96" s="13" t="inlineStr">
        <is>
          <t>Wave 2</t>
        </is>
      </c>
      <c r="H96" s="13" t="inlineStr">
        <is>
          <t>spider</t>
        </is>
      </c>
      <c r="I96" s="13" t="inlineStr">
        <is>
          <t>Generic VTEX spider (/api/catalog_system/pub/products/search) - fall back to the *.myvtex.com origin host</t>
        </is>
      </c>
      <c r="J96" s="13" t="inlineStr">
        <is>
          <t>E_vtex</t>
        </is>
      </c>
      <c r="K96" s="13" t="inlineStr">
        <is>
          <t>VTEX</t>
        </is>
      </c>
      <c r="L96" s="13" t="inlineStr">
        <is>
          <t>retailer_sku</t>
        </is>
      </c>
      <c r="M96" s="13" t="inlineStr">
        <is>
          <t>supermarket</t>
        </is>
      </c>
      <c r="N96" s="13" t="inlineStr">
        <is>
          <t>ARS</t>
        </is>
      </c>
      <c r="O96" s="13" t="n">
        <v>150</v>
      </c>
      <c r="P96" s="13" t="inlineStr">
        <is>
          <t>/api/catalog_system/pub/products/search</t>
        </is>
      </c>
      <c r="Q96" s="13" t="inlineStr">
        <is>
          <t>GET https://www.disco.com.ar/api/catalog_system/pub/products/search?_from=0&amp;_to=9 -&gt; HTTP 206, 240578 bytes. Sample: 'Cebolla Superior Por Kg' ARS 2599.0 (same catalog feed as Jumbo AR)</t>
        </is>
      </c>
      <c r="R96" s="13" t="b">
        <v>0</v>
      </c>
      <c r="S96" s="13" t="inlineStr">
        <is>
          <t>Same VTEX tenant/account family as Jumbo AR and Vea (Cencosud) -- high overlap, still a distinct banner/price point.</t>
        </is>
      </c>
      <c r="T96" s="13" t="inlineStr"/>
    </row>
    <row r="97">
      <c r="A97" s="13" t="inlineStr">
        <is>
          <t>lac</t>
        </is>
      </c>
      <c r="B97" s="13" t="inlineStr">
        <is>
          <t>brazil</t>
        </is>
      </c>
      <c r="C97" s="13" t="inlineStr">
        <is>
          <t>Zona Sul</t>
        </is>
      </c>
      <c r="D97" s="13" t="inlineStr">
        <is>
          <t>https://www.zonasul.com.br/</t>
        </is>
      </c>
      <c r="E97" s="13" t="inlineStr">
        <is>
          <t>TIER_1B</t>
        </is>
      </c>
      <c r="F97" s="13" t="inlineStr">
        <is>
          <t>low</t>
        </is>
      </c>
      <c r="G97" s="13" t="inlineStr">
        <is>
          <t>Wave 2</t>
        </is>
      </c>
      <c r="H97" s="13" t="inlineStr">
        <is>
          <t>spider</t>
        </is>
      </c>
      <c r="I97" s="13" t="inlineStr">
        <is>
          <t>Generic VTEX spider (/api/catalog_system/pub/products/search) - fall back to the *.myvtex.com origin host</t>
        </is>
      </c>
      <c r="J97" s="13" t="inlineStr">
        <is>
          <t>E_vtex</t>
        </is>
      </c>
      <c r="K97" s="13" t="inlineStr">
        <is>
          <t>VTEX</t>
        </is>
      </c>
      <c r="L97" s="13" t="inlineStr">
        <is>
          <t>retailer_sku</t>
        </is>
      </c>
      <c r="M97" s="13" t="inlineStr">
        <is>
          <t>supermarket</t>
        </is>
      </c>
      <c r="N97" s="13" t="inlineStr">
        <is>
          <t>BRL</t>
        </is>
      </c>
      <c r="O97" s="13" t="n">
        <v>150</v>
      </c>
      <c r="P97" s="13" t="inlineStr">
        <is>
          <t>/api/catalog_system/pub/products/search</t>
        </is>
      </c>
      <c r="Q97" s="13" t="inlineStr">
        <is>
          <t>GET https://www.zonasul.com.br/api/catalog_system/pub/products/search?_from=0&amp;_to=9 -&gt; HTTP 206, 160088 bytes. Sample: 'Arroz Branco Tio Joao 1kg' BRL 5.59</t>
        </is>
      </c>
      <c r="R97" s="13" t="b">
        <v>0</v>
      </c>
      <c r="S97" s="13" t="inlineStr">
        <is>
          <t>Premium full-line Rio de Janeiro chain (Grupo Bahamas).</t>
        </is>
      </c>
      <c r="T97" s="13" t="inlineStr"/>
    </row>
    <row r="98">
      <c r="A98" s="13" t="inlineStr">
        <is>
          <t>lac</t>
        </is>
      </c>
      <c r="B98" s="13" t="inlineStr">
        <is>
          <t>brazil</t>
        </is>
      </c>
      <c r="C98" s="13" t="inlineStr">
        <is>
          <t>Savegnago</t>
        </is>
      </c>
      <c r="D98" s="13" t="inlineStr">
        <is>
          <t>https://www.savegnago.com.br/</t>
        </is>
      </c>
      <c r="E98" s="13" t="inlineStr">
        <is>
          <t>TIER_1B</t>
        </is>
      </c>
      <c r="F98" s="13" t="inlineStr">
        <is>
          <t>low</t>
        </is>
      </c>
      <c r="G98" s="13" t="inlineStr">
        <is>
          <t>Wave 2</t>
        </is>
      </c>
      <c r="H98" s="13" t="inlineStr">
        <is>
          <t>spider</t>
        </is>
      </c>
      <c r="I98" s="13" t="inlineStr">
        <is>
          <t>Generic VTEX spider (/api/catalog_system/pub/products/search) - fall back to the *.myvtex.com origin host</t>
        </is>
      </c>
      <c r="J98" s="13" t="inlineStr">
        <is>
          <t>E_vtex</t>
        </is>
      </c>
      <c r="K98" s="13" t="inlineStr">
        <is>
          <t>VTEX</t>
        </is>
      </c>
      <c r="L98" s="13" t="inlineStr">
        <is>
          <t>retailer_sku</t>
        </is>
      </c>
      <c r="M98" s="13" t="inlineStr">
        <is>
          <t>supermarket</t>
        </is>
      </c>
      <c r="N98" s="13" t="inlineStr">
        <is>
          <t>BRL</t>
        </is>
      </c>
      <c r="O98" s="13" t="n">
        <v>150</v>
      </c>
      <c r="P98" s="13" t="inlineStr">
        <is>
          <t>/api/catalog_system/pub/products/search</t>
        </is>
      </c>
      <c r="Q98" s="13" t="inlineStr">
        <is>
          <t>GET https://www.savegnago.com.br/api/catalog_system/pub/products/search?_from=0&amp;_to=9 -&gt; HTTP 206, 193089 bytes. Sample: 'Tomate Italiano 1kg' BRL 4.45</t>
        </is>
      </c>
      <c r="R98" s="13" t="b">
        <v>0</v>
      </c>
      <c r="S98" s="13" t="inlineStr">
        <is>
          <t>Sao Paulo interior full-line chain, fresh produce confirmed.</t>
        </is>
      </c>
      <c r="T98" s="13" t="inlineStr"/>
    </row>
    <row r="99">
      <c r="A99" s="13" t="inlineStr">
        <is>
          <t>lac</t>
        </is>
      </c>
      <c r="B99" s="13" t="inlineStr">
        <is>
          <t>uruguay</t>
        </is>
      </c>
      <c r="C99" s="13" t="inlineStr">
        <is>
          <t>El Dorado</t>
        </is>
      </c>
      <c r="D99" s="13" t="inlineStr">
        <is>
          <t>https://www.eldorado.com.uy/</t>
        </is>
      </c>
      <c r="E99" s="13" t="inlineStr">
        <is>
          <t>TIER_1B</t>
        </is>
      </c>
      <c r="F99" s="13" t="inlineStr">
        <is>
          <t>low</t>
        </is>
      </c>
      <c r="G99" s="13" t="inlineStr">
        <is>
          <t>Wave 2</t>
        </is>
      </c>
      <c r="H99" s="13" t="inlineStr">
        <is>
          <t>spider</t>
        </is>
      </c>
      <c r="I99" s="13" t="inlineStr">
        <is>
          <t>Generic VTEX spider (/api/catalog_system/pub/products/search) - fall back to the *.myvtex.com origin host</t>
        </is>
      </c>
      <c r="J99" s="13" t="inlineStr">
        <is>
          <t>E_vtex</t>
        </is>
      </c>
      <c r="K99" s="13" t="inlineStr">
        <is>
          <t>VTEX</t>
        </is>
      </c>
      <c r="L99" s="13" t="inlineStr">
        <is>
          <t>retailer_sku</t>
        </is>
      </c>
      <c r="M99" s="13" t="inlineStr">
        <is>
          <t>supermarket</t>
        </is>
      </c>
      <c r="N99" s="13" t="inlineStr">
        <is>
          <t>UYU</t>
        </is>
      </c>
      <c r="O99" s="13" t="n">
        <v>150</v>
      </c>
      <c r="P99" s="13" t="inlineStr">
        <is>
          <t>/api/catalog_system/pub/products/search</t>
        </is>
      </c>
      <c r="Q99" s="13" t="inlineStr">
        <is>
          <t>GET https://www.eldorado.com.uy/api/catalog_system/pub/products/search?_from=0&amp;_to=9 -&gt; HTTP 206, 126380 bytes. Sample: 'Banana Boliviana Kg (3430)' UYU 79.0</t>
        </is>
      </c>
      <c r="R99" s="13" t="b">
        <v>0</v>
      </c>
      <c r="S99" s="13" t="inlineStr">
        <is>
          <t>Full-line Uruguayan chain, fresh produce confirmed (banana).</t>
        </is>
      </c>
      <c r="T99" s="13" t="inlineStr"/>
    </row>
    <row r="100">
      <c r="A100" s="13" t="inlineStr">
        <is>
          <t>lac</t>
        </is>
      </c>
      <c r="B100" s="13" t="inlineStr">
        <is>
          <t>guatemala</t>
        </is>
      </c>
      <c r="C100" s="13" t="inlineStr">
        <is>
          <t>La Torre</t>
        </is>
      </c>
      <c r="D100" s="13" t="inlineStr">
        <is>
          <t>https://www.latorre.com.gt/</t>
        </is>
      </c>
      <c r="E100" s="13" t="inlineStr">
        <is>
          <t>TIER_1B</t>
        </is>
      </c>
      <c r="F100" s="13" t="inlineStr">
        <is>
          <t>low</t>
        </is>
      </c>
      <c r="G100" s="13" t="inlineStr">
        <is>
          <t>Wave 2</t>
        </is>
      </c>
      <c r="H100" s="13" t="inlineStr">
        <is>
          <t>spider</t>
        </is>
      </c>
      <c r="I100" s="13" t="inlineStr">
        <is>
          <t>Generic VTEX spider (/api/catalog_system/pub/products/search) - fall back to the *.myvtex.com origin host</t>
        </is>
      </c>
      <c r="J100" s="13" t="inlineStr">
        <is>
          <t>E_vtex</t>
        </is>
      </c>
      <c r="K100" s="13" t="inlineStr">
        <is>
          <t>VTEX</t>
        </is>
      </c>
      <c r="L100" s="13" t="inlineStr">
        <is>
          <t>retailer_sku</t>
        </is>
      </c>
      <c r="M100" s="13" t="inlineStr">
        <is>
          <t>supermarket</t>
        </is>
      </c>
      <c r="N100" s="13" t="inlineStr">
        <is>
          <t>GTQ</t>
        </is>
      </c>
      <c r="O100" s="13" t="n">
        <v>150</v>
      </c>
      <c r="P100" s="13" t="inlineStr">
        <is>
          <t>/api/catalog_system/pub/products/search</t>
        </is>
      </c>
      <c r="Q100" s="13" t="inlineStr">
        <is>
          <t>GET /api/catalog_system/pub/products/search?_from=0&amp;_to=9 -&gt; HTTP 206, 73.6KB JSON. Sample: 'Huevos Blancos Fátima' GTQ 46.40.</t>
        </is>
      </c>
      <c r="R100" s="13" t="b">
        <v>0</v>
      </c>
      <c r="S100" s="13" t="inlineStr">
        <is>
          <t>Premium GT chain, full-line.</t>
        </is>
      </c>
      <c r="T100" s="13" t="inlineStr"/>
    </row>
    <row r="101">
      <c r="A101" s="13" t="inlineStr">
        <is>
          <t>lac</t>
        </is>
      </c>
      <c r="B101" s="13" t="inlineStr">
        <is>
          <t>nicaragua</t>
        </is>
      </c>
      <c r="C101" s="13" t="inlineStr">
        <is>
          <t>Walmart (Nicaragua)</t>
        </is>
      </c>
      <c r="D101" s="13" t="inlineStr">
        <is>
          <t>https://www.walmart.com.ni/</t>
        </is>
      </c>
      <c r="E101" s="13" t="inlineStr">
        <is>
          <t>TIER_1B</t>
        </is>
      </c>
      <c r="F101" s="13" t="inlineStr">
        <is>
          <t>low</t>
        </is>
      </c>
      <c r="G101" s="13" t="inlineStr">
        <is>
          <t>Wave 2</t>
        </is>
      </c>
      <c r="H101" s="13" t="inlineStr">
        <is>
          <t>spider</t>
        </is>
      </c>
      <c r="I101" s="13" t="inlineStr">
        <is>
          <t>Generic VTEX spider (/api/catalog_system/pub/products/search) - fall back to the *.myvtex.com origin host</t>
        </is>
      </c>
      <c r="J101" s="13" t="inlineStr">
        <is>
          <t>E_vtex</t>
        </is>
      </c>
      <c r="K101" s="13" t="inlineStr">
        <is>
          <t>VTEX</t>
        </is>
      </c>
      <c r="L101" s="13" t="inlineStr">
        <is>
          <t>retailer_sku</t>
        </is>
      </c>
      <c r="M101" s="13" t="inlineStr">
        <is>
          <t>supermarket</t>
        </is>
      </c>
      <c r="N101" s="13" t="inlineStr">
        <is>
          <t>NIO</t>
        </is>
      </c>
      <c r="O101" s="13" t="n">
        <v>150</v>
      </c>
      <c r="P101" s="13" t="inlineStr">
        <is>
          <t>/api/catalog_system/pub/products/search</t>
        </is>
      </c>
      <c r="Q101" s="13" t="inlineStr">
        <is>
          <t>GET /api/catalog_system/pub/products/search?_from=0&amp;_to=9 -&gt; HTTP 206, 180KB JSON. Sample: 'Tomate Criollo Hortifruti 4 unidades por libra' NIO 40.00.</t>
        </is>
      </c>
      <c r="R101" s="13" t="b">
        <v>0</v>
      </c>
      <c r="S101" s="13" t="inlineStr">
        <is>
          <t>Full-line, fresh produce confirmed.</t>
        </is>
      </c>
      <c r="T101" s="13" t="inlineStr"/>
    </row>
    <row r="102">
      <c r="A102" s="13" t="inlineStr">
        <is>
          <t>lac</t>
        </is>
      </c>
      <c r="B102" s="13" t="inlineStr">
        <is>
          <t>brazil</t>
        </is>
      </c>
      <c r="C102" s="13" t="inlineStr">
        <is>
          <t>Mambo</t>
        </is>
      </c>
      <c r="D102" s="13" t="inlineStr">
        <is>
          <t>https://www.mambo.com.br/</t>
        </is>
      </c>
      <c r="E102" s="13" t="inlineStr">
        <is>
          <t>TIER_1B</t>
        </is>
      </c>
      <c r="F102" s="13" t="inlineStr">
        <is>
          <t>low</t>
        </is>
      </c>
      <c r="G102" s="13" t="inlineStr">
        <is>
          <t>Wave 2</t>
        </is>
      </c>
      <c r="H102" s="13" t="inlineStr">
        <is>
          <t>spider</t>
        </is>
      </c>
      <c r="I102" s="13" t="inlineStr">
        <is>
          <t>Generic VTEX spider (/api/catalog_system/pub/products/search) - fall back to the *.myvtex.com origin host</t>
        </is>
      </c>
      <c r="J102" s="13" t="inlineStr">
        <is>
          <t>E_vtex</t>
        </is>
      </c>
      <c r="K102" s="13" t="inlineStr">
        <is>
          <t>VTEX</t>
        </is>
      </c>
      <c r="L102" s="13" t="inlineStr">
        <is>
          <t>retailer_sku</t>
        </is>
      </c>
      <c r="M102" s="13" t="inlineStr">
        <is>
          <t>supermarket</t>
        </is>
      </c>
      <c r="N102" s="13" t="inlineStr">
        <is>
          <t>BRL</t>
        </is>
      </c>
      <c r="O102" s="13" t="n">
        <v>140</v>
      </c>
      <c r="P102" s="13" t="inlineStr">
        <is>
          <t>/api/catalog_system/pub/products/search</t>
        </is>
      </c>
      <c r="Q102" s="13" t="inlineStr">
        <is>
          <t>GET https://www.mambo.com.br/api/catalog_system/pub/products/search?_from=0&amp;_to=9 -&gt; HTTP 206, 108831 bytes. Sample: 'Cebola Nacional Kg' BRL 8.99</t>
        </is>
      </c>
      <c r="R102" s="13" t="b">
        <v>0</v>
      </c>
      <c r="S102" s="13" t="inlineStr">
        <is>
          <t>Sao Paulo interior full-line chain, fresh produce confirmed.</t>
        </is>
      </c>
      <c r="T102" s="13" t="inlineStr"/>
    </row>
    <row r="103">
      <c r="A103" s="13" t="inlineStr">
        <is>
          <t>lac</t>
        </is>
      </c>
      <c r="B103" s="13" t="inlineStr">
        <is>
          <t>nicaragua</t>
        </is>
      </c>
      <c r="C103" s="13" t="inlineStr">
        <is>
          <t>La Union</t>
        </is>
      </c>
      <c r="D103" s="13" t="inlineStr">
        <is>
          <t>https://www.launion.com.ni/</t>
        </is>
      </c>
      <c r="E103" s="13" t="inlineStr">
        <is>
          <t>TIER_1B</t>
        </is>
      </c>
      <c r="F103" s="13" t="inlineStr">
        <is>
          <t>low</t>
        </is>
      </c>
      <c r="G103" s="13" t="inlineStr">
        <is>
          <t>Wave 2</t>
        </is>
      </c>
      <c r="H103" s="13" t="inlineStr">
        <is>
          <t>spider</t>
        </is>
      </c>
      <c r="I103" s="13" t="inlineStr">
        <is>
          <t>Generic VTEX spider (/api/catalog_system/pub/products/search) - fall back to the *.myvtex.com origin host</t>
        </is>
      </c>
      <c r="J103" s="13" t="inlineStr">
        <is>
          <t>E_vtex</t>
        </is>
      </c>
      <c r="K103" s="13" t="inlineStr">
        <is>
          <t>VTEX</t>
        </is>
      </c>
      <c r="L103" s="13" t="inlineStr">
        <is>
          <t>retailer_sku</t>
        </is>
      </c>
      <c r="M103" s="13" t="inlineStr">
        <is>
          <t>supermarket</t>
        </is>
      </c>
      <c r="N103" s="13" t="inlineStr">
        <is>
          <t>NIO</t>
        </is>
      </c>
      <c r="O103" s="13" t="n">
        <v>140</v>
      </c>
      <c r="P103" s="13" t="inlineStr">
        <is>
          <t>/api/catalog_system/pub/products/search</t>
        </is>
      </c>
      <c r="Q103" s="13" t="inlineStr">
        <is>
          <t>GET /api/catalog_system/pub/products/search?_from=0&amp;_to=9 -&gt; HTTP 206, 171KB JSON. Sample: 'Filete Pechuga Pollo Sin Piel - 1Lb' NIO 132.00.</t>
        </is>
      </c>
      <c r="R103" s="13" t="b">
        <v>0</v>
      </c>
      <c r="S103" s="13" t="inlineStr">
        <is>
          <t>Second independent VTEX tenant for NI (not the Walmart-CA one), meat confirmed.</t>
        </is>
      </c>
      <c r="T103" s="13" t="inlineStr"/>
    </row>
    <row r="104">
      <c r="A104" s="13" t="inlineStr">
        <is>
          <t>lac</t>
        </is>
      </c>
      <c r="B104" s="13" t="inlineStr">
        <is>
          <t>argentina</t>
        </is>
      </c>
      <c r="C104" s="13" t="inlineStr">
        <is>
          <t>Vea</t>
        </is>
      </c>
      <c r="D104" s="13" t="inlineStr">
        <is>
          <t>https://www.vea.com.ar/</t>
        </is>
      </c>
      <c r="E104" s="13" t="inlineStr">
        <is>
          <t>TIER_1B</t>
        </is>
      </c>
      <c r="F104" s="13" t="inlineStr">
        <is>
          <t>low</t>
        </is>
      </c>
      <c r="G104" s="13" t="inlineStr">
        <is>
          <t>Wave 2</t>
        </is>
      </c>
      <c r="H104" s="13" t="inlineStr">
        <is>
          <t>spider</t>
        </is>
      </c>
      <c r="I104" s="13" t="inlineStr">
        <is>
          <t>Generic VTEX spider (/api/catalog_system/pub/products/search) - fall back to the *.myvtex.com origin host</t>
        </is>
      </c>
      <c r="J104" s="13" t="inlineStr">
        <is>
          <t>E_vtex</t>
        </is>
      </c>
      <c r="K104" s="13" t="inlineStr">
        <is>
          <t>VTEX</t>
        </is>
      </c>
      <c r="L104" s="13" t="inlineStr">
        <is>
          <t>retailer_sku</t>
        </is>
      </c>
      <c r="M104" s="13" t="inlineStr">
        <is>
          <t>supermarket</t>
        </is>
      </c>
      <c r="N104" s="13" t="inlineStr">
        <is>
          <t>ARS</t>
        </is>
      </c>
      <c r="O104" s="13" t="n">
        <v>130</v>
      </c>
      <c r="P104" s="13" t="inlineStr">
        <is>
          <t>/api/catalog_system/pub/products/search</t>
        </is>
      </c>
      <c r="Q104" s="13" t="inlineStr">
        <is>
          <t>GET https://www.vea.com.ar/api/catalog_system/pub/products/search?_from=0&amp;_to=9 -&gt; HTTP 206, 313466 bytes. Sample: 'Azucar 1 Kg Azucel' ARS 1390.0</t>
        </is>
      </c>
      <c r="R104" s="13" t="b">
        <v>0</v>
      </c>
      <c r="S104" s="13" t="inlineStr">
        <is>
          <t>Cencosud discount banner, same tenant as Jumbo/Disco AR.</t>
        </is>
      </c>
      <c r="T104" s="13" t="inlineStr"/>
    </row>
    <row r="105">
      <c r="A105" s="13" t="inlineStr">
        <is>
          <t>lac</t>
        </is>
      </c>
      <c r="B105" s="13" t="inlineStr">
        <is>
          <t>colombia</t>
        </is>
      </c>
      <c r="C105" s="13" t="inlineStr">
        <is>
          <t>Euro Supermercados</t>
        </is>
      </c>
      <c r="D105" s="13" t="inlineStr">
        <is>
          <t>https://www.eurosupermercados.com.co/</t>
        </is>
      </c>
      <c r="E105" s="13" t="inlineStr">
        <is>
          <t>TIER_1B</t>
        </is>
      </c>
      <c r="F105" s="13" t="inlineStr">
        <is>
          <t>low</t>
        </is>
      </c>
      <c r="G105" s="13" t="inlineStr">
        <is>
          <t>Wave 2</t>
        </is>
      </c>
      <c r="H105" s="13" t="inlineStr">
        <is>
          <t>spider</t>
        </is>
      </c>
      <c r="I105" s="13" t="inlineStr">
        <is>
          <t>Generic VTEX spider (/api/catalog_system/pub/products/search) - fall back to the *.myvtex.com origin host</t>
        </is>
      </c>
      <c r="J105" s="13" t="inlineStr">
        <is>
          <t>E_vtex</t>
        </is>
      </c>
      <c r="K105" s="13" t="inlineStr">
        <is>
          <t>VTEX</t>
        </is>
      </c>
      <c r="L105" s="13" t="inlineStr">
        <is>
          <t>retailer_sku</t>
        </is>
      </c>
      <c r="M105" s="13" t="inlineStr">
        <is>
          <t>supermarket</t>
        </is>
      </c>
      <c r="N105" s="13" t="inlineStr">
        <is>
          <t>COP</t>
        </is>
      </c>
      <c r="O105" s="13" t="n">
        <v>130</v>
      </c>
      <c r="P105" s="13" t="inlineStr">
        <is>
          <t>/api/catalog_system/pub/products/search</t>
        </is>
      </c>
      <c r="Q105" s="13" t="inlineStr">
        <is>
          <t>GET https://www.eurosupermercados.com.co/api/catalog_system/pub/products/search?_from=0&amp;_to=9 -&gt; HTTP 206, 635311 bytes. Sample: 'BOLSA PLASTICA' COP 200.0</t>
        </is>
      </c>
      <c r="R105" s="13" t="b">
        <v>0</v>
      </c>
      <c r="S105" s="13" t="inlineStr">
        <is>
          <t>Mid-tier Colombian grocery chain with home delivery.</t>
        </is>
      </c>
      <c r="T105" s="13" t="inlineStr"/>
    </row>
    <row r="106">
      <c r="A106" s="13" t="inlineStr">
        <is>
          <t>lac</t>
        </is>
      </c>
      <c r="B106" s="13" t="inlineStr">
        <is>
          <t>guatemala</t>
        </is>
      </c>
      <c r="C106" s="13" t="inlineStr">
        <is>
          <t>MaxiDespensa</t>
        </is>
      </c>
      <c r="D106" s="13" t="inlineStr">
        <is>
          <t>https://www.maxidespensa.com.gt/</t>
        </is>
      </c>
      <c r="E106" s="13" t="inlineStr">
        <is>
          <t>TIER_1B</t>
        </is>
      </c>
      <c r="F106" s="13" t="inlineStr">
        <is>
          <t>low</t>
        </is>
      </c>
      <c r="G106" s="13" t="inlineStr">
        <is>
          <t>Wave 2</t>
        </is>
      </c>
      <c r="H106" s="13" t="inlineStr">
        <is>
          <t>spider</t>
        </is>
      </c>
      <c r="I106" s="13" t="inlineStr">
        <is>
          <t>Generic VTEX spider (/api/catalog_system/pub/products/search) - fall back to the *.myvtex.com origin host</t>
        </is>
      </c>
      <c r="J106" s="13" t="inlineStr">
        <is>
          <t>E_vtex</t>
        </is>
      </c>
      <c r="K106" s="13" t="inlineStr">
        <is>
          <t>VTEX</t>
        </is>
      </c>
      <c r="L106" s="13" t="inlineStr">
        <is>
          <t>retailer_sku</t>
        </is>
      </c>
      <c r="M106" s="13" t="inlineStr">
        <is>
          <t>supermarket</t>
        </is>
      </c>
      <c r="N106" s="13" t="inlineStr">
        <is>
          <t>GTQ</t>
        </is>
      </c>
      <c r="O106" s="13" t="n">
        <v>130</v>
      </c>
      <c r="P106" s="13" t="inlineStr">
        <is>
          <t>/api/catalog_system/pub/products/search</t>
        </is>
      </c>
      <c r="Q106" s="13" t="inlineStr">
        <is>
          <t>GET /api/catalog_system/pub/products/search?_from=0&amp;_to=9 -&gt; HTTP 206, 175KB JSON. Sample: 'Tomate De Cocina En Red 3 Libras' GTQ 5.40.</t>
        </is>
      </c>
      <c r="R106" s="13" t="b">
        <v>0</v>
      </c>
      <c r="S106" s="13" t="inlineStr">
        <is>
          <t>Bodega-format Walmart banner, fresh produce confirmed.</t>
        </is>
      </c>
      <c r="T106" s="13" t="inlineStr"/>
    </row>
    <row r="107">
      <c r="A107" s="13" t="inlineStr">
        <is>
          <t>lac</t>
        </is>
      </c>
      <c r="B107" s="13" t="inlineStr">
        <is>
          <t>argentina</t>
        </is>
      </c>
      <c r="C107" s="13" t="inlineStr">
        <is>
          <t>Dia Argentina</t>
        </is>
      </c>
      <c r="D107" s="13" t="inlineStr">
        <is>
          <t>https://diaonline.supermercadosdia.com.ar/</t>
        </is>
      </c>
      <c r="E107" s="13" t="inlineStr">
        <is>
          <t>TIER_1B</t>
        </is>
      </c>
      <c r="F107" s="13" t="inlineStr">
        <is>
          <t>low</t>
        </is>
      </c>
      <c r="G107" s="13" t="inlineStr">
        <is>
          <t>Wave 2</t>
        </is>
      </c>
      <c r="H107" s="13" t="inlineStr">
        <is>
          <t>spider</t>
        </is>
      </c>
      <c r="I107" s="13" t="inlineStr">
        <is>
          <t>Generic VTEX spider (/api/catalog_system/pub/products/search) - fall back to the *.myvtex.com origin host</t>
        </is>
      </c>
      <c r="J107" s="13" t="inlineStr">
        <is>
          <t>E_vtex</t>
        </is>
      </c>
      <c r="K107" s="13" t="inlineStr">
        <is>
          <t>VTEX</t>
        </is>
      </c>
      <c r="L107" s="13" t="inlineStr">
        <is>
          <t>retailer_sku</t>
        </is>
      </c>
      <c r="M107" s="13" t="inlineStr">
        <is>
          <t>supermarket</t>
        </is>
      </c>
      <c r="N107" s="13" t="inlineStr">
        <is>
          <t>ARS</t>
        </is>
      </c>
      <c r="O107" s="13" t="n">
        <v>90</v>
      </c>
      <c r="P107" s="13" t="inlineStr">
        <is>
          <t>/api/catalog_system/pub/products/search</t>
        </is>
      </c>
      <c r="Q107" s="13" t="inlineStr">
        <is>
          <t>GET https://diaonline.supermercadosdia.com.ar/api/catalog_system/pub/products/search?_from=0&amp;_to=9 -&gt; HTTP 206, 173254 bytes. Sample: 'Azucar Plus DIA Comun tipo A 1 Kg.' ARS 1389.0</t>
        </is>
      </c>
      <c r="R107" s="13" t="b">
        <v>0</v>
      </c>
      <c r="S107" s="13" t="inlineStr">
        <is>
          <t>Discount/proximity format, packaged-goods heavy, thinner fresh section.</t>
        </is>
      </c>
      <c r="T107" s="13" t="inlineStr"/>
    </row>
    <row r="108">
      <c r="A108" s="13" t="inlineStr">
        <is>
          <t>ssa</t>
        </is>
      </c>
      <c r="B108" s="13" t="inlineStr">
        <is>
          <t>senegal</t>
        </is>
      </c>
      <c r="C108" s="13" t="inlineStr">
        <is>
          <t>Auchan Senegal</t>
        </is>
      </c>
      <c r="D108" s="13" t="inlineStr">
        <is>
          <t>https://www.auchan.sn/</t>
        </is>
      </c>
      <c r="E108" s="13" t="inlineStr">
        <is>
          <t>TIER_1A</t>
        </is>
      </c>
      <c r="F108" s="13" t="inlineStr">
        <is>
          <t>low</t>
        </is>
      </c>
      <c r="G108" s="13" t="inlineStr">
        <is>
          <t>Wave 2</t>
        </is>
      </c>
      <c r="H108" s="13" t="inlineStr">
        <is>
          <t>spider</t>
        </is>
      </c>
      <c r="I108" s="13" t="inlineStr">
        <is>
          <t>Generic PrestaShop spider</t>
        </is>
      </c>
      <c r="J108" s="13" t="inlineStr">
        <is>
          <t>F_prestashop</t>
        </is>
      </c>
      <c r="K108" s="13" t="inlineStr">
        <is>
          <t>PrestaShop (Elementor-themed)</t>
        </is>
      </c>
      <c r="L108" s="13" t="inlineStr">
        <is>
          <t>retailer_sku</t>
        </is>
      </c>
      <c r="M108" s="13" t="inlineStr">
        <is>
          <t>supermarket</t>
        </is>
      </c>
      <c r="N108" s="13" t="inlineStr">
        <is>
          <t>XOF</t>
        </is>
      </c>
      <c r="O108" s="13" t="n">
        <v>130</v>
      </c>
      <c r="P108" s="13" t="inlineStr">
        <is>
          <t>SSR HTML (Elementor product cards); PrestaShop cart backend at /panier</t>
        </is>
      </c>
      <c r="Q108" s="13" t="inlineStr">
        <is>
          <t>GET / -&gt; 200, 300KB. Elementor-styled frontend proxying a PrestaShop cart backend (ps_shoppingcart ajax module visible). Real product cards with prices: 'Auchan glace mini gourmands 8 batonnets chocolat 258g' -&gt; 3 290 CFA; 'AUCHAN CONE VAN CHOC X6 415,2G' -&gt; 2 250 CFA; data-price-amount confirms integer FCFA, no minor-unit division needed.</t>
        </is>
      </c>
      <c r="R108" s="13" t="b">
        <v>1</v>
      </c>
      <c r="S108" s="13" t="inlineStr">
        <is>
          <t>Modern-retail anchor with a DRIVE operation across multiple Dakar stores; homepage sample skewed frozen desserts but the operation is full-line per prior research.</t>
        </is>
      </c>
      <c r="T108" s="13" t="inlineStr"/>
    </row>
    <row r="109">
      <c r="A109" s="13" t="inlineStr">
        <is>
          <t>lac</t>
        </is>
      </c>
      <c r="B109" s="13" t="inlineStr">
        <is>
          <t>guyana</t>
        </is>
      </c>
      <c r="C109" s="13" t="inlineStr">
        <is>
          <t>gtPlaza</t>
        </is>
      </c>
      <c r="D109" s="13" t="inlineStr">
        <is>
          <t>https://gtplaza.com/</t>
        </is>
      </c>
      <c r="E109" s="13" t="inlineStr">
        <is>
          <t>TIER_1A</t>
        </is>
      </c>
      <c r="F109" s="13" t="inlineStr">
        <is>
          <t>low</t>
        </is>
      </c>
      <c r="G109" s="13" t="inlineStr">
        <is>
          <t>Wave 2</t>
        </is>
      </c>
      <c r="H109" s="13" t="inlineStr">
        <is>
          <t>spider</t>
        </is>
      </c>
      <c r="I109" s="13" t="inlineStr">
        <is>
          <t>Generic PrestaShop spider</t>
        </is>
      </c>
      <c r="J109" s="13" t="inlineStr">
        <is>
          <t>F_prestashop</t>
        </is>
      </c>
      <c r="K109" s="13" t="inlineStr">
        <is>
          <t>PrestaShop</t>
        </is>
      </c>
      <c r="L109" s="13" t="inlineStr">
        <is>
          <t>retailer_sku</t>
        </is>
      </c>
      <c r="M109" s="13" t="inlineStr">
        <is>
          <t>supermarket</t>
        </is>
      </c>
      <c r="N109" s="13" t="inlineStr">
        <is>
          <t>GYD</t>
        </is>
      </c>
      <c r="O109" s="13" t="n">
        <v>130</v>
      </c>
      <c r="P109" s="13" t="inlineStr">
        <is>
          <t>SSR HTML PrestaShop category pages (/{id}-{slug})</t>
        </is>
      </c>
      <c r="Q109" s="13" t="inlineStr">
        <is>
          <t>curl 200/34KB on a PrestaShop category page (/15-tea-coffee-and-cocoa-products). Schema.org-labelled price blocks: 'Ovaltine 300g Refill Pack' &lt;meta itemprop=priceCurrency content=GYD&gt; $860.00.</t>
        </is>
      </c>
      <c r="R109" s="13" t="b">
        <v>1</v>
      </c>
      <c r="S109" s="13" t="inlineStr">
        <is>
          <t>CSV listed platform as Custom; actually PrestaShop with clean itemprop-tagged pricing.</t>
        </is>
      </c>
      <c r="T109" s="13" t="inlineStr"/>
    </row>
    <row r="110">
      <c r="A110" s="13" t="inlineStr">
        <is>
          <t>ssa</t>
        </is>
      </c>
      <c r="B110" s="13" t="inlineStr">
        <is>
          <t>senegal</t>
        </is>
      </c>
      <c r="C110" s="13" t="inlineStr">
        <is>
          <t>Sakanal</t>
        </is>
      </c>
      <c r="D110" s="13" t="inlineStr">
        <is>
          <t>https://sakanal.sn/fr/111-epicerie</t>
        </is>
      </c>
      <c r="E110" s="13" t="inlineStr">
        <is>
          <t>TIER_1A</t>
        </is>
      </c>
      <c r="F110" s="13" t="inlineStr">
        <is>
          <t>low</t>
        </is>
      </c>
      <c r="G110" s="13" t="inlineStr">
        <is>
          <t>Wave 2</t>
        </is>
      </c>
      <c r="H110" s="13" t="inlineStr">
        <is>
          <t>spider</t>
        </is>
      </c>
      <c r="I110" s="13" t="inlineStr">
        <is>
          <t>Generic PrestaShop spider</t>
        </is>
      </c>
      <c r="J110" s="13" t="inlineStr">
        <is>
          <t>F_prestashop</t>
        </is>
      </c>
      <c r="K110" s="13" t="inlineStr">
        <is>
          <t>PrestaShop</t>
        </is>
      </c>
      <c r="L110" s="13" t="inlineStr">
        <is>
          <t>retailer_sku</t>
        </is>
      </c>
      <c r="M110" s="13" t="inlineStr">
        <is>
          <t>supermarket</t>
        </is>
      </c>
      <c r="N110" s="13" t="inlineStr">
        <is>
          <t>XOF</t>
        </is>
      </c>
      <c r="O110" s="13" t="n">
        <v>90</v>
      </c>
      <c r="P110" s="13" t="inlineStr">
        <is>
          <t>/fr/{id}-{slug} paginated category HTML</t>
        </is>
      </c>
      <c r="Q110" s="13" t="inlineStr">
        <is>
          <t>GET /fr/111-epicerie -&gt; 200, 573KB HTML, PrestaShop fingerprint confirmed. Sample prices found: '160 FCFA', '7 752 FCFA', '7 996 FCFA'.</t>
        </is>
      </c>
      <c r="R110" s="13" t="b">
        <v>1</v>
      </c>
      <c r="S110" s="13" t="inlineStr">
        <is>
          <t>Epicerie (dry-goods) category only; three price nodes per line (TTC/cash/card) per prior research -- capture all three, not just TTC headline.</t>
        </is>
      </c>
      <c r="T110" s="13" t="inlineStr"/>
    </row>
    <row r="111">
      <c r="A111" s="13" t="inlineStr">
        <is>
          <t>ssa</t>
        </is>
      </c>
      <c r="B111" s="13" t="inlineStr">
        <is>
          <t>mauritania</t>
        </is>
      </c>
      <c r="C111" s="13" t="inlineStr">
        <is>
          <t>Supermarche Galerie TATA</t>
        </is>
      </c>
      <c r="D111" s="13" t="inlineStr">
        <is>
          <t>http://galerietata.com/</t>
        </is>
      </c>
      <c r="E111" s="13" t="inlineStr">
        <is>
          <t>TIER_1A</t>
        </is>
      </c>
      <c r="F111" s="13" t="inlineStr">
        <is>
          <t>low</t>
        </is>
      </c>
      <c r="G111" s="13" t="inlineStr">
        <is>
          <t>Wave 2</t>
        </is>
      </c>
      <c r="H111" s="13" t="inlineStr">
        <is>
          <t>spider</t>
        </is>
      </c>
      <c r="I111" s="13" t="inlineStr">
        <is>
          <t>Generic PrestaShop spider</t>
        </is>
      </c>
      <c r="J111" s="13" t="inlineStr">
        <is>
          <t>F_prestashop</t>
        </is>
      </c>
      <c r="K111" s="13" t="inlineStr">
        <is>
          <t>PrestaShop</t>
        </is>
      </c>
      <c r="L111" s="13" t="inlineStr">
        <is>
          <t>retailer_sku</t>
        </is>
      </c>
      <c r="M111" s="13" t="inlineStr">
        <is>
          <t>supermarket</t>
        </is>
      </c>
      <c r="N111" s="13" t="inlineStr">
        <is>
          <t>MRU</t>
        </is>
      </c>
      <c r="O111" s="13" t="n">
        <v>90</v>
      </c>
      <c r="P111" s="13" t="inlineStr">
        <is>
          <t>PrestaShop SSR category HTML</t>
        </is>
      </c>
      <c r="Q111" s="13" t="inlineStr">
        <is>
          <t>GET / -&gt; 200, 241KB, PrestaShop fingerprint confirmed + real MRU prices: '0,00MRU', '170,00MRU' x2 in raw HTML.</t>
        </is>
      </c>
      <c r="R111" s="13" t="b">
        <v>1</v>
      </c>
      <c r="S111" s="13" t="inlineStr">
        <is>
          <t>Full grocery catalogue per prior research.</t>
        </is>
      </c>
      <c r="T111" s="13" t="inlineStr"/>
    </row>
    <row r="112">
      <c r="A112" s="13" t="inlineStr">
        <is>
          <t>ssa</t>
        </is>
      </c>
      <c r="B112" s="13" t="inlineStr">
        <is>
          <t>madagascar</t>
        </is>
      </c>
      <c r="C112" s="13" t="inlineStr">
        <is>
          <t>Supermarche.mg (rebrand)</t>
        </is>
      </c>
      <c r="D112" s="13" t="inlineStr">
        <is>
          <t>https://supermarche.mg/</t>
        </is>
      </c>
      <c r="E112" s="13" t="inlineStr">
        <is>
          <t>TIER_1A</t>
        </is>
      </c>
      <c r="F112" s="13" t="inlineStr">
        <is>
          <t>low</t>
        </is>
      </c>
      <c r="G112" s="13" t="inlineStr">
        <is>
          <t>Wave 2</t>
        </is>
      </c>
      <c r="H112" s="13" t="inlineStr">
        <is>
          <t>spider</t>
        </is>
      </c>
      <c r="I112" s="13" t="inlineStr">
        <is>
          <t>Generic PrestaShop spider</t>
        </is>
      </c>
      <c r="J112" s="13" t="inlineStr">
        <is>
          <t>F_prestashop</t>
        </is>
      </c>
      <c r="K112" s="13" t="inlineStr">
        <is>
          <t>PrestaShop</t>
        </is>
      </c>
      <c r="L112" s="13" t="inlineStr">
        <is>
          <t>retailer_sku</t>
        </is>
      </c>
      <c r="M112" s="13" t="inlineStr">
        <is>
          <t>supermarket</t>
        </is>
      </c>
      <c r="N112" s="13" t="inlineStr">
        <is>
          <t>MGA</t>
        </is>
      </c>
      <c r="O112" s="13" t="n">
        <v>80</v>
      </c>
      <c r="P112" s="13" t="inlineStr">
        <is>
          <t>PrestaShop SSR category HTML at mescourses.mg</t>
        </is>
      </c>
      <c r="Q112" s="13" t="inlineStr">
        <is>
          <t>https://supermarche.mg/ 302-redirects to https://mescourses.mg/fr/ (HTTPS cert on the old domain doesn't match, hence a first probe returned curl error 60 -- resolved with -kL to follow the redirect). Landing page confirms PrestaShop fingerprint + real MGA prices ('300 Ar', '333 Ar', '923 Ar', '612 Ar') + class='price' / 'price_content' nodes.</t>
        </is>
      </c>
      <c r="R112" s="13" t="b">
        <v>1</v>
      </c>
      <c r="S112" s="13" t="inlineStr">
        <is>
          <t>REBRAND not in the CSV: supermarche.mg is now mescourses.mg (same investor-backed Antananarivo operator per domain continuity). Onboard under the new domain.</t>
        </is>
      </c>
      <c r="T112" s="13" t="inlineStr"/>
    </row>
    <row r="113">
      <c r="A113" s="13" t="inlineStr">
        <is>
          <t>ssa</t>
        </is>
      </c>
      <c r="B113" s="13" t="inlineStr">
        <is>
          <t>senegal</t>
        </is>
      </c>
      <c r="C113" s="13" t="inlineStr">
        <is>
          <t>Diarle</t>
        </is>
      </c>
      <c r="D113" s="13" t="inlineStr">
        <is>
          <t>https://diarle.sn/fr/</t>
        </is>
      </c>
      <c r="E113" s="13" t="inlineStr">
        <is>
          <t>TIER_1B</t>
        </is>
      </c>
      <c r="F113" s="13" t="inlineStr">
        <is>
          <t>low</t>
        </is>
      </c>
      <c r="G113" s="13" t="inlineStr">
        <is>
          <t>Wave 2</t>
        </is>
      </c>
      <c r="H113" s="13" t="inlineStr">
        <is>
          <t>spider</t>
        </is>
      </c>
      <c r="I113" s="13" t="inlineStr">
        <is>
          <t>Generic PrestaShop spider</t>
        </is>
      </c>
      <c r="J113" s="13" t="inlineStr">
        <is>
          <t>F_prestashop</t>
        </is>
      </c>
      <c r="K113" s="13" t="inlineStr">
        <is>
          <t>PrestaShop</t>
        </is>
      </c>
      <c r="L113" s="13" t="inlineStr">
        <is>
          <t>retailer_sku</t>
        </is>
      </c>
      <c r="M113" s="13" t="inlineStr">
        <is>
          <t>supermarket</t>
        </is>
      </c>
      <c r="N113" s="13" t="inlineStr">
        <is>
          <t>XOF</t>
        </is>
      </c>
      <c r="O113" s="13" t="n">
        <v>60</v>
      </c>
      <c r="P113" s="13" t="inlineStr">
        <is>
          <t>PrestaShop category HTML (exact category id not resolved this pass)</t>
        </is>
      </c>
      <c r="Q113" s="13" t="inlineStr">
        <is>
          <t>GET / -&gt; 200, 77KB, PrestaShop fingerprint confirmed. /fr/epicerie 404'd (wrong slug guess); same platform/operator pattern as Sakanal per prior research ('same parser as Sakanal') so treated as confirmed by platform analogy rather than re-derived from scratch.</t>
        </is>
      </c>
      <c r="R113" s="13" t="b">
        <v>1</v>
      </c>
      <c r="S113" s="13" t="inlineStr">
        <is>
          <t>Needs one pass to find the real category id (my /epicerie guess 404'd) before scaffolding.</t>
        </is>
      </c>
      <c r="T113" s="13" t="inlineStr"/>
    </row>
    <row r="114">
      <c r="A114" s="13" t="inlineStr">
        <is>
          <t>ssa</t>
        </is>
      </c>
      <c r="B114" s="13" t="inlineStr">
        <is>
          <t>madagascar</t>
        </is>
      </c>
      <c r="C114" s="13" t="inlineStr">
        <is>
          <t>KIBO Madagascar</t>
        </is>
      </c>
      <c r="D114" s="13" t="inlineStr">
        <is>
          <t>https://www.kibo.mg/</t>
        </is>
      </c>
      <c r="E114" s="13" t="inlineStr">
        <is>
          <t>TIER_2</t>
        </is>
      </c>
      <c r="F114" s="13" t="inlineStr">
        <is>
          <t>low</t>
        </is>
      </c>
      <c r="G114" s="13" t="inlineStr">
        <is>
          <t>Wave 2</t>
        </is>
      </c>
      <c r="H114" s="13" t="inlineStr">
        <is>
          <t>spider</t>
        </is>
      </c>
      <c r="I114" s="13" t="inlineStr">
        <is>
          <t>Generic PrestaShop spider</t>
        </is>
      </c>
      <c r="J114" s="13" t="inlineStr">
        <is>
          <t>F_prestashop</t>
        </is>
      </c>
      <c r="K114" s="13" t="inlineStr">
        <is>
          <t>PrestaShop</t>
        </is>
      </c>
      <c r="L114" s="13" t="inlineStr">
        <is>
          <t>retailer_sku</t>
        </is>
      </c>
      <c r="M114" s="13" t="inlineStr">
        <is>
          <t>supermarket</t>
        </is>
      </c>
      <c r="N114" s="13" t="inlineStr">
        <is>
          <t>MGA</t>
        </is>
      </c>
      <c r="O114" s="13" t="n">
        <v>20</v>
      </c>
      <c r="P114" s="13" t="inlineStr">
        <is>
          <t>unresolved -- PrestaShop platform confirmed but real category id not found this pass</t>
        </is>
      </c>
      <c r="Q114" s="13" t="inlineStr">
        <is>
          <t>GET / -&gt; 200, 64KB, PrestaShop fingerprint confirmed. Guessed category id /216-epicerie -&gt; 200 but no Ar/MGA price pattern matched either page.</t>
        </is>
      </c>
      <c r="R114" s="13" t="b">
        <v>1</v>
      </c>
      <c r="S114" s="13" t="inlineStr">
        <is>
          <t>Cash-and-carry with drive+delivery per prior research, 1,000+ own-brand Top Budget lines -- platform is the easiest in the whole shard to scaffold once the real category tree is mapped.</t>
        </is>
      </c>
      <c r="T114" s="13" t="inlineStr"/>
    </row>
    <row r="115">
      <c r="A115" s="13" t="inlineStr">
        <is>
          <t>eca</t>
        </is>
      </c>
      <c r="B115" s="13" t="inlineStr">
        <is>
          <t>bulgaria</t>
        </is>
      </c>
      <c r="C115" s="13" t="inlineStr">
        <is>
          <t>Ogi Market</t>
        </is>
      </c>
      <c r="D115" s="13" t="inlineStr">
        <is>
          <t>https://ogimarket.bg/</t>
        </is>
      </c>
      <c r="E115" s="13" t="inlineStr">
        <is>
          <t>TIER_1A</t>
        </is>
      </c>
      <c r="F115" s="13" t="inlineStr">
        <is>
          <t>low</t>
        </is>
      </c>
      <c r="G115" s="13" t="inlineStr">
        <is>
          <t>Wave 2</t>
        </is>
      </c>
      <c r="H115" s="13" t="inlineStr">
        <is>
          <t>spider</t>
        </is>
      </c>
      <c r="I115" s="13" t="inlineStr">
        <is>
          <t>Generic OpenCart spider</t>
        </is>
      </c>
      <c r="J115" s="13" t="inlineStr">
        <is>
          <t>G_opencart</t>
        </is>
      </c>
      <c r="K115" s="13" t="inlineStr">
        <is>
          <t>OpenCart</t>
        </is>
      </c>
      <c r="L115" s="13" t="inlineStr">
        <is>
          <t>retailer_sku</t>
        </is>
      </c>
      <c r="M115" s="13" t="inlineStr">
        <is>
          <t>supermarket</t>
        </is>
      </c>
      <c r="N115" s="13" t="inlineStr">
        <is>
          <t>EUR/BGN</t>
        </is>
      </c>
      <c r="O115" s="13" t="n">
        <v>130</v>
      </c>
      <c r="P115" s="13" t="inlineStr">
        <is>
          <t>SSR product pages, SEO slugs</t>
        </is>
      </c>
      <c r="Q115" s="13" t="inlineStr">
        <is>
          <t>GET /cedeno-kiselo-mlqko-900gr -&gt; 200, 462KB. og:title 'Cedeno kiselo mlyako - Eklekton - 10% - 900gr.' (strained yogurt), span.price-normal prices visible e.g. 0,21€ / 1,64€ / 3,05€. OpenCart-style SEO URLs, image/cache path pattern confirms OpenCart.</t>
        </is>
      </c>
      <c r="R115" s="13" t="b">
        <v>1</v>
      </c>
      <c r="S115" s="13" t="inlineStr">
        <is>
          <t>Personal-shopper model per CSV; dairy, confectionery, cured meat categories seen.</t>
        </is>
      </c>
      <c r="T115" s="13" t="inlineStr"/>
    </row>
    <row r="116">
      <c r="A116" s="13" t="inlineStr">
        <is>
          <t>eca</t>
        </is>
      </c>
      <c r="B116" s="13" t="inlineStr">
        <is>
          <t>hungary</t>
        </is>
      </c>
      <c r="C116" s="13" t="inlineStr">
        <is>
          <t>Coop Online</t>
        </is>
      </c>
      <c r="D116" s="13" t="inlineStr">
        <is>
          <t>https://www.coop.hu/</t>
        </is>
      </c>
      <c r="E116" s="13" t="inlineStr">
        <is>
          <t>TIER_1B</t>
        </is>
      </c>
      <c r="F116" s="13" t="inlineStr">
        <is>
          <t>low</t>
        </is>
      </c>
      <c r="G116" s="13" t="inlineStr">
        <is>
          <t>Wave 2</t>
        </is>
      </c>
      <c r="H116" s="13" t="inlineStr">
        <is>
          <t>spider</t>
        </is>
      </c>
      <c r="I116" s="13" t="inlineStr">
        <is>
          <t>Generic OpenCart spider</t>
        </is>
      </c>
      <c r="J116" s="13" t="inlineStr">
        <is>
          <t>G_opencart</t>
        </is>
      </c>
      <c r="K116" s="13" t="inlineStr">
        <is>
          <t>OpenCart</t>
        </is>
      </c>
      <c r="L116" s="13" t="inlineStr">
        <is>
          <t>retailer_sku</t>
        </is>
      </c>
      <c r="M116" s="13" t="inlineStr">
        <is>
          <t>supermarket</t>
        </is>
      </c>
      <c r="N116" s="13" t="inlineStr">
        <is>
          <t>HUF</t>
        </is>
      </c>
      <c r="O116" s="13" t="n">
        <v>70</v>
      </c>
      <c r="P116" s="13" t="inlineStr">
        <is>
          <t>vasarlas.coop.hu/index.php?route=product/list, route=product/product&amp;product_id=&lt;id&gt;</t>
        </is>
      </c>
      <c r="Q116" s="13" t="inlineStr">
        <is>
          <t>GET https://vasarlas.coop.hu/index.php?route=product/list&amp;special=1 -&gt; 200, 173KB. OpenCart URL pattern confirmed (route=product/list). 40 unique product_id links; HUF prices in raw HTML (669 Ft, 399 Ft, 599 Ft, ...).</t>
        </is>
      </c>
      <c r="R116" s="13" t="b">
        <v>1</v>
      </c>
      <c r="S116" s="13" t="inlineStr">
        <is>
          <t>Shelf-stable focus only per CSV (no fresh) -- reaches rural Hungary but the basket is not comparable to a full supermarket.</t>
        </is>
      </c>
      <c r="T116" s="13" t="inlineStr"/>
    </row>
    <row r="117">
      <c r="A117" s="13" t="inlineStr">
        <is>
          <t>eca</t>
        </is>
      </c>
      <c r="B117" s="13" t="inlineStr">
        <is>
          <t>kosovo</t>
        </is>
      </c>
      <c r="C117" s="13" t="inlineStr">
        <is>
          <t>Blejeseshkoj</t>
        </is>
      </c>
      <c r="D117" s="13" t="inlineStr">
        <is>
          <t>https://blejeseshkoj.com/</t>
        </is>
      </c>
      <c r="E117" s="13" t="inlineStr">
        <is>
          <t>TIER_1A</t>
        </is>
      </c>
      <c r="F117" s="13" t="inlineStr">
        <is>
          <t>low</t>
        </is>
      </c>
      <c r="G117" s="13" t="inlineStr">
        <is>
          <t>Wave 2</t>
        </is>
      </c>
      <c r="H117" s="13" t="inlineStr">
        <is>
          <t>spider</t>
        </is>
      </c>
      <c r="I117" s="13" t="inlineStr">
        <is>
          <t>Generic OpenCart spider</t>
        </is>
      </c>
      <c r="J117" s="13" t="inlineStr">
        <is>
          <t>G_opencart</t>
        </is>
      </c>
      <c r="K117" s="13" t="inlineStr">
        <is>
          <t>OpenCart</t>
        </is>
      </c>
      <c r="L117" s="13" t="inlineStr">
        <is>
          <t>retailer_sku</t>
        </is>
      </c>
      <c r="M117" s="13" t="inlineStr">
        <is>
          <t>supermarket</t>
        </is>
      </c>
      <c r="N117" s="13" t="inlineStr">
        <is>
          <t>EUR</t>
        </is>
      </c>
      <c r="O117" s="13" t="n">
        <v>70</v>
      </c>
      <c r="P117" s="13" t="inlineStr">
        <is>
          <t>index.php?route=product/product&amp;product_id=&lt;id&gt;</t>
        </is>
      </c>
      <c r="Q117" s="13" t="inlineStr">
        <is>
          <t>GET / -&gt; 200, 380KB. OpenCart route pattern confirmed (index.php?route=product/product&amp;product_id=3623). Real product+price: 'Torku helva kakao-500g', price-new 2.99€ (was 3.79€).</t>
        </is>
      </c>
      <c r="R117" s="13" t="b">
        <v>1</v>
      </c>
      <c r="S117" s="13" t="inlineStr">
        <is>
          <t>Prizren-only, 10 EUR minimum, small catalogue per CSV -- confirmed live but expect a limited SKU count.</t>
        </is>
      </c>
      <c r="T117" s="13" t="inlineStr"/>
    </row>
    <row r="118">
      <c r="A118" s="13" t="inlineStr">
        <is>
          <t>menaap</t>
        </is>
      </c>
      <c r="B118" s="13" t="inlineStr">
        <is>
          <t>libya</t>
        </is>
      </c>
      <c r="C118" s="13" t="inlineStr">
        <is>
          <t>Al Mustawda (big.ly)</t>
        </is>
      </c>
      <c r="D118" s="13" t="inlineStr">
        <is>
          <t>https://big.ly/food</t>
        </is>
      </c>
      <c r="E118" s="13" t="inlineStr">
        <is>
          <t>TIER_1A</t>
        </is>
      </c>
      <c r="F118" s="13" t="inlineStr">
        <is>
          <t>low</t>
        </is>
      </c>
      <c r="G118" s="13" t="inlineStr">
        <is>
          <t>Wave 2</t>
        </is>
      </c>
      <c r="H118" s="13" t="inlineStr">
        <is>
          <t>spider</t>
        </is>
      </c>
      <c r="I118" s="13" t="inlineStr">
        <is>
          <t>Generic OpenCart spider</t>
        </is>
      </c>
      <c r="J118" s="13" t="inlineStr">
        <is>
          <t>G_opencart</t>
        </is>
      </c>
      <c r="K118" s="13" t="inlineStr">
        <is>
          <t>OpenCart</t>
        </is>
      </c>
      <c r="L118" s="13" t="inlineStr">
        <is>
          <t>retailer_sku</t>
        </is>
      </c>
      <c r="M118" s="13" t="inlineStr">
        <is>
          <t>supermarket</t>
        </is>
      </c>
      <c r="N118" s="13" t="inlineStr">
        <is>
          <t>LYD</t>
        </is>
      </c>
      <c r="O118" s="13" t="n">
        <v>20</v>
      </c>
      <c r="P118" s="13" t="inlineStr">
        <is>
          <t>/food (OpenCart category route, SSR)</t>
        </is>
      </c>
      <c r="Q118" s="13" t="inlineStr">
        <is>
          <t>curl GET https://big.ly/food -&gt; 200, 208KB HTML. OpenCart platform (theme 'renoxa'). Dedicated /food category (h2 title 'طعام'). Product cards parse cleanly: 'باذنجان' (Eggplant) 6.00 د.ل, 'بازلاء خضراء' (Green peas) 6.00 د.ل, 'بصل أحمر جاف' (Dry red onion) 3.50 د.ل.</t>
        </is>
      </c>
      <c r="R118" s="13" t="b">
        <v>1</v>
      </c>
      <c r="S118" s="13" t="inlineStr">
        <is>
          <t>Sample was the fresh-produce subcategory only; '20,000+ completed orders' per CSV note suggests a larger catalog behind /food's 'subcategories' menu than what I paginated. Re-probe to enumerate all food subcategories before scaffolding.</t>
        </is>
      </c>
      <c r="T118" s="13" t="inlineStr"/>
    </row>
    <row r="119">
      <c r="A119" s="13" t="inlineStr">
        <is>
          <t>sar</t>
        </is>
      </c>
      <c r="B119" s="13" t="inlineStr">
        <is>
          <t>sri_lanka</t>
        </is>
      </c>
      <c r="C119" s="13" t="inlineStr">
        <is>
          <t>Carkeells</t>
        </is>
      </c>
      <c r="D119" s="13" t="inlineStr">
        <is>
          <t>https://carkeells.lk/en-gb/catalog/grocery</t>
        </is>
      </c>
      <c r="E119" s="13" t="inlineStr">
        <is>
          <t>TIER_1A</t>
        </is>
      </c>
      <c r="F119" s="13" t="inlineStr">
        <is>
          <t>low</t>
        </is>
      </c>
      <c r="G119" s="13" t="inlineStr">
        <is>
          <t>Wave 2</t>
        </is>
      </c>
      <c r="H119" s="13" t="inlineStr">
        <is>
          <t>spider</t>
        </is>
      </c>
      <c r="I119" s="13" t="inlineStr">
        <is>
          <t>Generic OpenCart spider</t>
        </is>
      </c>
      <c r="J119" s="13" t="inlineStr">
        <is>
          <t>G_opencart</t>
        </is>
      </c>
      <c r="K119" s="13" t="inlineStr">
        <is>
          <t>OpenCart</t>
        </is>
      </c>
      <c r="L119" s="13" t="inlineStr">
        <is>
          <t>retailer_sku</t>
        </is>
      </c>
      <c r="M119" s="13" t="inlineStr">
        <is>
          <t>pharmacy</t>
        </is>
      </c>
      <c r="N119" s="13" t="inlineStr">
        <is>
          <t>LKR</t>
        </is>
      </c>
      <c r="O119" s="13" t="n">
        <v>15</v>
      </c>
      <c r="P119" s="13" t="inlineStr"/>
      <c r="Q119" s="13" t="inlineStr">
        <is>
          <t>curl 200/21-64KB, plain OpenCart SSR HTML, `opencart` string present in body. GET /en-gb/catalog/grocery/food-products -&gt; 200/64KB with real prices: Rs.525.00, Rs.375.00, Rs.595.00, Rs.160.00 etc (excluding a Rs.0.00 placeholder row). Confirmed as shard's own AI_NOTES suggested: a small grocery/beverages tail (2 subcategories) bolted onto a cosmetics/health/haircare-dominant OpenCart store.</t>
        </is>
      </c>
      <c r="R119" s="13" t="b">
        <v>1</v>
      </c>
      <c r="S119" s="13" t="inlineStr">
        <is>
          <t>Real but tiny (~55 SKUs total across grocery+beverages per shard notes). Low priority -- everything it carries is already covered more deeply by Glomark/OnlineKade/SPAR2U.</t>
        </is>
      </c>
      <c r="T119" s="13" t="inlineStr"/>
    </row>
    <row r="120">
      <c r="A120" s="13" t="inlineStr">
        <is>
          <t>lac</t>
        </is>
      </c>
      <c r="B120" s="13" t="inlineStr">
        <is>
          <t>jamaica</t>
        </is>
      </c>
      <c r="C120" s="13" t="inlineStr">
        <is>
          <t>CoolMarket Groceries</t>
        </is>
      </c>
      <c r="D120" s="13" t="inlineStr">
        <is>
          <t>https://www.coolmarket.com/groceries.html</t>
        </is>
      </c>
      <c r="E120" s="13" t="inlineStr">
        <is>
          <t>TIER_1A</t>
        </is>
      </c>
      <c r="F120" s="13" t="inlineStr">
        <is>
          <t>low</t>
        </is>
      </c>
      <c r="G120" s="13" t="inlineStr">
        <is>
          <t>Wave 2</t>
        </is>
      </c>
      <c r="H120" s="13" t="inlineStr">
        <is>
          <t>spider</t>
        </is>
      </c>
      <c r="I120" s="13" t="inlineStr">
        <is>
          <t>Generic Magento/GraphQL spider (incl. the mcprod.&lt;domain&gt; pattern)</t>
        </is>
      </c>
      <c r="J120" s="13" t="inlineStr">
        <is>
          <t>H_magento</t>
        </is>
      </c>
      <c r="K120" s="13" t="inlineStr">
        <is>
          <t>Magento</t>
        </is>
      </c>
      <c r="L120" s="13" t="inlineStr">
        <is>
          <t>retailer_sku</t>
        </is>
      </c>
      <c r="M120" s="13" t="inlineStr">
        <is>
          <t>supermarket</t>
        </is>
      </c>
      <c r="N120" s="13" t="inlineStr">
        <is>
          <t>JMD</t>
        </is>
      </c>
      <c r="O120" s="13" t="n">
        <v>170</v>
      </c>
      <c r="P120" s="13" t="inlineStr">
        <is>
          <t>SSR HTML Magento listing/PDP (data-price-amount attrs)</t>
        </is>
      </c>
      <c r="Q120" s="13" t="inlineStr">
        <is>
          <t>curl 200/4.04MB (Magento). data-price-amount attributes throughout: 'NESTLÉ Kit Kat 4 Bar Milk Chocolate 45g' JMD 204.00. 591 product-item-link matches on this single paginated listing page, consistent with CSV's '1,386 grocery items' claim.</t>
        </is>
      </c>
      <c r="R120" s="13" t="b">
        <v>1</v>
      </c>
      <c r="S120" s="13" t="inlineStr">
        <is>
          <t>CSV called this the best Jamaica source; confirmed — deep grocery catalog with clean Magento price markup.</t>
        </is>
      </c>
      <c r="T120" s="13" t="inlineStr"/>
    </row>
    <row r="121">
      <c r="A121" s="13" t="inlineStr">
        <is>
          <t>menaap</t>
        </is>
      </c>
      <c r="B121" s="13" t="inlineStr">
        <is>
          <t>egypt</t>
        </is>
      </c>
      <c r="C121" s="13" t="inlineStr">
        <is>
          <t>Spinneys Egypt</t>
        </is>
      </c>
      <c r="D121" s="13" t="inlineStr">
        <is>
          <t>https://spinneys-egypt.com/</t>
        </is>
      </c>
      <c r="E121" s="13" t="inlineStr">
        <is>
          <t>TIER_1B</t>
        </is>
      </c>
      <c r="F121" s="13" t="inlineStr">
        <is>
          <t>low</t>
        </is>
      </c>
      <c r="G121" s="13" t="inlineStr">
        <is>
          <t>Wave 2</t>
        </is>
      </c>
      <c r="H121" s="13" t="inlineStr">
        <is>
          <t>spider</t>
        </is>
      </c>
      <c r="I121" s="13" t="inlineStr">
        <is>
          <t>Generic Magento/GraphQL spider (incl. the mcprod.&lt;domain&gt; pattern)</t>
        </is>
      </c>
      <c r="J121" s="13" t="inlineStr">
        <is>
          <t>H_magento</t>
        </is>
      </c>
      <c r="K121" s="13" t="inlineStr">
        <is>
          <t>Nuxt + Magento 2 (mcprod.&lt;domain&gt; backend pattern)</t>
        </is>
      </c>
      <c r="L121" s="13" t="inlineStr">
        <is>
          <t>retailer_sku</t>
        </is>
      </c>
      <c r="M121" s="13" t="inlineStr">
        <is>
          <t>supermarket</t>
        </is>
      </c>
      <c r="N121" s="13" t="inlineStr">
        <is>
          <t>EGP</t>
        </is>
      </c>
      <c r="O121" s="13" t="n">
        <v>165</v>
      </c>
      <c r="P121" s="13" t="inlineStr">
        <is>
          <t>https://mcprod.spinneys-egypt.com/graphql (Magento GraphQL, POST, no auth)</t>
        </is>
      </c>
      <c r="Q121" s="13" t="inlineStr">
        <is>
          <t>curl homepage -&gt; 200, Nuxt fingerprint, config.apiURL 'https://spinneys-egypt.com/graphql' (direct proxy 400s on POST body, use mcprod subdomain instead). Direct curl POST to https://mcprod.spinneys-egypt.com/graphql (search:'rice') -&gt; 200 clean JSON: 'El Shorouk Rice - 5 Kg' EGP 163.95, 'Dayma Rice - 1K' EGP 45.25.</t>
        </is>
      </c>
      <c r="R121" s="13" t="b">
        <v>1</v>
      </c>
      <c r="S121" s="13" t="inlineStr">
        <is>
          <t>Upper-mid chain, third confirmed 'mcprod.&lt;retailer-domain&gt;/graphql' Magento site in Egypt (with Hyper One, Seoudi) -- strong signal of a shared storefront vendor to check for more Egyptian retailers on this stack. Categories incl. Fruits&amp;Vegetables(916), Meat&amp;Poultry(135), Seafood&amp;Fish(137), Cheese/Dairy/Eggs(1844), Bakery&amp;Bread(460), Frozen(998).</t>
        </is>
      </c>
      <c r="T121" s="13" t="inlineStr"/>
    </row>
    <row r="122">
      <c r="A122" s="13" t="inlineStr">
        <is>
          <t>menaap</t>
        </is>
      </c>
      <c r="B122" s="13" t="inlineStr">
        <is>
          <t>tunisia</t>
        </is>
      </c>
      <c r="C122" s="13" t="inlineStr">
        <is>
          <t>Carrefour Tunisia</t>
        </is>
      </c>
      <c r="D122" s="13" t="inlineStr">
        <is>
          <t>https://www.carrefour.tn/</t>
        </is>
      </c>
      <c r="E122" s="13" t="inlineStr">
        <is>
          <t>TIER_1B</t>
        </is>
      </c>
      <c r="F122" s="13" t="inlineStr">
        <is>
          <t>low</t>
        </is>
      </c>
      <c r="G122" s="13" t="inlineStr">
        <is>
          <t>Wave 2</t>
        </is>
      </c>
      <c r="H122" s="13" t="inlineStr">
        <is>
          <t>spider</t>
        </is>
      </c>
      <c r="I122" s="13" t="inlineStr">
        <is>
          <t>Generic Magento/GraphQL spider (incl. the mcprod.&lt;domain&gt; pattern)</t>
        </is>
      </c>
      <c r="J122" s="13" t="inlineStr">
        <is>
          <t>H_magento</t>
        </is>
      </c>
      <c r="K122" s="13" t="inlineStr">
        <is>
          <t>Magento 2</t>
        </is>
      </c>
      <c r="L122" s="13" t="inlineStr">
        <is>
          <t>retailer_sku</t>
        </is>
      </c>
      <c r="M122" s="13" t="inlineStr">
        <is>
          <t>supermarket</t>
        </is>
      </c>
      <c r="N122" s="13" t="inlineStr">
        <is>
          <t>TND</t>
        </is>
      </c>
      <c r="O122" s="13" t="n">
        <v>165</v>
      </c>
      <c r="P122" s="13" t="inlineStr">
        <is>
          <t>/graphql (Magento GraphQL, POST, no auth)</t>
        </is>
      </c>
      <c r="Q122" s="13" t="inlineStr">
        <is>
          <t>curl homepage -&gt; 200 but tiny 8.8KB SPA shell (data-media-backend=back.carrefour.tn). Playwright network trace found same-origin GraphQL traffic at /graphql. Direct curl POST to https://www.carrefour.tn/graphql (search:'riz') -&gt; 200 clean JSON, NO Cloudflare/Akamai block: 'Riz Djerbien' TND 19.20, 'Riz Basmati' TND 8.49. categoryList query confirms full hypermarket taxonomy.</t>
        </is>
      </c>
      <c r="R122" s="13" t="b">
        <v>0</v>
      </c>
      <c r="S122" s="13" t="inlineStr">
        <is>
          <t>Found via local operator search, not CSV. Distinct backend/operator from Carrefour Egypt's MAF/Akamai stack -- not WAF-hardened at all. Categories: Le marché(1082, likely fresh produce/meat/fish), Épicerie Salée(1292), Épicerie Sucrée(1654), Crèmerie et Produits Laitiers(671), Surgelés(312), Boissons(335). Strongest single Tunisia source found.</t>
        </is>
      </c>
      <c r="T122" s="13" t="inlineStr"/>
    </row>
    <row r="123">
      <c r="A123" s="13" t="inlineStr">
        <is>
          <t>menaap</t>
        </is>
      </c>
      <c r="B123" s="13" t="inlineStr">
        <is>
          <t>egypt</t>
        </is>
      </c>
      <c r="C123" s="13" t="inlineStr">
        <is>
          <t>Seoudi Market</t>
        </is>
      </c>
      <c r="D123" s="13" t="inlineStr">
        <is>
          <t>https://seoudisupermarket.com/</t>
        </is>
      </c>
      <c r="E123" s="13" t="inlineStr">
        <is>
          <t>TIER_1B</t>
        </is>
      </c>
      <c r="F123" s="13" t="inlineStr">
        <is>
          <t>low</t>
        </is>
      </c>
      <c r="G123" s="13" t="inlineStr">
        <is>
          <t>Wave 2</t>
        </is>
      </c>
      <c r="H123" s="13" t="inlineStr">
        <is>
          <t>spider</t>
        </is>
      </c>
      <c r="I123" s="13" t="inlineStr">
        <is>
          <t>Generic Magento/GraphQL spider (incl. the mcprod.&lt;domain&gt; pattern)</t>
        </is>
      </c>
      <c r="J123" s="13" t="inlineStr">
        <is>
          <t>H_magento</t>
        </is>
      </c>
      <c r="K123" s="13" t="inlineStr">
        <is>
          <t>Nuxt + Magento 2 (mcprod.&lt;domain&gt; backend pattern)</t>
        </is>
      </c>
      <c r="L123" s="13" t="inlineStr">
        <is>
          <t>retailer_sku</t>
        </is>
      </c>
      <c r="M123" s="13" t="inlineStr">
        <is>
          <t>supermarket</t>
        </is>
      </c>
      <c r="N123" s="13" t="inlineStr">
        <is>
          <t>EGP</t>
        </is>
      </c>
      <c r="O123" s="13" t="n">
        <v>160</v>
      </c>
      <c r="P123" s="13" t="inlineStr">
        <is>
          <t>https://mcprod.seoudisupermarket.com/graphql (Magento GraphQL, POST, no auth)</t>
        </is>
      </c>
      <c r="Q123" s="13" t="inlineStr">
        <is>
          <t>curl homepage -&gt; 200, Magento+Nuxt fingerprint. Page source contains apiURL 'https://mcprod.seoudisupermarket.com/graphql'. Direct curl POST (search:'rice') -&gt; 200 clean JSON: 'Al Doha Beyti Rice, Easy Rice Edition - 320g' EGP 25.75, 'Rehana Rice - 1kg' EGP 40.45.</t>
        </is>
      </c>
      <c r="R123" s="13" t="b">
        <v>1</v>
      </c>
      <c r="S123" s="13" t="inlineStr">
        <is>
          <t>Established Cairo chain. Categories incl. Fruits&amp;Vegetables(616), Meat/Poultry/Fishery(216), Dairy/Eggs/Cheese(1385), Cold Cuts&amp;Deli(240), Bakery(471), Frozen(1146), Hot Drinks(1093). Same vendor pattern as Hyper One -- likely a shared Egyptian Magento/Nuxt storefront agency worth checking for other Egyptian retailers.</t>
        </is>
      </c>
      <c r="T123" s="13" t="inlineStr"/>
    </row>
    <row r="124">
      <c r="A124" s="13" t="inlineStr">
        <is>
          <t>menaap</t>
        </is>
      </c>
      <c r="B124" s="13" t="inlineStr">
        <is>
          <t>egypt</t>
        </is>
      </c>
      <c r="C124" s="13" t="inlineStr">
        <is>
          <t>Hyper One</t>
        </is>
      </c>
      <c r="D124" s="13" t="inlineStr">
        <is>
          <t>https://www.hyperone.com.eg/</t>
        </is>
      </c>
      <c r="E124" s="13" t="inlineStr">
        <is>
          <t>TIER_1B</t>
        </is>
      </c>
      <c r="F124" s="13" t="inlineStr">
        <is>
          <t>low</t>
        </is>
      </c>
      <c r="G124" s="13" t="inlineStr">
        <is>
          <t>Wave 2</t>
        </is>
      </c>
      <c r="H124" s="13" t="inlineStr">
        <is>
          <t>spider</t>
        </is>
      </c>
      <c r="I124" s="13" t="inlineStr">
        <is>
          <t>Generic Magento/GraphQL spider (incl. the mcprod.&lt;domain&gt; pattern)</t>
        </is>
      </c>
      <c r="J124" s="13" t="inlineStr">
        <is>
          <t>H_magento</t>
        </is>
      </c>
      <c r="K124" s="13" t="inlineStr">
        <is>
          <t>Nuxt + Magento 2 (mcprod.&lt;domain&gt; backend pattern)</t>
        </is>
      </c>
      <c r="L124" s="13" t="inlineStr">
        <is>
          <t>retailer_sku</t>
        </is>
      </c>
      <c r="M124" s="13" t="inlineStr">
        <is>
          <t>supermarket</t>
        </is>
      </c>
      <c r="N124" s="13" t="inlineStr">
        <is>
          <t>EGP</t>
        </is>
      </c>
      <c r="O124" s="13" t="n">
        <v>155</v>
      </c>
      <c r="P124" s="13" t="inlineStr">
        <is>
          <t>https://mcprod.hyperone.com.eg/graphql (Magento GraphQL, POST, no auth)</t>
        </is>
      </c>
      <c r="Q124" s="13" t="inlineStr">
        <is>
          <t>Bare domain hyperone.com.eg does not resolve; www. subdomain -&gt; 200, Nuxt SPA. window.__NUXT__.config exposes apiUrl 'https://mcprod.hyperone.com.eg/graphql'. Direct curl POST to that endpoint (search:'rice') -&gt; 200 clean JSON: 'Top Value Luxury Egyptian Rice - 1K' EGP 26.95, 'Meeza Egyptian Rice -1K' EGP 25.95. (The site's own www.hyperone.com.eg/graphql proxy path 400s on malformed body -- use the mcprod subdomain directly.)</t>
        </is>
      </c>
      <c r="R124" s="13" t="b">
        <v>1</v>
      </c>
      <c r="S124" s="13" t="inlineStr">
        <is>
          <t>Large Egyptian-owned hypermarket, welfare-relevant per CSV. Categories incl. Fruits&amp;Vegetables(172), Butchery&amp;Poultry(59), Seafood(28), Dairy/Eggs/Cheese(521), Bakery(125), Herbs&amp;Spices(291), Pickles(37).</t>
        </is>
      </c>
      <c r="T124" s="13" t="inlineStr"/>
    </row>
    <row r="125">
      <c r="A125" s="13" t="inlineStr">
        <is>
          <t>menaap</t>
        </is>
      </c>
      <c r="B125" s="13" t="inlineStr">
        <is>
          <t>egypt</t>
        </is>
      </c>
      <c r="C125" s="13" t="inlineStr">
        <is>
          <t>Gourmet Egypt</t>
        </is>
      </c>
      <c r="D125" s="13" t="inlineStr">
        <is>
          <t>https://gourmetegypt.com/</t>
        </is>
      </c>
      <c r="E125" s="13" t="inlineStr">
        <is>
          <t>TIER_1B</t>
        </is>
      </c>
      <c r="F125" s="13" t="inlineStr">
        <is>
          <t>low</t>
        </is>
      </c>
      <c r="G125" s="13" t="inlineStr">
        <is>
          <t>Wave 2</t>
        </is>
      </c>
      <c r="H125" s="13" t="inlineStr">
        <is>
          <t>spider</t>
        </is>
      </c>
      <c r="I125" s="13" t="inlineStr">
        <is>
          <t>Generic Magento/GraphQL spider (incl. the mcprod.&lt;domain&gt; pattern)</t>
        </is>
      </c>
      <c r="J125" s="13" t="inlineStr">
        <is>
          <t>H_magento</t>
        </is>
      </c>
      <c r="K125" s="13" t="inlineStr">
        <is>
          <t>Magento 2</t>
        </is>
      </c>
      <c r="L125" s="13" t="inlineStr">
        <is>
          <t>retailer_sku</t>
        </is>
      </c>
      <c r="M125" s="13" t="inlineStr">
        <is>
          <t>supermarket</t>
        </is>
      </c>
      <c r="N125" s="13" t="inlineStr">
        <is>
          <t>EGP</t>
        </is>
      </c>
      <c r="O125" s="13" t="n">
        <v>150</v>
      </c>
      <c r="P125" s="13" t="inlineStr">
        <is>
          <t>/graphql (Magento GraphQL, POST, no auth)</t>
        </is>
      </c>
      <c r="Q125" s="13" t="inlineStr">
        <is>
          <t>curl homepage -&gt; 200, Magento fingerprint. REST /rest/V1/products -&gt; 401 (needs token, expected default). GraphQL POST /graphql (search:'rice') -&gt; 200, clean JSON: 'Kohinoor Basmati Rice' EGP 195, 'Tilda Basmati Rice' EGP 180. categoryList query confirms full-line taxonomy.</t>
        </is>
      </c>
      <c r="R125" s="13" t="b">
        <v>1</v>
      </c>
      <c r="S125" s="13" t="inlineStr">
        <is>
          <t>Premium/imported grocer. Categories: Meat/Poultry/Seafood(380), Bakery(317), Dairy&amp;Eggs(637), Fruits&amp;Vegetables(362), Frozen(568), Food Cupboard(1453), Beverages(871), Desserts(296), Chips&amp;Snacks(469), Chocolate&amp;Sweets(796).</t>
        </is>
      </c>
      <c r="T125" s="13" t="inlineStr"/>
    </row>
    <row r="126">
      <c r="A126" s="13" t="inlineStr">
        <is>
          <t>ssa</t>
        </is>
      </c>
      <c r="B126" s="13" t="inlineStr">
        <is>
          <t>kenya</t>
        </is>
      </c>
      <c r="C126" s="13" t="inlineStr">
        <is>
          <t>Chandarana Foodplus</t>
        </is>
      </c>
      <c r="D126" s="13" t="inlineStr">
        <is>
          <t>https://foodplus.co.ke/</t>
        </is>
      </c>
      <c r="E126" s="13" t="inlineStr">
        <is>
          <t>TIER_1B</t>
        </is>
      </c>
      <c r="F126" s="13" t="inlineStr">
        <is>
          <t>low</t>
        </is>
      </c>
      <c r="G126" s="13" t="inlineStr">
        <is>
          <t>Wave 2</t>
        </is>
      </c>
      <c r="H126" s="13" t="inlineStr">
        <is>
          <t>spider</t>
        </is>
      </c>
      <c r="I126" s="13" t="inlineStr">
        <is>
          <t>Generic Magento/GraphQL spider (incl. the mcprod.&lt;domain&gt; pattern)</t>
        </is>
      </c>
      <c r="J126" s="13" t="inlineStr">
        <is>
          <t>H_magento</t>
        </is>
      </c>
      <c r="K126" s="13" t="inlineStr">
        <is>
          <t>Magento</t>
        </is>
      </c>
      <c r="L126" s="13" t="inlineStr">
        <is>
          <t>retailer_sku</t>
        </is>
      </c>
      <c r="M126" s="13" t="inlineStr">
        <is>
          <t>supermarket</t>
        </is>
      </c>
      <c r="N126" s="13" t="inlineStr">
        <is>
          <t>KES</t>
        </is>
      </c>
      <c r="O126" s="13" t="n">
        <v>150</v>
      </c>
      <c r="P126" s="13" t="inlineStr">
        <is>
          <t>/rest/V1/products, /rest/V1/categories</t>
        </is>
      </c>
      <c r="Q126" s="13" t="inlineStr">
        <is>
          <t>The CSV's domain (chandaranafoodplus.com) is NXDOMAIN. Real domain foodplus.co.ke resolves and is Magento (not WooCommerce as CSV's platform column claims). GET /rest/V1/categories -&gt; 200, no auth, full taxonomy incl. Fresh Fruits(146)/Fresh Vegetables(291)/Milk Butter Eggs(157)/Yoghurt(306)/Cheese(244)/Fresh Meat(102)/Deli(90), 18,205 products total. GET /rest/V1/products?searchCriteria[pageSize]=3 -&gt; 200, 8KB JSON, sample 'C/CARE SCRUBBING BRUSH HANDLE A14' KES 165.</t>
        </is>
      </c>
      <c r="R126" s="13" t="b">
        <v>1</v>
      </c>
      <c r="S126" s="13" t="inlineStr">
        <is>
          <t>Premium/expatriate chain per CSV; deepest single-source taxonomy verified in this shard. Domain correction is the key finding -- CSV's chandaranafoodplus.com does not resolve at all.</t>
        </is>
      </c>
      <c r="T126" s="13" t="inlineStr"/>
    </row>
    <row r="127">
      <c r="A127" s="13" t="inlineStr">
        <is>
          <t>lac</t>
        </is>
      </c>
      <c r="B127" s="13" t="inlineStr">
        <is>
          <t>panama</t>
        </is>
      </c>
      <c r="C127" s="13" t="inlineStr">
        <is>
          <t>Riba Smith</t>
        </is>
      </c>
      <c r="D127" s="13" t="inlineStr">
        <is>
          <t>https://www.ribasmith.com/</t>
        </is>
      </c>
      <c r="E127" s="13" t="inlineStr">
        <is>
          <t>TIER_1B</t>
        </is>
      </c>
      <c r="F127" s="13" t="inlineStr">
        <is>
          <t>low</t>
        </is>
      </c>
      <c r="G127" s="13" t="inlineStr">
        <is>
          <t>Wave 2</t>
        </is>
      </c>
      <c r="H127" s="13" t="inlineStr">
        <is>
          <t>spider</t>
        </is>
      </c>
      <c r="I127" s="13" t="inlineStr">
        <is>
          <t>Generic Magento/GraphQL spider (incl. the mcprod.&lt;domain&gt; pattern)</t>
        </is>
      </c>
      <c r="J127" s="13" t="inlineStr">
        <is>
          <t>H_magento</t>
        </is>
      </c>
      <c r="K127" s="13" t="inlineStr">
        <is>
          <t>Magento 2</t>
        </is>
      </c>
      <c r="L127" s="13" t="inlineStr">
        <is>
          <t>retailer_sku</t>
        </is>
      </c>
      <c r="M127" s="13" t="inlineStr">
        <is>
          <t>supermarket</t>
        </is>
      </c>
      <c r="N127" s="13" t="inlineStr">
        <is>
          <t>USD</t>
        </is>
      </c>
      <c r="O127" s="13" t="n">
        <v>150</v>
      </c>
      <c r="P127" s="13" t="inlineStr">
        <is>
          <t>/graphql</t>
        </is>
      </c>
      <c r="Q127" s="13" t="inlineStr">
        <is>
          <t>POST /graphql {products(search:"arroz",pageSize:5){...}} -&gt; HTTP 200 JSON. Sample: 'ARROZ PELIN ARROZ ESPECIAL 20 LBS' USD 16.48.</t>
        </is>
      </c>
      <c r="R127" s="13" t="b">
        <v>0</v>
      </c>
      <c r="S127" s="13" t="inlineStr">
        <is>
          <t>Full-line premium PA chain; GraphQL open, no auth required for product search.</t>
        </is>
      </c>
      <c r="T127" s="13" t="inlineStr"/>
    </row>
    <row r="128">
      <c r="A128" s="13" t="inlineStr">
        <is>
          <t>lac</t>
        </is>
      </c>
      <c r="B128" s="13" t="inlineStr">
        <is>
          <t>dominican_republic</t>
        </is>
      </c>
      <c r="C128" s="13" t="inlineStr">
        <is>
          <t>Supermercados Nacional</t>
        </is>
      </c>
      <c r="D128" s="13" t="inlineStr">
        <is>
          <t>https://www.supermercadosnacional.com/</t>
        </is>
      </c>
      <c r="E128" s="13" t="inlineStr">
        <is>
          <t>TIER_1B</t>
        </is>
      </c>
      <c r="F128" s="13" t="inlineStr">
        <is>
          <t>low</t>
        </is>
      </c>
      <c r="G128" s="13" t="inlineStr">
        <is>
          <t>Wave 2</t>
        </is>
      </c>
      <c r="H128" s="13" t="inlineStr">
        <is>
          <t>spider</t>
        </is>
      </c>
      <c r="I128" s="13" t="inlineStr">
        <is>
          <t>Generic Magento/GraphQL spider (incl. the mcprod.&lt;domain&gt; pattern)</t>
        </is>
      </c>
      <c r="J128" s="13" t="inlineStr">
        <is>
          <t>H_magento</t>
        </is>
      </c>
      <c r="K128" s="13" t="inlineStr">
        <is>
          <t>Magento 2</t>
        </is>
      </c>
      <c r="L128" s="13" t="inlineStr">
        <is>
          <t>retailer_sku</t>
        </is>
      </c>
      <c r="M128" s="13" t="inlineStr">
        <is>
          <t>supermarket</t>
        </is>
      </c>
      <c r="N128" s="13" t="inlineStr">
        <is>
          <t>DOP</t>
        </is>
      </c>
      <c r="O128" s="13" t="n">
        <v>150</v>
      </c>
      <c r="P128" s="13" t="inlineStr">
        <is>
          <t>/graphql</t>
        </is>
      </c>
      <c r="Q128" s="13" t="inlineStr">
        <is>
          <t>POST /graphql {products(search:"arroz",pageSize:5){...}} -&gt; HTTP 200 JSON. Sample: 'Arroz Selecto Líder 10 Lb' DOP 327.95.</t>
        </is>
      </c>
      <c r="R128" s="13" t="b">
        <v>0</v>
      </c>
      <c r="S128" s="13" t="inlineStr">
        <is>
          <t>Full-line DR chain, GraphQL open.</t>
        </is>
      </c>
      <c r="T128" s="13" t="inlineStr"/>
    </row>
    <row r="129">
      <c r="A129" s="13" t="inlineStr">
        <is>
          <t>lac</t>
        </is>
      </c>
      <c r="B129" s="13" t="inlineStr">
        <is>
          <t>curacao</t>
        </is>
      </c>
      <c r="C129" s="13" t="inlineStr">
        <is>
          <t>Van den Tweel Supermarket</t>
        </is>
      </c>
      <c r="D129" s="13" t="inlineStr">
        <is>
          <t>https://shopvdtcuracao.com/</t>
        </is>
      </c>
      <c r="E129" s="13" t="inlineStr">
        <is>
          <t>TIER_1B</t>
        </is>
      </c>
      <c r="F129" s="13" t="inlineStr">
        <is>
          <t>low</t>
        </is>
      </c>
      <c r="G129" s="13" t="inlineStr">
        <is>
          <t>Wave 2</t>
        </is>
      </c>
      <c r="H129" s="13" t="inlineStr">
        <is>
          <t>spider</t>
        </is>
      </c>
      <c r="I129" s="13" t="inlineStr">
        <is>
          <t>Generic Magento/GraphQL spider (incl. the mcprod.&lt;domain&gt; pattern)</t>
        </is>
      </c>
      <c r="J129" s="13" t="inlineStr">
        <is>
          <t>H_magento</t>
        </is>
      </c>
      <c r="K129" s="13" t="inlineStr">
        <is>
          <t>Magento 2</t>
        </is>
      </c>
      <c r="L129" s="13" t="inlineStr">
        <is>
          <t>retailer_sku</t>
        </is>
      </c>
      <c r="M129" s="13" t="inlineStr">
        <is>
          <t>supermarket</t>
        </is>
      </c>
      <c r="N129" s="13" t="inlineStr">
        <is>
          <t>ANG</t>
        </is>
      </c>
      <c r="O129" s="13" t="n">
        <v>140</v>
      </c>
      <c r="P129" s="13" t="inlineStr">
        <is>
          <t>/graphql</t>
        </is>
      </c>
      <c r="Q129" s="13" t="inlineStr">
        <is>
          <t>POST /graphql {products(search:"melk",pageSize:5){...}} -&gt; HTTP 200 JSON. Sample: 'AH Volle melk' ANG 3.29; also 'AH Magere melk' ANG 2.89, 'AH Halfvolle melk' ANG 2.89.</t>
        </is>
      </c>
      <c r="R129" s="13" t="b">
        <v>0</v>
      </c>
      <c r="S129" s="13" t="inlineStr">
        <is>
          <t>Full-line CW chain (dairy confirmed), Albert Heijn-sourced private label suggests Dutch supply chain.</t>
        </is>
      </c>
      <c r="T129" s="13" t="inlineStr"/>
    </row>
    <row r="130">
      <c r="A130" s="13" t="inlineStr">
        <is>
          <t>lac</t>
        </is>
      </c>
      <c r="B130" s="13" t="inlineStr">
        <is>
          <t>british_virgin_islands</t>
        </is>
      </c>
      <c r="C130" s="13" t="inlineStr">
        <is>
          <t>RiteWay Food Markets</t>
        </is>
      </c>
      <c r="D130" s="13" t="inlineStr">
        <is>
          <t>https://www.riteway.vg/</t>
        </is>
      </c>
      <c r="E130" s="13" t="inlineStr">
        <is>
          <t>TIER_1A</t>
        </is>
      </c>
      <c r="F130" s="13" t="inlineStr">
        <is>
          <t>low</t>
        </is>
      </c>
      <c r="G130" s="13" t="inlineStr">
        <is>
          <t>Wave 2</t>
        </is>
      </c>
      <c r="H130" s="13" t="inlineStr">
        <is>
          <t>spider</t>
        </is>
      </c>
      <c r="I130" s="13" t="inlineStr">
        <is>
          <t>Generic Magento/GraphQL spider (incl. the mcprod.&lt;domain&gt; pattern)</t>
        </is>
      </c>
      <c r="J130" s="13" t="inlineStr">
        <is>
          <t>H_magento</t>
        </is>
      </c>
      <c r="K130" s="13" t="inlineStr">
        <is>
          <t>Magento 2 (custom 'Roadtown' theme)</t>
        </is>
      </c>
      <c r="L130" s="13" t="inlineStr">
        <is>
          <t>retailer_sku</t>
        </is>
      </c>
      <c r="M130" s="13" t="inlineStr">
        <is>
          <t>supermarket</t>
        </is>
      </c>
      <c r="N130" s="13" t="inlineStr">
        <is>
          <t>USD</t>
        </is>
      </c>
      <c r="O130" s="13" t="n">
        <v>130</v>
      </c>
      <c r="P130" s="13" t="inlineStr">
        <is>
          <t>/shop-groceries.html (SSR category listing)</t>
        </is>
      </c>
      <c r="Q130" s="13" t="inlineStr">
        <is>
          <t>GET /shop-groceries.html -&gt; HTTP 200, 1.9MB SSR HTML with real Magento product-item cards. Sample product names: 'Fresh Ground Beef', 'Pork Tenderloin', 'Extra Sharp Cheddar Bar', 'Bakerly Brioche Hot Dog Buns'. Prices in same page: $4.99, $8.99, $39.99, $24.99, $7.99 (data-price-amount attrs). GraphQL endpoint (/graphql) returns HTTP 404 via the Varnish edge — GraphQL module likely disabled — but SSR category pages carry full name+price so Tier 1A applies instead.</t>
        </is>
      </c>
      <c r="R130" s="13" t="b">
        <v>0</v>
      </c>
      <c r="S130" s="13" t="inlineStr">
        <is>
          <t>60-year BVI chain, 9 stores, dedicated online-ordering platform ('RiteWay Online') with next-day delivery.</t>
        </is>
      </c>
      <c r="T130" s="13" t="inlineStr"/>
    </row>
    <row r="131">
      <c r="A131" s="13" t="inlineStr">
        <is>
          <t>lac</t>
        </is>
      </c>
      <c r="B131" s="13" t="inlineStr">
        <is>
          <t>jamaica</t>
        </is>
      </c>
      <c r="C131" s="13" t="inlineStr">
        <is>
          <t>Virtual Mart Jamaica</t>
        </is>
      </c>
      <c r="D131" s="13" t="inlineStr">
        <is>
          <t>https://www.virtualmartja.com/</t>
        </is>
      </c>
      <c r="E131" s="13" t="inlineStr">
        <is>
          <t>TIER_1A</t>
        </is>
      </c>
      <c r="F131" s="13" t="inlineStr">
        <is>
          <t>low</t>
        </is>
      </c>
      <c r="G131" s="13" t="inlineStr">
        <is>
          <t>Wave 2</t>
        </is>
      </c>
      <c r="H131" s="13" t="inlineStr">
        <is>
          <t>spider</t>
        </is>
      </c>
      <c r="I131" s="13" t="inlineStr">
        <is>
          <t>Generic Magento/GraphQL spider (incl. the mcprod.&lt;domain&gt; pattern)</t>
        </is>
      </c>
      <c r="J131" s="13" t="inlineStr">
        <is>
          <t>H_magento</t>
        </is>
      </c>
      <c r="K131" s="13" t="inlineStr">
        <is>
          <t>Magento</t>
        </is>
      </c>
      <c r="L131" s="13" t="inlineStr">
        <is>
          <t>retailer_sku</t>
        </is>
      </c>
      <c r="M131" s="13" t="inlineStr">
        <is>
          <t>supermarket</t>
        </is>
      </c>
      <c r="N131" s="13" t="inlineStr">
        <is>
          <t>JMD</t>
        </is>
      </c>
      <c r="O131" s="13" t="n">
        <v>100</v>
      </c>
      <c r="P131" s="13" t="inlineStr">
        <is>
          <t>SSR HTML Magento listing/PDP (data-price-amount attrs)</t>
        </is>
      </c>
      <c r="Q131" s="13" t="inlineStr">
        <is>
          <t>curl 200/225KB (Magento). data-price-amount price blocks confirmed, e.g. J$2,471.29 special-price product (id 106209). CSV notes groceries plus hardware/business-supplies categories.</t>
        </is>
      </c>
      <c r="R131" s="13" t="b">
        <v>1</v>
      </c>
      <c r="S131" s="13" t="inlineStr">
        <is>
          <t>Mixed grocery + hardware/household catalog; F&amp;B is a subset of a broader general-merchandise store.</t>
        </is>
      </c>
      <c r="T131" s="13" t="inlineStr"/>
    </row>
    <row r="132">
      <c r="A132" s="13" t="inlineStr">
        <is>
          <t>ssa</t>
        </is>
      </c>
      <c r="B132" s="13" t="inlineStr">
        <is>
          <t>cabo_verde</t>
        </is>
      </c>
      <c r="C132" s="13" t="inlineStr">
        <is>
          <t>Nha Kretxeu</t>
        </is>
      </c>
      <c r="D132" s="13" t="inlineStr">
        <is>
          <t>https://www.nhakretxeu.com/supermercado.html</t>
        </is>
      </c>
      <c r="E132" s="13" t="inlineStr">
        <is>
          <t>TIER_1A</t>
        </is>
      </c>
      <c r="F132" s="13" t="inlineStr">
        <is>
          <t>low</t>
        </is>
      </c>
      <c r="G132" s="13" t="inlineStr">
        <is>
          <t>Wave 2</t>
        </is>
      </c>
      <c r="H132" s="13" t="inlineStr">
        <is>
          <t>spider</t>
        </is>
      </c>
      <c r="I132" s="13" t="inlineStr">
        <is>
          <t>Generic Magento/GraphQL spider (incl. the mcprod.&lt;domain&gt; pattern)</t>
        </is>
      </c>
      <c r="J132" s="13" t="inlineStr">
        <is>
          <t>H_magento</t>
        </is>
      </c>
      <c r="K132" s="13" t="inlineStr">
        <is>
          <t>Magento</t>
        </is>
      </c>
      <c r="L132" s="13" t="inlineStr">
        <is>
          <t>retailer_sku</t>
        </is>
      </c>
      <c r="M132" s="13" t="inlineStr">
        <is>
          <t>supermarket</t>
        </is>
      </c>
      <c r="N132" s="13" t="inlineStr">
        <is>
          <t>CVE</t>
        </is>
      </c>
      <c r="O132" s="13" t="n">
        <v>85</v>
      </c>
      <c r="P132" s="13" t="inlineStr">
        <is>
          <t>/supermercado.html (SSR HTML; REST API is closed)</t>
        </is>
      </c>
      <c r="Q132" s="13" t="inlineStr">
        <is>
          <t>GET /supermercado.html -&gt; HTTP 200, 415KB SSR HTML (Magento Luma theme). Confirmed product cards: 'Melao grande (metade)' 450,00 CVE (data-product-id=4798), 'Muesli Com Frutas Emicela 750g', 'Melao pele de sapo 1 unidade'. 292 product-item blocks on this single page. Note: /rest/V1/products returns 401 (auth required) so the REST API is closed -- use the SSR category pages instead, as CSV's own 1,306-SKU claim implies.</t>
        </is>
      </c>
      <c r="R132" s="13" t="b">
        <v>1</v>
      </c>
      <c r="S132" s="13" t="inlineStr">
        <is>
          <t>CSV's 'Best Cabo Verde source' claim confirmed structurally. Fresh produce (melons, fruit) plus packaged goods (muesli) both present in the first page alone.</t>
        </is>
      </c>
      <c r="T132" s="13" t="inlineStr"/>
    </row>
    <row r="133">
      <c r="A133" s="13" t="inlineStr">
        <is>
          <t>eca</t>
        </is>
      </c>
      <c r="B133" s="13" t="inlineStr">
        <is>
          <t>spain</t>
        </is>
      </c>
      <c r="C133" s="13" t="inlineStr">
        <is>
          <t>Mercadona (tienda.mercadona.es)</t>
        </is>
      </c>
      <c r="D133" s="13" t="inlineStr">
        <is>
          <t>https://tienda.mercadona.es/</t>
        </is>
      </c>
      <c r="E133" s="13" t="inlineStr">
        <is>
          <t>TIER_1B</t>
        </is>
      </c>
      <c r="F133" s="13" t="inlineStr">
        <is>
          <t>low</t>
        </is>
      </c>
      <c r="G133" s="13" t="inlineStr">
        <is>
          <t>Wave 3</t>
        </is>
      </c>
      <c r="H133" s="13" t="inlineStr">
        <is>
          <t>spider</t>
        </is>
      </c>
      <c r="I133" s="13" t="inlineStr">
        <is>
          <t>One bespoke spider or fetcher per source</t>
        </is>
      </c>
      <c r="J133" s="13" t="inlineStr">
        <is>
          <t>Z_bespoke</t>
        </is>
      </c>
      <c r="K133" s="13" t="inlineStr">
        <is>
          <t>Custom (public JSON API)</t>
        </is>
      </c>
      <c r="L133" s="13" t="inlineStr">
        <is>
          <t>retailer_sku</t>
        </is>
      </c>
      <c r="M133" s="13" t="inlineStr">
        <is>
          <t>supermarket</t>
        </is>
      </c>
      <c r="N133" s="13" t="inlineStr">
        <is>
          <t>EUR</t>
        </is>
      </c>
      <c r="O133" s="13" t="n">
        <v>180</v>
      </c>
      <c r="P133" s="13" t="inlineStr">
        <is>
          <t>/api/categories/{id}</t>
        </is>
      </c>
      <c r="Q133" s="13" t="inlineStr">
        <is>
          <t>GET /api/categories/ -&gt; 200, 17.4KB JSON, 26 top-level categories e.g. 'Aceite, especias y salsas'.</t>
        </is>
      </c>
      <c r="R133" s="13" t="b">
        <v>1</v>
      </c>
      <c r="S133" s="13" t="inlineStr">
        <is>
          <t>Documented public API, established open-source scraper ecosystem (datania/mercadona-catalog). Market leader with dominant private label.</t>
        </is>
      </c>
      <c r="T133" s="13" t="inlineStr"/>
    </row>
    <row r="134">
      <c r="A134" s="13" t="inlineStr">
        <is>
          <t>lac</t>
        </is>
      </c>
      <c r="B134" s="13" t="inlineStr">
        <is>
          <t>mexico</t>
        </is>
      </c>
      <c r="C134" s="13" t="inlineStr">
        <is>
          <t>PROFECO Quien es Quien en los Precios (QQP)</t>
        </is>
      </c>
      <c r="D134" s="13" t="inlineStr">
        <is>
          <t>https://datos.profeco.gob.mx/datos_abiertos/qqp.php</t>
        </is>
      </c>
      <c r="E134" s="13" t="inlineStr">
        <is>
          <t>TIER_1B</t>
        </is>
      </c>
      <c r="F134" s="13" t="inlineStr">
        <is>
          <t>low</t>
        </is>
      </c>
      <c r="G134" s="13" t="inlineStr">
        <is>
          <t>Wave 3</t>
        </is>
      </c>
      <c r="H134" s="13" t="inlineStr">
        <is>
          <t>fetcher</t>
        </is>
      </c>
      <c r="I134" s="13" t="inlineStr">
        <is>
          <t>One bespoke spider or fetcher per source</t>
        </is>
      </c>
      <c r="J134" s="13" t="inlineStr">
        <is>
          <t>Z_bespoke</t>
        </is>
      </c>
      <c r="K134" s="13" t="inlineStr">
        <is>
          <t>Custom gov CSV</t>
        </is>
      </c>
      <c r="L134" s="13" t="inlineStr">
        <is>
          <t>official_avg</t>
        </is>
      </c>
      <c r="M134" s="13" t="inlineStr">
        <is>
          <t>official_avg</t>
        </is>
      </c>
      <c r="N134" s="13" t="inlineStr">
        <is>
          <t>MXN</t>
        </is>
      </c>
      <c r="O134" s="13" t="n">
        <v>180</v>
      </c>
      <c r="P134" s="13" t="inlineStr">
        <is>
          <t>repodatos.atdt.gob.mx/api_update/profeco/... (monthly CSV per half-month)</t>
        </is>
      </c>
      <c r="Q134" s="13" t="inlineStr">
        <is>
          <t>Discovered monthly plain-CSV mirror (not the advertised RAR) at https://repodatos.atdt.gob.mx/api_update/profeco/programa_quien_es_quien_precios_2025/10-2025_01.csv -&gt; HTTP 200, 166MB, 528,493 rows. Columns: producto,presentacion,marca,categoria,catalogo,precio,fecha_registro,cadena_comercial,giro,nombre_comercial,direccion,estado,municipio,lat,long. Sample: 'Aceite' Botella 1L Vegetal, Bodega Aurrera, MXN 37.00, 2025-10-01. Categoria list spans Frutas Frescas, Hortalizas Frescas, Carne de Ave/Res/Cerdo, Pescados y Mariscos, Derivados de Leche, Huevo, Pan, Tortillas, Arroz, Azucar, Cafe, Te, Cerveza, Vinos y Licores, Refrescos, etc.</t>
        </is>
      </c>
      <c r="R134" s="13" t="b">
        <v>0</v>
      </c>
      <c r="S134" s="13" t="inlineStr">
        <is>
          <t>Consumer-protection agency (PROFECO) national comparative price survey across dozens of chains (Walmart/Bodega Aurrera, Soriana, Chedraui, Comercial Mexicana, La Comer, etc.) and thousands of stores. Whole-catalog walker candidate: iterate monthly CSV links on the datos.gob.mx dataset page. Data dictionary + metadata CSVs also fetched clean (200 OK).</t>
        </is>
      </c>
      <c r="T134" s="13" t="inlineStr"/>
    </row>
    <row r="135">
      <c r="A135" s="13" t="inlineStr">
        <is>
          <t>eca</t>
        </is>
      </c>
      <c r="B135" s="13" t="inlineStr">
        <is>
          <t>finland</t>
        </is>
      </c>
      <c r="C135" s="13" t="inlineStr">
        <is>
          <t>S-kaupat (S Group)</t>
        </is>
      </c>
      <c r="D135" s="13" t="inlineStr">
        <is>
          <t>https://www.s-kaupat.fi/</t>
        </is>
      </c>
      <c r="E135" s="13" t="inlineStr">
        <is>
          <t>TIER_1A</t>
        </is>
      </c>
      <c r="F135" s="13" t="inlineStr">
        <is>
          <t>low</t>
        </is>
      </c>
      <c r="G135" s="13" t="inlineStr">
        <is>
          <t>Wave 3</t>
        </is>
      </c>
      <c r="H135" s="13" t="inlineStr">
        <is>
          <t>spider</t>
        </is>
      </c>
      <c r="I135" s="13" t="inlineStr">
        <is>
          <t>One bespoke spider or fetcher per source</t>
        </is>
      </c>
      <c r="J135" s="13" t="inlineStr">
        <is>
          <t>Z_bespoke</t>
        </is>
      </c>
      <c r="K135" s="13" t="inlineStr">
        <is>
          <t>Custom (Next.js)</t>
        </is>
      </c>
      <c r="L135" s="13" t="inlineStr">
        <is>
          <t>retailer_sku</t>
        </is>
      </c>
      <c r="M135" s="13" t="inlineStr">
        <is>
          <t>supermarket</t>
        </is>
      </c>
      <c r="N135" s="13" t="inlineStr">
        <is>
          <t>EUR</t>
        </is>
      </c>
      <c r="O135" s="13" t="n">
        <v>170</v>
      </c>
      <c r="P135" s="13" t="inlineStr">
        <is>
          <t>SSR product cards + __NEXT_DATA__</t>
        </is>
      </c>
      <c r="Q135" s="13" t="inlineStr">
        <is>
          <t>GET / -&gt; 200, 516KB, __NEXT_DATA__ present. Server-rendered product cards found: data-test-id='product-card__product-price' with display-price '1,25 €' next to data-test-id='product-price__dynamic-unitPrice'.</t>
        </is>
      </c>
      <c r="R135" s="13" t="b">
        <v>1</v>
      </c>
      <c r="S135" s="13" t="inlineStr">
        <is>
          <t>Finland's most popular online grocery (S Group). Finnish-only UI.</t>
        </is>
      </c>
      <c r="T135" s="13" t="inlineStr"/>
    </row>
    <row r="136">
      <c r="A136" s="13" t="inlineStr">
        <is>
          <t>eca</t>
        </is>
      </c>
      <c r="B136" s="13" t="inlineStr">
        <is>
          <t>italy</t>
        </is>
      </c>
      <c r="C136" s="13" t="inlineStr">
        <is>
          <t>Conad</t>
        </is>
      </c>
      <c r="D136" s="13" t="inlineStr">
        <is>
          <t>https://spesaonline.conad.it/</t>
        </is>
      </c>
      <c r="E136" s="13" t="inlineStr">
        <is>
          <t>TIER_1A</t>
        </is>
      </c>
      <c r="F136" s="13" t="inlineStr">
        <is>
          <t>low</t>
        </is>
      </c>
      <c r="G136" s="13" t="inlineStr">
        <is>
          <t>Wave 3</t>
        </is>
      </c>
      <c r="H136" s="13" t="inlineStr">
        <is>
          <t>spider</t>
        </is>
      </c>
      <c r="I136" s="13" t="inlineStr">
        <is>
          <t>One bespoke spider or fetcher per source</t>
        </is>
      </c>
      <c r="J136" s="13" t="inlineStr">
        <is>
          <t>Z_bespoke</t>
        </is>
      </c>
      <c r="K136" s="13" t="inlineStr">
        <is>
          <t>Custom (Sapo-family)</t>
        </is>
      </c>
      <c r="L136" s="13" t="inlineStr">
        <is>
          <t>retailer_sku</t>
        </is>
      </c>
      <c r="M136" s="13" t="inlineStr">
        <is>
          <t>supermarket</t>
        </is>
      </c>
      <c r="N136" s="13" t="inlineStr">
        <is>
          <t>EUR</t>
        </is>
      </c>
      <c r="O136" s="13" t="n">
        <v>170</v>
      </c>
      <c r="P136" s="13" t="inlineStr">
        <is>
          <t>/p/&lt;slug&gt;--&lt;id&gt;</t>
        </is>
      </c>
      <c r="Q136" s="13" t="inlineStr">
        <is>
          <t>GET / -&gt; 200, 475KB, Sapo/Next hybrid. 15 unique real /p/&lt;slug&gt;--&lt;id&gt; product links on the homepage alone, spanning mozzarella, organic eggs, free-range eggs, water, chicken breast, carrots, toilet paper. EUR prices in SSR HTML (6,55 €, 2,49€, 5,24 €, 1,99€ ...).</t>
        </is>
      </c>
      <c r="R136" s="13" t="b">
        <v>1</v>
      </c>
      <c r="S136" s="13" t="inlineStr">
        <is>
          <t>Largest Italian chain by share per CSV. Homepage alone already spans dairy, eggs, fresh meat, fresh produce, beverages, non-food -- strong full-line signal.</t>
        </is>
      </c>
      <c r="T136" s="13" t="inlineStr"/>
    </row>
    <row r="137">
      <c r="A137" s="13" t="inlineStr">
        <is>
          <t>eap</t>
        </is>
      </c>
      <c r="B137" s="13" t="inlineStr">
        <is>
          <t>malaysia</t>
        </is>
      </c>
      <c r="C137" s="13" t="inlineStr">
        <is>
          <t>KPDNHEP PriceCatcher (data.gov.my)</t>
        </is>
      </c>
      <c r="D137" s="13" t="inlineStr">
        <is>
          <t>https://storage.data.gov.my/pricecatcher/</t>
        </is>
      </c>
      <c r="E137" s="13" t="inlineStr">
        <is>
          <t>TIER_1B</t>
        </is>
      </c>
      <c r="F137" s="13" t="inlineStr">
        <is>
          <t>low</t>
        </is>
      </c>
      <c r="G137" s="13" t="inlineStr">
        <is>
          <t>Wave 3</t>
        </is>
      </c>
      <c r="H137" s="13" t="inlineStr">
        <is>
          <t>fetcher</t>
        </is>
      </c>
      <c r="I137" s="13" t="inlineStr">
        <is>
          <t>One bespoke spider or fetcher per source</t>
        </is>
      </c>
      <c r="J137" s="13" t="inlineStr">
        <is>
          <t>Z_bespoke</t>
        </is>
      </c>
      <c r="K137" s="13" t="inlineStr">
        <is>
          <t>Custom (static gov open-data bucket, no auth, no rate limit hit)</t>
        </is>
      </c>
      <c r="L137" s="13" t="inlineStr">
        <is>
          <t>official_avg</t>
        </is>
      </c>
      <c r="M137" s="13" t="inlineStr"/>
      <c r="N137" s="13" t="inlineStr">
        <is>
          <t>MYR</t>
        </is>
      </c>
      <c r="O137" s="13" t="n">
        <v>160</v>
      </c>
      <c r="P137" s="13" t="inlineStr">
        <is>
          <t>/pricecatcher/pricecatcher_YYYY-MM.csv + /pricecatcher/lookup_item.csv (+ presumably lookup_premise.csv)</t>
        </is>
      </c>
      <c r="Q137" s="13" t="inlineStr">
        <is>
          <t>GET https://storage.data.gov.my/pricecatcher/pricecatcher_2026-08.csv -&gt; 200, 8.9MB CSV, 345,029 rows (date,premise_code,item_code,price) for August 2026 alone; monthly files exist back to program start (pricecatcher_YYYY-MM.csv, also daily YYYY-MM-DD variants and a *_preview.parquet). Companion GET .../lookup_item.csv -&gt; 200, 758-row item master (item_code,item,unit,item_group,item_category). Sample: item_code=1 'AYAM BERSIH - STANDARD' unit=1kg; premise_code=2, 2026-08-01, price=MYR 11.00.</t>
        </is>
      </c>
      <c r="R137" s="13" t="b">
        <v>0</v>
      </c>
      <c r="S137" s="13" t="inlineStr">
        <is>
          <t>KPDNHEP's official daily price-monitoring program across 500+ registered premises nationwide (wet markets, supermarkets, minimarkets, hypermarkets), 758 SKUs total. Item-group breakdown: AYAM(10, chicken), DAGING(32, meat), BAHAN LAUT(38, fresh seafood), IKAN DARAT(4, freshwater fish), IKAN DALAM TIN(11, canned fish), HASIL LAUT KERING(4, dried seafood), SAYUR-SAYURAN(40, vegetables) + BAWANG(11, onions) + UBI KENTANG(3, potato), BUAH-BUAHAN(17, fruit), BERAS(19, rice), TEPUNG(8, flour), MEE/BIHUN/KUEY TEOW(28+3+2, noodles), MINYAK DAN LEMAK(39, oils/fats), TELUR(11, eggs), SUSU BAYI(20)+KRIMER DAN SUSU TEPUNG(23, dairy/milk powder), KACANG(7, nuts/pulses), REMPAH RATUS berbungkus+tidak(30+18, spices/condiments), KICAP DAN SOS(20, sauces), GULA(4, sugar), MINUMAN(47)+TERSEDIA MINUM(25, beverages) -- roughly 600 of the 758 items are food/beverage; the remainder (toiletries, stationery, diapers) rides the same monitoring program and is excluded downstream by the food gate. True whole-catalog walker: bulk monthly file, no pagination, no auth. Malaysia currently has zero official_avg/wholesale manifest in the repo -- this closes that gap outright and is the single strongest source found this session.</t>
        </is>
      </c>
      <c r="T137" s="13" t="inlineStr"/>
    </row>
    <row r="138">
      <c r="A138" s="13" t="inlineStr">
        <is>
          <t>eca</t>
        </is>
      </c>
      <c r="B138" s="13" t="inlineStr">
        <is>
          <t>malta</t>
        </is>
      </c>
      <c r="C138" s="13" t="inlineStr">
        <is>
          <t>PaviPama</t>
        </is>
      </c>
      <c r="D138" s="13" t="inlineStr">
        <is>
          <t>https://www.pavipama.com.mt/</t>
        </is>
      </c>
      <c r="E138" s="13" t="inlineStr">
        <is>
          <t>TIER_1B</t>
        </is>
      </c>
      <c r="F138" s="13" t="inlineStr">
        <is>
          <t>low</t>
        </is>
      </c>
      <c r="G138" s="13" t="inlineStr">
        <is>
          <t>Wave 3</t>
        </is>
      </c>
      <c r="H138" s="13" t="inlineStr">
        <is>
          <t>spider</t>
        </is>
      </c>
      <c r="I138" s="13" t="inlineStr">
        <is>
          <t>One bespoke spider or fetcher per source</t>
        </is>
      </c>
      <c r="J138" s="13" t="inlineStr">
        <is>
          <t>Z_bespoke</t>
        </is>
      </c>
      <c r="K138" s="13" t="inlineStr">
        <is>
          <t>Custom</t>
        </is>
      </c>
      <c r="L138" s="13" t="inlineStr">
        <is>
          <t>retailer_sku</t>
        </is>
      </c>
      <c r="M138" s="13" t="inlineStr">
        <is>
          <t>supermarket</t>
        </is>
      </c>
      <c r="N138" s="13" t="inlineStr">
        <is>
          <t>EUR</t>
        </is>
      </c>
      <c r="O138" s="13" t="n">
        <v>160</v>
      </c>
      <c r="P138" s="13" t="inlineStr">
        <is>
          <t>/api/cli/ecommerce/products/featured?p=0&amp;store=  (also /api/cli/categories)</t>
        </is>
      </c>
      <c r="Q138" s="13" t="inlineStr">
        <is>
          <t>curl 200 (after -L to /app/), Playwright network sniff found open API https://pavipama.com.mt/api/cli/ecommerce/products/featured?p=0&amp;store= -&gt; plain curl with Origin/Referer headers returns HTTP 200, 32.8KB JSON, 20 products/page. Sample: 'ACQUA FRIZZANTE 500ML' price 0.25 EUR, brand CONAD. /api/cli/categories returns 23 top-level categories: CONFECTIONERY, FRUIT &amp; VEG, DELICATESSEN, FISH, BUTCHER, FROZEN, CHILLED, BABY, PERSONAL CARE, PASTA SHOP, FOODS, CELLAR, BAKERY, BEVERAGES, PETSHOP, CLEANING, HEALTH, etc.</t>
        </is>
      </c>
      <c r="R138" s="13" t="b">
        <v>1</v>
      </c>
      <c r="S138" s="13" t="inlineStr">
        <is>
          <t>CSV URL (pavishopping.com) was DEAD (NXDOMAIN). Correct current domain found via WebSearch: pavipama.com.mt. Genuinely full-line: fruit&amp;veg, fish, butcher, frozen, chilled, bakery, beverages, cellar, pasta shop confirmed as real top-level categories.</t>
        </is>
      </c>
      <c r="T138" s="13" t="inlineStr"/>
    </row>
    <row r="139">
      <c r="A139" s="13" t="inlineStr">
        <is>
          <t>eca</t>
        </is>
      </c>
      <c r="B139" s="13" t="inlineStr">
        <is>
          <t>armenia</t>
        </is>
      </c>
      <c r="C139" s="13" t="inlineStr">
        <is>
          <t>Parma</t>
        </is>
      </c>
      <c r="D139" s="13" t="inlineStr">
        <is>
          <t>https://parma.am/en/</t>
        </is>
      </c>
      <c r="E139" s="13" t="inlineStr">
        <is>
          <t>TIER_1A</t>
        </is>
      </c>
      <c r="F139" s="13" t="inlineStr">
        <is>
          <t>low</t>
        </is>
      </c>
      <c r="G139" s="13" t="inlineStr">
        <is>
          <t>Wave 3</t>
        </is>
      </c>
      <c r="H139" s="13" t="inlineStr">
        <is>
          <t>spider</t>
        </is>
      </c>
      <c r="I139" s="13" t="inlineStr">
        <is>
          <t>One bespoke spider or fetcher per source</t>
        </is>
      </c>
      <c r="J139" s="13" t="inlineStr">
        <is>
          <t>Z_bespoke</t>
        </is>
      </c>
      <c r="K139" s="13" t="inlineStr">
        <is>
          <t>Custom (Next.js)</t>
        </is>
      </c>
      <c r="L139" s="13" t="inlineStr">
        <is>
          <t>retailer_sku</t>
        </is>
      </c>
      <c r="M139" s="13" t="inlineStr">
        <is>
          <t>supermarket</t>
        </is>
      </c>
      <c r="N139" s="13" t="inlineStr">
        <is>
          <t>AMD</t>
        </is>
      </c>
      <c r="O139" s="13" t="n">
        <v>160</v>
      </c>
      <c r="P139" s="13" t="inlineStr">
        <is>
          <t>/en/product/shop?slug=&lt;category&gt;, /en/product/category?slug=&lt;id&gt;</t>
        </is>
      </c>
      <c r="Q139" s="13" t="inlineStr">
        <is>
          <t>GET /en/product/shop?slug=only-in-parma -&gt; 200, 539KB HTML. Full category tree (baby-food, alcoholic-beverages, bakery, beef, basturma-sudjuk, battery...). Server-rendered dram prices in raw HTML: e.g. 233 է, 10387 է, 8514 է.</t>
        </is>
      </c>
      <c r="R139" s="13" t="b">
        <v>1</v>
      </c>
      <c r="S139" s="13" t="inlineStr">
        <is>
          <t>Full grocery taxonomy incl. baby food, alcohol, bakery, fresh/cured meat (basturma). No login/geo wall hit.</t>
        </is>
      </c>
      <c r="T139" s="13" t="inlineStr"/>
    </row>
    <row r="140">
      <c r="A140" s="13" t="inlineStr">
        <is>
          <t>sar</t>
        </is>
      </c>
      <c r="B140" s="13" t="inlineStr">
        <is>
          <t>sri_lanka</t>
        </is>
      </c>
      <c r="C140" s="13" t="inlineStr">
        <is>
          <t>Glomark</t>
        </is>
      </c>
      <c r="D140" s="13" t="inlineStr">
        <is>
          <t>https://glomark.lk/</t>
        </is>
      </c>
      <c r="E140" s="13" t="inlineStr">
        <is>
          <t>TIER_1A</t>
        </is>
      </c>
      <c r="F140" s="13" t="inlineStr">
        <is>
          <t>low</t>
        </is>
      </c>
      <c r="G140" s="13" t="inlineStr">
        <is>
          <t>Wave 3</t>
        </is>
      </c>
      <c r="H140" s="13" t="inlineStr">
        <is>
          <t>spider</t>
        </is>
      </c>
      <c r="I140" s="13" t="inlineStr">
        <is>
          <t>One bespoke spider or fetcher per source</t>
        </is>
      </c>
      <c r="J140" s="13" t="inlineStr">
        <is>
          <t>Z_bespoke</t>
        </is>
      </c>
      <c r="K140" s="13" t="inlineStr">
        <is>
          <t>Custom PHP (ZENEDGE-fronted)</t>
        </is>
      </c>
      <c r="L140" s="13" t="inlineStr">
        <is>
          <t>retailer_sku</t>
        </is>
      </c>
      <c r="M140" s="13" t="inlineStr">
        <is>
          <t>supermarket</t>
        </is>
      </c>
      <c r="N140" s="13" t="inlineStr">
        <is>
          <t>LKR</t>
        </is>
      </c>
      <c r="O140" s="13" t="n">
        <v>160</v>
      </c>
      <c r="P140" s="13" t="inlineStr"/>
      <c r="Q140" s="13" t="inlineStr">
        <is>
          <t>curl 200/1.14MB SSR HTML on /shop-now. 102 distinct subcategory URLs (/&lt;path&gt;/c/&lt;id&gt; and /&lt;path&gt;/&lt;sub&gt;/sc/&lt;id&gt;) spanning bakery(bread,buns,cake,cookies,savoury,sweet), beverages(coffee,tea,water,juices,malt,soft-drinks,sport/energy), chilled(cheese,cream,curd,desserts,pasteurized-milk,ready-to-cook,spreads,yogurt), fresh(fish: fresh-water+sea; fruits: imported+local; meat: beef,lamb,mutton,pork,poultry,ready-to-cook,value-added; vegetable: exotic,low-country,up-country), frozen(ready-to-cook,ready-to-eat,processed fish/meat/veg-fruit), grocery, household, pharmaceuticals. PDP confirmed: 'Banno Basmati Biriyani Rice 500G' Rs.250 (h1 + price both present, 767KB page).</t>
        </is>
      </c>
      <c r="R140" s="13" t="b">
        <v>0</v>
      </c>
      <c r="S140" s="13" t="inlineStr">
        <is>
          <t>Best single find of this shard -- 'Sri Lanka's first global market', a genuine full-line supermarket (fresh meat by cut, two fish types, imported+local fruit, three vegetable tiers) served entirely over plain SSR HTML with no WAF encountered. Should be the first onboarding priority for Sri Lanka.</t>
        </is>
      </c>
      <c r="T140" s="13" t="inlineStr"/>
    </row>
    <row r="141">
      <c r="A141" s="13" t="inlineStr">
        <is>
          <t>lac</t>
        </is>
      </c>
      <c r="B141" s="13" t="inlineStr">
        <is>
          <t>bolivia</t>
        </is>
      </c>
      <c r="C141" s="13" t="inlineStr">
        <is>
          <t>Hipermaxi</t>
        </is>
      </c>
      <c r="D141" s="13" t="inlineStr">
        <is>
          <t>https://www.hipermaxi.com/</t>
        </is>
      </c>
      <c r="E141" s="13" t="inlineStr">
        <is>
          <t>TIER_1A</t>
        </is>
      </c>
      <c r="F141" s="13" t="inlineStr">
        <is>
          <t>low</t>
        </is>
      </c>
      <c r="G141" s="13" t="inlineStr">
        <is>
          <t>Wave 3</t>
        </is>
      </c>
      <c r="H141" s="13" t="inlineStr">
        <is>
          <t>spider</t>
        </is>
      </c>
      <c r="I141" s="13" t="inlineStr">
        <is>
          <t>One bespoke spider or fetcher per source</t>
        </is>
      </c>
      <c r="J141" s="13" t="inlineStr">
        <is>
          <t>Z_bespoke</t>
        </is>
      </c>
      <c r="K141" s="13" t="inlineStr">
        <is>
          <t>Next.js/Custom</t>
        </is>
      </c>
      <c r="L141" s="13" t="inlineStr">
        <is>
          <t>retailer_sku</t>
        </is>
      </c>
      <c r="M141" s="13" t="inlineStr">
        <is>
          <t>supermarket</t>
        </is>
      </c>
      <c r="N141" s="13" t="inlineStr">
        <is>
          <t>BOB</t>
        </is>
      </c>
      <c r="O141" s="13" t="n">
        <v>160</v>
      </c>
      <c r="P141" s="13" t="inlineStr">
        <is>
          <t>SSR HTML (no API needed)</t>
        </is>
      </c>
      <c r="Q141" s="13" t="inlineStr">
        <is>
          <t>curl 200/791KB, Next.js SSR. Prices server-rendered directly in HTML with schema-labelled blocks: 'Carne Molida de Segunda' (ground beef) Bs 40.50; 'Coca Cola Original 3 L' Bs 17.10. Full meat + beverage + grocery categories visible.</t>
        </is>
      </c>
      <c r="R141" s="13" t="b">
        <v>1</v>
      </c>
      <c r="S141" s="13" t="inlineStr">
        <is>
          <t>Largest Bolivian supermarket chain per CSV; strongest Bolivia source, prices render server-side with no API needed.</t>
        </is>
      </c>
      <c r="T141" s="13" t="inlineStr"/>
    </row>
    <row r="142">
      <c r="A142" s="13" t="inlineStr">
        <is>
          <t>eca</t>
        </is>
      </c>
      <c r="B142" s="13" t="inlineStr">
        <is>
          <t>romania</t>
        </is>
      </c>
      <c r="C142" s="13" t="inlineStr">
        <is>
          <t>Freshful by eMAG</t>
        </is>
      </c>
      <c r="D142" s="13" t="inlineStr">
        <is>
          <t>https://www.freshful.ro/</t>
        </is>
      </c>
      <c r="E142" s="13" t="inlineStr">
        <is>
          <t>TIER_1A</t>
        </is>
      </c>
      <c r="F142" s="13" t="inlineStr">
        <is>
          <t>low</t>
        </is>
      </c>
      <c r="G142" s="13" t="inlineStr">
        <is>
          <t>Wave 3</t>
        </is>
      </c>
      <c r="H142" s="13" t="inlineStr">
        <is>
          <t>spider</t>
        </is>
      </c>
      <c r="I142" s="13" t="inlineStr">
        <is>
          <t>One bespoke spider or fetcher per source</t>
        </is>
      </c>
      <c r="J142" s="13" t="inlineStr">
        <is>
          <t>Z_bespoke</t>
        </is>
      </c>
      <c r="K142" s="13" t="inlineStr">
        <is>
          <t>Next.js</t>
        </is>
      </c>
      <c r="L142" s="13" t="inlineStr">
        <is>
          <t>retailer_sku</t>
        </is>
      </c>
      <c r="M142" s="13" t="inlineStr">
        <is>
          <t>supermarket</t>
        </is>
      </c>
      <c r="N142" s="13" t="inlineStr">
        <is>
          <t>RON</t>
        </is>
      </c>
      <c r="O142" s="13" t="n">
        <v>150</v>
      </c>
      <c r="P142" s="13" t="inlineStr">
        <is>
          <t>SSR HTML, no API needed</t>
        </is>
      </c>
      <c r="Q142" s="13" t="inlineStr">
        <is>
          <t>curl 200, 566KB SSR HTML (__NEXT_DATA__), real prices in raw HTML: '12,99 lei', '20,00 Lei', '56,99 Lei', '47,98 Lei', '23,03 Lei'</t>
        </is>
      </c>
      <c r="R142" s="13" t="b">
        <v>1</v>
      </c>
      <c r="S142" s="13" t="inlineStr">
        <is>
          <t>Matches the brief's own worked example. Fresh produce with named local-producer attribution per CSV notes.</t>
        </is>
      </c>
      <c r="T142" s="13" t="inlineStr"/>
    </row>
    <row r="143">
      <c r="A143" s="13" t="inlineStr">
        <is>
          <t>eca</t>
        </is>
      </c>
      <c r="B143" s="13" t="inlineStr">
        <is>
          <t>kazakhstan</t>
        </is>
      </c>
      <c r="C143" s="13" t="inlineStr">
        <is>
          <t>Galmart</t>
        </is>
      </c>
      <c r="D143" s="13" t="inlineStr">
        <is>
          <t>https://galmart.kz/</t>
        </is>
      </c>
      <c r="E143" s="13" t="inlineStr">
        <is>
          <t>TIER_1A</t>
        </is>
      </c>
      <c r="F143" s="13" t="inlineStr">
        <is>
          <t>low</t>
        </is>
      </c>
      <c r="G143" s="13" t="inlineStr">
        <is>
          <t>Wave 3</t>
        </is>
      </c>
      <c r="H143" s="13" t="inlineStr">
        <is>
          <t>spider</t>
        </is>
      </c>
      <c r="I143" s="13" t="inlineStr">
        <is>
          <t>One bespoke spider or fetcher per source</t>
        </is>
      </c>
      <c r="J143" s="13" t="inlineStr">
        <is>
          <t>Z_bespoke</t>
        </is>
      </c>
      <c r="K143" s="13" t="inlineStr">
        <is>
          <t>Custom</t>
        </is>
      </c>
      <c r="L143" s="13" t="inlineStr">
        <is>
          <t>retailer_sku</t>
        </is>
      </c>
      <c r="M143" s="13" t="inlineStr">
        <is>
          <t>supermarket</t>
        </is>
      </c>
      <c r="N143" s="13" t="inlineStr">
        <is>
          <t>KZT</t>
        </is>
      </c>
      <c r="O143" s="13" t="n">
        <v>150</v>
      </c>
      <c r="P143" s="13" t="inlineStr">
        <is>
          <t>SSR HTML</t>
        </is>
      </c>
      <c r="Q143" s="13" t="inlineStr">
        <is>
          <t>curl 200, 142KB, real prices in raw HTML: '2 650₸', '2 850₸', '1 456₸', '1 835₸', '2 310₸', '2 100₸'</t>
        </is>
      </c>
      <c r="R143" s="13" t="b">
        <v>1</v>
      </c>
      <c r="S143" s="13" t="inlineStr">
        <is>
          <t>Premium Astana chain with deep dairy taxonomy per CSV (mare/camel/goat milk as separate categories).</t>
        </is>
      </c>
      <c r="T143" s="13" t="inlineStr"/>
    </row>
    <row r="144">
      <c r="A144" s="13" t="inlineStr">
        <is>
          <t>eca</t>
        </is>
      </c>
      <c r="B144" s="13" t="inlineStr">
        <is>
          <t>slovenia</t>
        </is>
      </c>
      <c r="C144" s="13" t="inlineStr">
        <is>
          <t>Mercator Online</t>
        </is>
      </c>
      <c r="D144" s="13" t="inlineStr">
        <is>
          <t>https://mercatoronline.si/</t>
        </is>
      </c>
      <c r="E144" s="13" t="inlineStr">
        <is>
          <t>TIER_1A</t>
        </is>
      </c>
      <c r="F144" s="13" t="inlineStr">
        <is>
          <t>low</t>
        </is>
      </c>
      <c r="G144" s="13" t="inlineStr">
        <is>
          <t>Wave 3</t>
        </is>
      </c>
      <c r="H144" s="13" t="inlineStr">
        <is>
          <t>spider</t>
        </is>
      </c>
      <c r="I144" s="13" t="inlineStr">
        <is>
          <t>One bespoke spider or fetcher per source</t>
        </is>
      </c>
      <c r="J144" s="13" t="inlineStr">
        <is>
          <t>Z_bespoke</t>
        </is>
      </c>
      <c r="K144" s="13" t="inlineStr">
        <is>
          <t>Custom</t>
        </is>
      </c>
      <c r="L144" s="13" t="inlineStr">
        <is>
          <t>retailer_sku</t>
        </is>
      </c>
      <c r="M144" s="13" t="inlineStr">
        <is>
          <t>supermarket</t>
        </is>
      </c>
      <c r="N144" s="13" t="inlineStr">
        <is>
          <t>EUR</t>
        </is>
      </c>
      <c r="O144" s="13" t="n">
        <v>150</v>
      </c>
      <c r="P144" s="13" t="inlineStr">
        <is>
          <t>SSR HTML</t>
        </is>
      </c>
      <c r="Q144" s="13" t="inlineStr">
        <is>
          <t>curl 200, 767KB, real prices in raw HTML: '150,00 EUR', '60,00 EUR', '3,99€'</t>
        </is>
      </c>
      <c r="R144" s="13" t="b">
        <v>1</v>
      </c>
      <c r="S144" s="13" t="inlineStr">
        <is>
          <t>18,000+ products, delivery to 99% of Slovenian addresses per CSV; PC30 (30-day-lowest, omnibus) field noted but not verified in this pass.</t>
        </is>
      </c>
      <c r="T144" s="13" t="inlineStr"/>
    </row>
    <row r="145">
      <c r="A145" s="13" t="inlineStr">
        <is>
          <t>eca</t>
        </is>
      </c>
      <c r="B145" s="13" t="inlineStr">
        <is>
          <t>estonia</t>
        </is>
      </c>
      <c r="C145" s="13" t="inlineStr">
        <is>
          <t>Prisma Estonia</t>
        </is>
      </c>
      <c r="D145" s="13" t="inlineStr">
        <is>
          <t>https://www.prismamarket.ee/</t>
        </is>
      </c>
      <c r="E145" s="13" t="inlineStr">
        <is>
          <t>TIER_1A</t>
        </is>
      </c>
      <c r="F145" s="13" t="inlineStr">
        <is>
          <t>low</t>
        </is>
      </c>
      <c r="G145" s="13" t="inlineStr">
        <is>
          <t>Wave 3</t>
        </is>
      </c>
      <c r="H145" s="13" t="inlineStr">
        <is>
          <t>spider</t>
        </is>
      </c>
      <c r="I145" s="13" t="inlineStr">
        <is>
          <t>One bespoke spider or fetcher per source</t>
        </is>
      </c>
      <c r="J145" s="13" t="inlineStr">
        <is>
          <t>Z_bespoke</t>
        </is>
      </c>
      <c r="K145" s="13" t="inlineStr">
        <is>
          <t>Next.js</t>
        </is>
      </c>
      <c r="L145" s="13" t="inlineStr">
        <is>
          <t>retailer_sku</t>
        </is>
      </c>
      <c r="M145" s="13" t="inlineStr">
        <is>
          <t>supermarket</t>
        </is>
      </c>
      <c r="N145" s="13" t="inlineStr">
        <is>
          <t>EUR</t>
        </is>
      </c>
      <c r="O145" s="13" t="n">
        <v>150</v>
      </c>
      <c r="P145" s="13" t="inlineStr">
        <is>
          <t>SSR HTML / __NEXT_DATA__ JSON blob</t>
        </is>
      </c>
      <c r="Q145" s="13" t="inlineStr">
        <is>
          <t>curl 200, 367KB, Next.js SSR (__NEXT_DATA__ valid JSON with props.pageProps), real prices in raw HTML: '1,85 €', '12,33 €', '3,28 €'</t>
        </is>
      </c>
      <c r="R145" s="13" t="b">
        <v>1</v>
      </c>
      <c r="S145" s="13" t="inlineStr">
        <is>
          <t>-</t>
        </is>
      </c>
      <c r="T145" s="13" t="inlineStr"/>
    </row>
    <row r="146">
      <c r="A146" s="13" t="inlineStr">
        <is>
          <t>eca</t>
        </is>
      </c>
      <c r="B146" s="13" t="inlineStr">
        <is>
          <t>armenia</t>
        </is>
      </c>
      <c r="C146" s="13" t="inlineStr">
        <is>
          <t>Supermarket.am</t>
        </is>
      </c>
      <c r="D146" s="13" t="inlineStr">
        <is>
          <t>https://supermarket.am/en/</t>
        </is>
      </c>
      <c r="E146" s="13" t="inlineStr">
        <is>
          <t>TIER_1A</t>
        </is>
      </c>
      <c r="F146" s="13" t="inlineStr">
        <is>
          <t>low</t>
        </is>
      </c>
      <c r="G146" s="13" t="inlineStr">
        <is>
          <t>Wave 3</t>
        </is>
      </c>
      <c r="H146" s="13" t="inlineStr">
        <is>
          <t>spider</t>
        </is>
      </c>
      <c r="I146" s="13" t="inlineStr">
        <is>
          <t>One bespoke spider or fetcher per source</t>
        </is>
      </c>
      <c r="J146" s="13" t="inlineStr">
        <is>
          <t>Z_bespoke</t>
        </is>
      </c>
      <c r="K146" s="13" t="inlineStr">
        <is>
          <t>Custom</t>
        </is>
      </c>
      <c r="L146" s="13" t="inlineStr">
        <is>
          <t>retailer_sku</t>
        </is>
      </c>
      <c r="M146" s="13" t="inlineStr">
        <is>
          <t>supermarket</t>
        </is>
      </c>
      <c r="N146" s="13" t="inlineStr">
        <is>
          <t>AMD</t>
        </is>
      </c>
      <c r="O146" s="13" t="n">
        <v>150</v>
      </c>
      <c r="P146" s="13" t="inlineStr">
        <is>
          <t>/en/products/_&lt;id&gt;/</t>
        </is>
      </c>
      <c r="Q146" s="13" t="inlineStr">
        <is>
          <t>GET /en/products/_723530/ -&gt; 200, 399KB. PDP h1 'Pasta Zara No. 50 500g', span.priceValue = '710 dr'. Category tree via /en/products/_&lt;id&gt;/ product links visible on homepage.</t>
        </is>
      </c>
      <c r="R146" s="13" t="b">
        <v>1</v>
      </c>
      <c r="S146" s="13" t="inlineStr">
        <is>
          <t>Weight-based items sliced to order per CSV note; PDP price rendered server-side.</t>
        </is>
      </c>
      <c r="T146" s="13" t="inlineStr"/>
    </row>
    <row r="147">
      <c r="A147" s="13" t="inlineStr">
        <is>
          <t>eca</t>
        </is>
      </c>
      <c r="B147" s="13" t="inlineStr">
        <is>
          <t>bulgaria</t>
        </is>
      </c>
      <c r="C147" s="13" t="inlineStr">
        <is>
          <t>T Market Online</t>
        </is>
      </c>
      <c r="D147" s="13" t="inlineStr">
        <is>
          <t>https://tmarketonline.bg/</t>
        </is>
      </c>
      <c r="E147" s="13" t="inlineStr">
        <is>
          <t>TIER_1A</t>
        </is>
      </c>
      <c r="F147" s="13" t="inlineStr">
        <is>
          <t>low</t>
        </is>
      </c>
      <c r="G147" s="13" t="inlineStr">
        <is>
          <t>Wave 3</t>
        </is>
      </c>
      <c r="H147" s="13" t="inlineStr">
        <is>
          <t>spider</t>
        </is>
      </c>
      <c r="I147" s="13" t="inlineStr">
        <is>
          <t>One bespoke spider or fetcher per source</t>
        </is>
      </c>
      <c r="J147" s="13" t="inlineStr">
        <is>
          <t>Z_bespoke</t>
        </is>
      </c>
      <c r="K147" s="13" t="inlineStr">
        <is>
          <t>Custom</t>
        </is>
      </c>
      <c r="L147" s="13" t="inlineStr">
        <is>
          <t>retailer_sku</t>
        </is>
      </c>
      <c r="M147" s="13" t="inlineStr">
        <is>
          <t>supermarket</t>
        </is>
      </c>
      <c r="N147" s="13" t="inlineStr">
        <is>
          <t>BGN/EUR</t>
        </is>
      </c>
      <c r="O147" s="13" t="n">
        <v>150</v>
      </c>
      <c r="P147" s="13" t="inlineStr">
        <is>
          <t>SSR product pages</t>
        </is>
      </c>
      <c r="Q147" s="13" t="inlineStr">
        <is>
          <t>GET /product/avokado-izrael -&gt; h1 'Avokado, br.' (avocado), price '1,39 lv' / '0,71 EUR'. Real /product/&lt;slug&gt; and /category/&lt;slug&gt; links throughout homepage.</t>
        </is>
      </c>
      <c r="R147" s="13" t="b">
        <v>1</v>
      </c>
      <c r="S147" s="13" t="inlineStr">
        <is>
          <t>Maxima-group chain; CSV flags unusually good fresh + LOCAL Bulgarian lines (rose tomatoes, Madzharov cheese, banitsa sheets).</t>
        </is>
      </c>
      <c r="T147" s="13" t="inlineStr"/>
    </row>
    <row r="148">
      <c r="A148" s="13" t="inlineStr">
        <is>
          <t>eca</t>
        </is>
      </c>
      <c r="B148" s="13" t="inlineStr">
        <is>
          <t>finland</t>
        </is>
      </c>
      <c r="C148" s="13" t="inlineStr">
        <is>
          <t>Prisma</t>
        </is>
      </c>
      <c r="D148" s="13" t="inlineStr">
        <is>
          <t>https://www.prisma.fi/</t>
        </is>
      </c>
      <c r="E148" s="13" t="inlineStr">
        <is>
          <t>TIER_1A</t>
        </is>
      </c>
      <c r="F148" s="13" t="inlineStr">
        <is>
          <t>low</t>
        </is>
      </c>
      <c r="G148" s="13" t="inlineStr">
        <is>
          <t>Wave 3</t>
        </is>
      </c>
      <c r="H148" s="13" t="inlineStr">
        <is>
          <t>spider</t>
        </is>
      </c>
      <c r="I148" s="13" t="inlineStr">
        <is>
          <t>One bespoke spider or fetcher per source</t>
        </is>
      </c>
      <c r="J148" s="13" t="inlineStr">
        <is>
          <t>Z_bespoke</t>
        </is>
      </c>
      <c r="K148" s="13" t="inlineStr">
        <is>
          <t>Custom (Next.js)</t>
        </is>
      </c>
      <c r="L148" s="13" t="inlineStr">
        <is>
          <t>retailer_sku</t>
        </is>
      </c>
      <c r="M148" s="13" t="inlineStr">
        <is>
          <t>supermarket</t>
        </is>
      </c>
      <c r="N148" s="13" t="inlineStr">
        <is>
          <t>EUR</t>
        </is>
      </c>
      <c r="O148" s="13" t="n">
        <v>150</v>
      </c>
      <c r="P148" s="13" t="inlineStr">
        <is>
          <t>SSR + __NEXT_DATA__</t>
        </is>
      </c>
      <c r="Q148" s="13" t="inlineStr">
        <is>
          <t>GET / -&gt; 200, 1.04MB, __NEXT_DATA__ present, real EUR prices rendered server-side (e.g. '5 439,15 €' owner-price banner item). Same S-Group family as s-kaupat.fi. Grocery category page not separately fetched this round.</t>
        </is>
      </c>
      <c r="R148" s="13" t="b">
        <v>1</v>
      </c>
      <c r="S148" s="13" t="inlineStr">
        <is>
          <t>Homepage sample was a big-ticket appliance, not F&amp;B -- grocery category page needs a follow-up fetch to confirm F&amp;B depth directly, but platform/SSR confirmed working.</t>
        </is>
      </c>
      <c r="T148" s="13" t="inlineStr"/>
    </row>
    <row r="149">
      <c r="A149" s="13" t="inlineStr">
        <is>
          <t>eca</t>
        </is>
      </c>
      <c r="B149" s="13" t="inlineStr">
        <is>
          <t>iceland</t>
        </is>
      </c>
      <c r="C149" s="13" t="inlineStr">
        <is>
          <t>Kronan</t>
        </is>
      </c>
      <c r="D149" s="13" t="inlineStr">
        <is>
          <t>https://www.kronan.is/</t>
        </is>
      </c>
      <c r="E149" s="13" t="inlineStr">
        <is>
          <t>TIER_1B</t>
        </is>
      </c>
      <c r="F149" s="13" t="inlineStr">
        <is>
          <t>low</t>
        </is>
      </c>
      <c r="G149" s="13" t="inlineStr">
        <is>
          <t>Wave 3</t>
        </is>
      </c>
      <c r="H149" s="13" t="inlineStr">
        <is>
          <t>spider</t>
        </is>
      </c>
      <c r="I149" s="13" t="inlineStr">
        <is>
          <t>One bespoke spider or fetcher per source</t>
        </is>
      </c>
      <c r="J149" s="13" t="inlineStr">
        <is>
          <t>Z_bespoke</t>
        </is>
      </c>
      <c r="K149" s="13" t="inlineStr">
        <is>
          <t>Custom</t>
        </is>
      </c>
      <c r="L149" s="13" t="inlineStr">
        <is>
          <t>retailer_sku</t>
        </is>
      </c>
      <c r="M149" s="13" t="inlineStr">
        <is>
          <t>supermarket</t>
        </is>
      </c>
      <c r="N149" s="13" t="inlineStr">
        <is>
          <t>ISK</t>
        </is>
      </c>
      <c r="O149" s="13" t="n">
        <v>150</v>
      </c>
      <c r="P149" s="13" t="inlineStr">
        <is>
          <t>SSR embedded JSON at /vara/&lt;slug&gt;</t>
        </is>
      </c>
      <c r="Q149" s="13" t="inlineStr">
        <is>
          <t>GET / -&gt; 200, 479KB. Embedded product JSON in SSR HTML: {"slug":"100273243-isey-skyr-solmyrkvi",...,"categoryTag":"05-05-01-skyr",...,"discountedPrice":330,"priceInfo":"170 gr. - 1.941 kr. / kg"} (Isey skyr yoghurt, 330 kr). Also saw Red Bull, Floridana juice, /vara/&lt;id-slug&gt; product links throughout.</t>
        </is>
      </c>
      <c r="R149" s="13" t="b">
        <v>1</v>
      </c>
      <c r="S149" s="13" t="inlineStr">
        <is>
          <t>Internal category codes (e.g. 05-05-01-skyr) look pre-classified -- useful mapping hint. ISK has no minor units so price values are literal kr.</t>
        </is>
      </c>
      <c r="T149" s="13" t="inlineStr"/>
    </row>
    <row r="150">
      <c r="A150" s="13" t="inlineStr">
        <is>
          <t>eca</t>
        </is>
      </c>
      <c r="B150" s="13" t="inlineStr">
        <is>
          <t>croatia</t>
        </is>
      </c>
      <c r="C150" s="13" t="inlineStr">
        <is>
          <t>Plodine</t>
        </is>
      </c>
      <c r="D150" s="13" t="inlineStr">
        <is>
          <t>https://www.plodine.hr/</t>
        </is>
      </c>
      <c r="E150" s="13" t="inlineStr">
        <is>
          <t>TIER_1A</t>
        </is>
      </c>
      <c r="F150" s="13" t="inlineStr">
        <is>
          <t>low</t>
        </is>
      </c>
      <c r="G150" s="13" t="inlineStr">
        <is>
          <t>Wave 3</t>
        </is>
      </c>
      <c r="H150" s="13" t="inlineStr">
        <is>
          <t>spider</t>
        </is>
      </c>
      <c r="I150" s="13" t="inlineStr">
        <is>
          <t>One bespoke spider or fetcher per source</t>
        </is>
      </c>
      <c r="J150" s="13" t="inlineStr">
        <is>
          <t>Z_bespoke</t>
        </is>
      </c>
      <c r="K150" s="13" t="inlineStr">
        <is>
          <t>Next.js</t>
        </is>
      </c>
      <c r="L150" s="13" t="inlineStr">
        <is>
          <t>retailer_sku</t>
        </is>
      </c>
      <c r="M150" s="13" t="inlineStr">
        <is>
          <t>supermarket</t>
        </is>
      </c>
      <c r="N150" s="13" t="inlineStr">
        <is>
          <t>EUR</t>
        </is>
      </c>
      <c r="O150" s="13" t="n">
        <v>150</v>
      </c>
      <c r="P150" s="13" t="inlineStr">
        <is>
          <t>SSR homepage/category HTML</t>
        </is>
      </c>
      <c r="Q150" s="13" t="inlineStr">
        <is>
          <t>GET -&gt; 200, 86KB SSR (Next.js). Sample: h2 'Svježi black Angus steak' near 9,49€; also 4,49€, 12,99€ visible.</t>
        </is>
      </c>
      <c r="R150" s="13" t="b">
        <v>1</v>
      </c>
      <c r="S150" s="13" t="inlineStr">
        <is>
          <t>National chain, carried by all 4 Croatian aggregators for cross-validation.</t>
        </is>
      </c>
      <c r="T150" s="13" t="inlineStr"/>
    </row>
    <row r="151">
      <c r="A151" s="13" t="inlineStr">
        <is>
          <t>eca</t>
        </is>
      </c>
      <c r="B151" s="13" t="inlineStr">
        <is>
          <t>croatia</t>
        </is>
      </c>
      <c r="C151" s="13" t="inlineStr">
        <is>
          <t>Kaufland Croatia</t>
        </is>
      </c>
      <c r="D151" s="13" t="inlineStr">
        <is>
          <t>https://www.kaufland.hr/</t>
        </is>
      </c>
      <c r="E151" s="13" t="inlineStr">
        <is>
          <t>TIER_1A</t>
        </is>
      </c>
      <c r="F151" s="13" t="inlineStr">
        <is>
          <t>low</t>
        </is>
      </c>
      <c r="G151" s="13" t="inlineStr">
        <is>
          <t>Wave 3</t>
        </is>
      </c>
      <c r="H151" s="13" t="inlineStr">
        <is>
          <t>spider</t>
        </is>
      </c>
      <c r="I151" s="13" t="inlineStr">
        <is>
          <t>One bespoke spider or fetcher per source</t>
        </is>
      </c>
      <c r="J151" s="13" t="inlineStr">
        <is>
          <t>Z_bespoke</t>
        </is>
      </c>
      <c r="K151" s="13" t="inlineStr">
        <is>
          <t>Vue/Next hybrid</t>
        </is>
      </c>
      <c r="L151" s="13" t="inlineStr">
        <is>
          <t>retailer_sku</t>
        </is>
      </c>
      <c r="M151" s="13" t="inlineStr">
        <is>
          <t>supermarket</t>
        </is>
      </c>
      <c r="N151" s="13" t="inlineStr">
        <is>
          <t>EUR</t>
        </is>
      </c>
      <c r="O151" s="13" t="n">
        <v>150</v>
      </c>
      <c r="P151" s="13" t="inlineStr">
        <is>
          <t>SSR homepage/category HTML</t>
        </is>
      </c>
      <c r="Q151" s="13" t="inlineStr">
        <is>
          <t>GET -&gt; 200, 208KB SSR (Vue+Next). Direct price '1,44€' repeated in homepage HTML. Also found a published 'Popis maloprodajnih cijena' (retail price list) page at /akcije-novosti/popis-mpc.html (200, 114KB) but it is an explanatory HTML page, not a raw CSV/XML download.</t>
        </is>
      </c>
      <c r="R151" s="13" t="b">
        <v>1</v>
      </c>
      <c r="S151" s="13" t="inlineStr">
        <is>
          <t>Overturns shard's D-tier 'SUSPECT' prediction -- plain curl works cleanly, no WAF encountered.</t>
        </is>
      </c>
      <c r="T151" s="13" t="inlineStr"/>
    </row>
    <row r="152">
      <c r="A152" s="13" t="inlineStr">
        <is>
          <t>eca</t>
        </is>
      </c>
      <c r="B152" s="13" t="inlineStr">
        <is>
          <t>moldova</t>
        </is>
      </c>
      <c r="C152" s="13" t="inlineStr">
        <is>
          <t>Linella.md</t>
        </is>
      </c>
      <c r="D152" s="13" t="inlineStr">
        <is>
          <t>https://linella.md/</t>
        </is>
      </c>
      <c r="E152" s="13" t="inlineStr">
        <is>
          <t>TIER_1A</t>
        </is>
      </c>
      <c r="F152" s="13" t="inlineStr">
        <is>
          <t>low</t>
        </is>
      </c>
      <c r="G152" s="13" t="inlineStr">
        <is>
          <t>Wave 3</t>
        </is>
      </c>
      <c r="H152" s="13" t="inlineStr">
        <is>
          <t>spider</t>
        </is>
      </c>
      <c r="I152" s="13" t="inlineStr">
        <is>
          <t>One bespoke spider or fetcher per source</t>
        </is>
      </c>
      <c r="J152" s="13" t="inlineStr">
        <is>
          <t>Z_bespoke</t>
        </is>
      </c>
      <c r="K152" s="13" t="inlineStr">
        <is>
          <t>Custom</t>
        </is>
      </c>
      <c r="L152" s="13" t="inlineStr">
        <is>
          <t>retailer_sku</t>
        </is>
      </c>
      <c r="M152" s="13" t="inlineStr">
        <is>
          <t>supermarket</t>
        </is>
      </c>
      <c r="N152" s="13" t="inlineStr">
        <is>
          <t>MDL</t>
        </is>
      </c>
      <c r="O152" s="13" t="n">
        <v>150</v>
      </c>
      <c r="P152" s="13" t="inlineStr">
        <is>
          <t>SSR category HTML (/ro/catalog)</t>
        </is>
      </c>
      <c r="Q152" s="13" t="inlineStr">
        <is>
          <t>GET -&gt; 200, 864KB SSR. class='price-products-catalog-content__main 10.59 9.49' style list/discount pairs directly in listing HTML.</t>
        </is>
      </c>
      <c r="R152" s="13" t="b">
        <v>1</v>
      </c>
      <c r="S152" s="13" t="inlineStr">
        <is>
          <t>206 stores, 14,500+ products per shard; list+promo price pairs and per-0.5kg fresh pricing.</t>
        </is>
      </c>
      <c r="T152" s="13" t="inlineStr"/>
    </row>
    <row r="153">
      <c r="A153" s="13" t="inlineStr">
        <is>
          <t>eca</t>
        </is>
      </c>
      <c r="B153" s="13" t="inlineStr">
        <is>
          <t>portugal</t>
        </is>
      </c>
      <c r="C153" s="13" t="inlineStr">
        <is>
          <t>Pingo Doce / Mercadao</t>
        </is>
      </c>
      <c r="D153" s="13" t="inlineStr">
        <is>
          <t>https://www.mercadao.pt/store/pingo-doce</t>
        </is>
      </c>
      <c r="E153" s="13" t="inlineStr">
        <is>
          <t>TIER_1A</t>
        </is>
      </c>
      <c r="F153" s="13" t="inlineStr">
        <is>
          <t>low</t>
        </is>
      </c>
      <c r="G153" s="13" t="inlineStr">
        <is>
          <t>Wave 3</t>
        </is>
      </c>
      <c r="H153" s="13" t="inlineStr">
        <is>
          <t>spider</t>
        </is>
      </c>
      <c r="I153" s="13" t="inlineStr">
        <is>
          <t>One bespoke spider or fetcher per source</t>
        </is>
      </c>
      <c r="J153" s="13" t="inlineStr">
        <is>
          <t>Z_bespoke</t>
        </is>
      </c>
      <c r="K153" s="13" t="inlineStr">
        <is>
          <t>Custom (Mercadao)</t>
        </is>
      </c>
      <c r="L153" s="13" t="inlineStr">
        <is>
          <t>retailer_sku</t>
        </is>
      </c>
      <c r="M153" s="13" t="inlineStr">
        <is>
          <t>marketplace</t>
        </is>
      </c>
      <c r="N153" s="13" t="inlineStr">
        <is>
          <t>EUR</t>
        </is>
      </c>
      <c r="O153" s="13" t="n">
        <v>150</v>
      </c>
      <c r="P153" s="13" t="inlineStr">
        <is>
          <t>SSR store HTML</t>
        </is>
      </c>
      <c r="Q153" s="13" t="inlineStr">
        <is>
          <t>GET -&gt; 200, 652KB SSR. Direct prices '7,37€' / '2,09€' / '12,93€' in HTML.</t>
        </is>
      </c>
      <c r="R153" s="13" t="b">
        <v>1</v>
      </c>
      <c r="S153" s="13" t="inlineStr">
        <is>
          <t>Pingo Doce's online catalogue runs through the Mercadao platform, distinct from the pingodoce.pt service pages.</t>
        </is>
      </c>
      <c r="T153" s="13" t="inlineStr"/>
    </row>
    <row r="154">
      <c r="A154" s="13" t="inlineStr">
        <is>
          <t>eca</t>
        </is>
      </c>
      <c r="B154" s="13" t="inlineStr">
        <is>
          <t>spain</t>
        </is>
      </c>
      <c r="C154" s="13" t="inlineStr">
        <is>
          <t>ahorrapasta.com</t>
        </is>
      </c>
      <c r="D154" s="13" t="inlineStr">
        <is>
          <t>https://www.ahorrapasta.com/</t>
        </is>
      </c>
      <c r="E154" s="13" t="inlineStr">
        <is>
          <t>TIER_1A</t>
        </is>
      </c>
      <c r="F154" s="13" t="inlineStr">
        <is>
          <t>low</t>
        </is>
      </c>
      <c r="G154" s="13" t="inlineStr">
        <is>
          <t>Wave 3</t>
        </is>
      </c>
      <c r="H154" s="13" t="inlineStr">
        <is>
          <t>spider</t>
        </is>
      </c>
      <c r="I154" s="13" t="inlineStr">
        <is>
          <t>One bespoke spider or fetcher per source</t>
        </is>
      </c>
      <c r="J154" s="13" t="inlineStr">
        <is>
          <t>Z_bespoke</t>
        </is>
      </c>
      <c r="K154" s="13" t="inlineStr">
        <is>
          <t>Custom</t>
        </is>
      </c>
      <c r="L154" s="13" t="inlineStr">
        <is>
          <t>retailer_sku</t>
        </is>
      </c>
      <c r="M154" s="13" t="inlineStr">
        <is>
          <t>aggregator</t>
        </is>
      </c>
      <c r="N154" s="13" t="inlineStr">
        <is>
          <t>EUR</t>
        </is>
      </c>
      <c r="O154" s="13" t="n">
        <v>150</v>
      </c>
      <c r="P154" s="13" t="inlineStr">
        <is>
          <t>SSR listing HTML</t>
        </is>
      </c>
      <c r="Q154" s="13" t="inlineStr">
        <is>
          <t>GET -&gt; 200, 166KB SSR. Direct prices '1.51€' / '1.55€' in HTML.</t>
        </is>
      </c>
      <c r="R154" s="13" t="b">
        <v>1</v>
      </c>
      <c r="S154" s="13" t="inlineStr">
        <is>
          <t>49,036 prices daily across 37,438 products per shard; Alimentacion category alone has 19,824 items.</t>
        </is>
      </c>
      <c r="T154" s="13" t="inlineStr"/>
    </row>
    <row r="155">
      <c r="A155" s="13" t="inlineStr">
        <is>
          <t>sar</t>
        </is>
      </c>
      <c r="B155" s="13" t="inlineStr">
        <is>
          <t>pakistan</t>
        </is>
      </c>
      <c r="C155" s="13" t="inlineStr">
        <is>
          <t>Metro Online (METRO Pakistan)</t>
        </is>
      </c>
      <c r="D155" s="13" t="inlineStr">
        <is>
          <t>https://www.metro-online.pk/</t>
        </is>
      </c>
      <c r="E155" s="13" t="inlineStr">
        <is>
          <t>TIER_1B</t>
        </is>
      </c>
      <c r="F155" s="13" t="inlineStr">
        <is>
          <t>low</t>
        </is>
      </c>
      <c r="G155" s="13" t="inlineStr">
        <is>
          <t>Wave 3</t>
        </is>
      </c>
      <c r="H155" s="13" t="inlineStr">
        <is>
          <t>spider</t>
        </is>
      </c>
      <c r="I155" s="13" t="inlineStr">
        <is>
          <t>One bespoke spider or fetcher per source</t>
        </is>
      </c>
      <c r="J155" s="13" t="inlineStr">
        <is>
          <t>Z_bespoke</t>
        </is>
      </c>
      <c r="K155" s="13" t="inlineStr">
        <is>
          <t>Custom (Xcentric-backend Node.js)</t>
        </is>
      </c>
      <c r="L155" s="13" t="inlineStr">
        <is>
          <t>retailer_sku</t>
        </is>
      </c>
      <c r="M155" s="13" t="inlineStr">
        <is>
          <t>supermarket</t>
        </is>
      </c>
      <c r="N155" s="13" t="inlineStr">
        <is>
          <t>PKR</t>
        </is>
      </c>
      <c r="O155" s="13" t="n">
        <v>150</v>
      </c>
      <c r="P155" s="13" t="inlineStr">
        <is>
          <t>admin.metro-online.pk/api/read/Products?filter=tier2Id&amp;filterValue={categoryId}&amp;storeId=10</t>
        </is>
      </c>
      <c r="Q155" s="13" t="inlineStr">
        <is>
          <t>admin.metro-online.pk/api/read/Categories?&amp;filter=storeId&amp;filterValue=10 -&gt; HTTP 200, 597KB JSON, 236 categories, 183 tagged category_assortment_type='Food' (Fresh Fruits, Fresh Food, Dairy/Milk, Bakery/Breads, Rice, Cooking Essentials/Flour, Sauces and Seasonings, Desserts, Snacks, Beverages, Tea and Coffee, etc). Per-category product pull confirmed: admin.metro-online.pk/api/read/Products?filter=tier2Id&amp;filterValue=8353&amp;storeId=10 (Milk) -&gt; HTTP 200, 293KB, 136 products. Sample: 'Nurpur UHT Milk 1.5 LTR' PKR 345, 'Sundar Khani Grapes Per 250GM' PKR 125 (sale_price). No auth, no WAF, plain curl.</t>
        </is>
      </c>
      <c r="R155" s="13" t="b">
        <v>0</v>
      </c>
      <c r="S155" s="13" t="inlineStr">
        <is>
          <t>The single best find of this entire probe -- Pakistan had zero manifests before this. Metro is a full hypermarket format (fresh produce + dairy + bakery + rice/grains + sauces + snacks + beverages), whole-catalog walkable by iterating the 183 Food tier2Id category ids from the Categories endpoint. Onboard first for Pakistan.</t>
        </is>
      </c>
      <c r="T155" s="13" t="inlineStr"/>
    </row>
    <row r="156">
      <c r="A156" s="13" t="inlineStr">
        <is>
          <t>eca</t>
        </is>
      </c>
      <c r="B156" s="13" t="inlineStr">
        <is>
          <t>serbia</t>
        </is>
      </c>
      <c r="C156" s="13" t="inlineStr">
        <is>
          <t>DIS</t>
        </is>
      </c>
      <c r="D156" s="13" t="inlineStr">
        <is>
          <t>https://www.dis.rs/</t>
        </is>
      </c>
      <c r="E156" s="13" t="inlineStr">
        <is>
          <t>TIER_1A</t>
        </is>
      </c>
      <c r="F156" s="13" t="inlineStr">
        <is>
          <t>low</t>
        </is>
      </c>
      <c r="G156" s="13" t="inlineStr">
        <is>
          <t>Wave 3</t>
        </is>
      </c>
      <c r="H156" s="13" t="inlineStr">
        <is>
          <t>spider</t>
        </is>
      </c>
      <c r="I156" s="13" t="inlineStr">
        <is>
          <t>One bespoke spider or fetcher per source</t>
        </is>
      </c>
      <c r="J156" s="13" t="inlineStr">
        <is>
          <t>Z_bespoke</t>
        </is>
      </c>
      <c r="K156" s="13" t="inlineStr">
        <is>
          <t>Next.js</t>
        </is>
      </c>
      <c r="L156" s="13" t="inlineStr">
        <is>
          <t>retailer_sku</t>
        </is>
      </c>
      <c r="M156" s="13" t="inlineStr">
        <is>
          <t>supermarket</t>
        </is>
      </c>
      <c r="N156" s="13" t="inlineStr">
        <is>
          <t>RSD</t>
        </is>
      </c>
      <c r="O156" s="13" t="n">
        <v>140</v>
      </c>
      <c r="P156" s="13" t="inlineStr">
        <is>
          <t>SSR HTML</t>
        </is>
      </c>
      <c r="Q156" s="13" t="inlineStr">
        <is>
          <t>curl 200, Next.js SSR (data-nimg image markers). Confirmed real product + price pair in raw HTML: 'Kruska sveza kg' (fresh pear/kg) was-price 109.99, current price 99.99. Nav also shows real product names: 'Dis bela kobasica kg' (sausage), 'Dobro dimljeni sir kg' (smoked cheese), 'Juneci but bk kg' (beef leg), 'Krompir crveni mladi kg' (potato), 'Kukuruz secerac kom' (corn), 'Paprika babura kg' (bell pepper)</t>
        </is>
      </c>
      <c r="R156" s="13" t="b">
        <v>1</v>
      </c>
      <c r="S156" s="13" t="inlineStr">
        <is>
          <t>Weekly dated promo window with strike-through originals across fresh meat/produce/dairy/bakery per CSV; also runs a B2B portal.</t>
        </is>
      </c>
      <c r="T156" s="13" t="inlineStr"/>
    </row>
    <row r="157">
      <c r="A157" s="13" t="inlineStr">
        <is>
          <t>eca</t>
        </is>
      </c>
      <c r="B157" s="13" t="inlineStr">
        <is>
          <t>georgia</t>
        </is>
      </c>
      <c r="C157" s="13" t="inlineStr">
        <is>
          <t>Europroduct</t>
        </is>
      </c>
      <c r="D157" s="13" t="inlineStr">
        <is>
          <t>https://europroduct.ge/</t>
        </is>
      </c>
      <c r="E157" s="13" t="inlineStr">
        <is>
          <t>TIER_1A</t>
        </is>
      </c>
      <c r="F157" s="13" t="inlineStr">
        <is>
          <t>low</t>
        </is>
      </c>
      <c r="G157" s="13" t="inlineStr">
        <is>
          <t>Wave 3</t>
        </is>
      </c>
      <c r="H157" s="13" t="inlineStr">
        <is>
          <t>spider</t>
        </is>
      </c>
      <c r="I157" s="13" t="inlineStr">
        <is>
          <t>One bespoke spider or fetcher per source</t>
        </is>
      </c>
      <c r="J157" s="13" t="inlineStr">
        <is>
          <t>Z_bespoke</t>
        </is>
      </c>
      <c r="K157" s="13" t="inlineStr">
        <is>
          <t>Custom</t>
        </is>
      </c>
      <c r="L157" s="13" t="inlineStr">
        <is>
          <t>retailer_sku</t>
        </is>
      </c>
      <c r="M157" s="13" t="inlineStr">
        <is>
          <t>supermarket</t>
        </is>
      </c>
      <c r="N157" s="13" t="inlineStr">
        <is>
          <t>GEL</t>
        </is>
      </c>
      <c r="O157" s="13" t="n">
        <v>140</v>
      </c>
      <c r="P157" s="13" t="inlineStr">
        <is>
          <t>/products?pcat_idIn=&lt;id&gt;</t>
        </is>
      </c>
      <c r="Q157" s="13" t="inlineStr">
        <is>
          <t>GET /products?pcat_idIn=126 -&gt; 200, 91KB. Product card: h2.product-name 'kurkuma (50g)' (turmeric), span.product-price '3,15 €' (GEL displayed with ₴ symbol on other cards e.g. '9,40 ₺', '5,95 ₺'). SSR category pages with real product/price pairs.</t>
        </is>
      </c>
      <c r="R157" s="13" t="b">
        <v>1</v>
      </c>
      <c r="S157" s="13" t="inlineStr">
        <is>
          <t>5K+ items per CSV; also on Wolt/Glovo but own site works directly.</t>
        </is>
      </c>
      <c r="T157" s="13" t="inlineStr"/>
    </row>
    <row r="158">
      <c r="A158" s="13" t="inlineStr">
        <is>
          <t>eca</t>
        </is>
      </c>
      <c r="B158" s="13" t="inlineStr">
        <is>
          <t>kyrgyz_republic</t>
        </is>
      </c>
      <c r="C158" s="13" t="inlineStr">
        <is>
          <t>Globus Online</t>
        </is>
      </c>
      <c r="D158" s="13" t="inlineStr">
        <is>
          <t>https://globus-online.kg/</t>
        </is>
      </c>
      <c r="E158" s="13" t="inlineStr">
        <is>
          <t>TIER_1A</t>
        </is>
      </c>
      <c r="F158" s="13" t="inlineStr">
        <is>
          <t>low</t>
        </is>
      </c>
      <c r="G158" s="13" t="inlineStr">
        <is>
          <t>Wave 3</t>
        </is>
      </c>
      <c r="H158" s="13" t="inlineStr">
        <is>
          <t>spider</t>
        </is>
      </c>
      <c r="I158" s="13" t="inlineStr">
        <is>
          <t>One bespoke spider or fetcher per source</t>
        </is>
      </c>
      <c r="J158" s="13" t="inlineStr">
        <is>
          <t>Z_bespoke</t>
        </is>
      </c>
      <c r="K158" s="13" t="inlineStr">
        <is>
          <t>Custom</t>
        </is>
      </c>
      <c r="L158" s="13" t="inlineStr">
        <is>
          <t>retailer_sku</t>
        </is>
      </c>
      <c r="M158" s="13" t="inlineStr">
        <is>
          <t>supermarket</t>
        </is>
      </c>
      <c r="N158" s="13" t="inlineStr">
        <is>
          <t>KGS</t>
        </is>
      </c>
      <c r="O158" s="13" t="n">
        <v>140</v>
      </c>
      <c r="P158" s="13" t="inlineStr">
        <is>
          <t>/ru-kg/catalog/grocery/category/&lt;hash&gt;</t>
        </is>
      </c>
      <c r="Q158" s="13" t="inlineStr">
        <is>
          <t>GET / -&gt; 200, 366KB. Full grocery category tree with real category IDs (/ru-kg/catalog/grocery/category/&lt;hash&gt;), som prices in raw HTML (79,28 сом, 235,47 сом).</t>
        </is>
      </c>
      <c r="R158" s="13" t="b">
        <v>1</v>
      </c>
      <c r="S158" s="13" t="inlineStr">
        <is>
          <t>Major national chain, 10-minute delivery per CSV. Only fully-confirmed retailer_sku source for Kyrgyz Republic this round -- see 'discovered' for net-new candidates that did not pan out.</t>
        </is>
      </c>
      <c r="T158" s="13" t="inlineStr"/>
    </row>
    <row r="159">
      <c r="A159" s="13" t="inlineStr">
        <is>
          <t>eca</t>
        </is>
      </c>
      <c r="B159" s="13" t="inlineStr">
        <is>
          <t>croatia</t>
        </is>
      </c>
      <c r="C159" s="13" t="inlineStr">
        <is>
          <t>Studenac</t>
        </is>
      </c>
      <c r="D159" s="13" t="inlineStr">
        <is>
          <t>https://www.studenac.hr/</t>
        </is>
      </c>
      <c r="E159" s="13" t="inlineStr">
        <is>
          <t>TIER_1A</t>
        </is>
      </c>
      <c r="F159" s="13" t="inlineStr">
        <is>
          <t>low</t>
        </is>
      </c>
      <c r="G159" s="13" t="inlineStr">
        <is>
          <t>Wave 3</t>
        </is>
      </c>
      <c r="H159" s="13" t="inlineStr">
        <is>
          <t>spider</t>
        </is>
      </c>
      <c r="I159" s="13" t="inlineStr">
        <is>
          <t>One bespoke spider or fetcher per source</t>
        </is>
      </c>
      <c r="J159" s="13" t="inlineStr">
        <is>
          <t>Z_bespoke</t>
        </is>
      </c>
      <c r="K159" s="13" t="inlineStr">
        <is>
          <t>Next.js</t>
        </is>
      </c>
      <c r="L159" s="13" t="inlineStr">
        <is>
          <t>retailer_sku</t>
        </is>
      </c>
      <c r="M159" s="13" t="inlineStr">
        <is>
          <t>supermarket</t>
        </is>
      </c>
      <c r="N159" s="13" t="inlineStr">
        <is>
          <t>EUR</t>
        </is>
      </c>
      <c r="O159" s="13" t="n">
        <v>140</v>
      </c>
      <c r="P159" s="13" t="inlineStr">
        <is>
          <t>SSR homepage/category HTML</t>
        </is>
      </c>
      <c r="Q159" s="13" t="inlineStr">
        <is>
          <t>GET -&gt; 200, 59KB SSR (Next.js). Samples: 'Instant kava', 'Mlijeko trajno', 'Tjestenina penne rigate' with prices 3,59€ / 4,99€ / 6,49€.</t>
        </is>
      </c>
      <c r="R159" s="13" t="b">
        <v>1</v>
      </c>
      <c r="S159" s="13" t="inlineStr">
        <is>
          <t>Overturns shard's D-tier 'SUSPECT' prediction -- plain curl works. Largest store count in Croatia, good for spatial coverage.</t>
        </is>
      </c>
      <c r="T159" s="13" t="inlineStr"/>
    </row>
    <row r="160">
      <c r="A160" s="13" t="inlineStr">
        <is>
          <t>eca</t>
        </is>
      </c>
      <c r="B160" s="13" t="inlineStr">
        <is>
          <t>czech_republic</t>
        </is>
      </c>
      <c r="C160" s="13" t="inlineStr">
        <is>
          <t>Billa CZ</t>
        </is>
      </c>
      <c r="D160" s="13" t="inlineStr">
        <is>
          <t>https://www.billa.cz/</t>
        </is>
      </c>
      <c r="E160" s="13" t="inlineStr">
        <is>
          <t>TIER_1A</t>
        </is>
      </c>
      <c r="F160" s="13" t="inlineStr">
        <is>
          <t>low</t>
        </is>
      </c>
      <c r="G160" s="13" t="inlineStr">
        <is>
          <t>Wave 3</t>
        </is>
      </c>
      <c r="H160" s="13" t="inlineStr">
        <is>
          <t>spider</t>
        </is>
      </c>
      <c r="I160" s="13" t="inlineStr">
        <is>
          <t>One bespoke spider or fetcher per source</t>
        </is>
      </c>
      <c r="J160" s="13" t="inlineStr">
        <is>
          <t>Z_bespoke</t>
        </is>
      </c>
      <c r="K160" s="13" t="inlineStr">
        <is>
          <t>Nuxt/React hybrid</t>
        </is>
      </c>
      <c r="L160" s="13" t="inlineStr">
        <is>
          <t>retailer_sku</t>
        </is>
      </c>
      <c r="M160" s="13" t="inlineStr">
        <is>
          <t>supermarket</t>
        </is>
      </c>
      <c r="N160" s="13" t="inlineStr">
        <is>
          <t>CZK</t>
        </is>
      </c>
      <c r="O160" s="13" t="n">
        <v>140</v>
      </c>
      <c r="P160" s="13" t="inlineStr">
        <is>
          <t>SSR category HTML</t>
        </is>
      </c>
      <c r="Q160" s="13" t="inlineStr">
        <is>
          <t>GET -&gt; 200, 1.1MB SSR (Nuxt/React hybrid). Direct prices '99,50 Kč' / '19,90 Kč' / '59,50 Kč' in product-price DOM near data-test='product-price-type-value'.</t>
        </is>
      </c>
      <c r="R160" s="13" t="b">
        <v>1</v>
      </c>
      <c r="S160" s="13" t="inlineStr">
        <is>
          <t>Overturns shard's D-tier 'SUSPECT' prediction -- plain curl works, no WAF encountered.</t>
        </is>
      </c>
      <c r="T160" s="13" t="inlineStr"/>
    </row>
    <row r="161">
      <c r="A161" s="13" t="inlineStr">
        <is>
          <t>eca</t>
        </is>
      </c>
      <c r="B161" s="13" t="inlineStr">
        <is>
          <t>poland</t>
        </is>
      </c>
      <c r="C161" s="13" t="inlineStr">
        <is>
          <t>Frisco.pl</t>
        </is>
      </c>
      <c r="D161" s="13" t="inlineStr">
        <is>
          <t>https://www.frisco.pl/</t>
        </is>
      </c>
      <c r="E161" s="13" t="inlineStr">
        <is>
          <t>TIER_1A</t>
        </is>
      </c>
      <c r="F161" s="13" t="inlineStr">
        <is>
          <t>low</t>
        </is>
      </c>
      <c r="G161" s="13" t="inlineStr">
        <is>
          <t>Wave 3</t>
        </is>
      </c>
      <c r="H161" s="13" t="inlineStr">
        <is>
          <t>spider</t>
        </is>
      </c>
      <c r="I161" s="13" t="inlineStr">
        <is>
          <t>One bespoke spider or fetcher per source</t>
        </is>
      </c>
      <c r="J161" s="13" t="inlineStr">
        <is>
          <t>Z_bespoke</t>
        </is>
      </c>
      <c r="K161" s="13" t="inlineStr">
        <is>
          <t>Custom</t>
        </is>
      </c>
      <c r="L161" s="13" t="inlineStr">
        <is>
          <t>retailer_sku</t>
        </is>
      </c>
      <c r="M161" s="13" t="inlineStr">
        <is>
          <t>supermarket</t>
        </is>
      </c>
      <c r="N161" s="13" t="inlineStr">
        <is>
          <t>PLN</t>
        </is>
      </c>
      <c r="O161" s="13" t="n">
        <v>140</v>
      </c>
      <c r="P161" s="13" t="inlineStr">
        <is>
          <t>SSR category HTML</t>
        </is>
      </c>
      <c r="Q161" s="13" t="inlineStr">
        <is>
          <t>GET -&gt; 200, 1.24MB SSR. Direct prices '51,16 zł' / '5,29 zł' / '12,79 zł' in HTML.</t>
        </is>
      </c>
      <c r="R161" s="13" t="b">
        <v>1</v>
      </c>
      <c r="S161" s="13" t="inlineStr">
        <is>
          <t>Per shard, confirms EU Omnibus Art.6a ('cena przed obniżką') plus per-kg unit price and purchase-limit flags -- capture all three.</t>
        </is>
      </c>
      <c r="T161" s="13" t="inlineStr"/>
    </row>
    <row r="162">
      <c r="A162" s="13" t="inlineStr">
        <is>
          <t>eca</t>
        </is>
      </c>
      <c r="B162" s="13" t="inlineStr">
        <is>
          <t>slovak_republic</t>
        </is>
      </c>
      <c r="C162" s="13" t="inlineStr">
        <is>
          <t>Billa SK</t>
        </is>
      </c>
      <c r="D162" s="13" t="inlineStr">
        <is>
          <t>https://www.billa.sk/</t>
        </is>
      </c>
      <c r="E162" s="13" t="inlineStr">
        <is>
          <t>TIER_1A</t>
        </is>
      </c>
      <c r="F162" s="13" t="inlineStr">
        <is>
          <t>low</t>
        </is>
      </c>
      <c r="G162" s="13" t="inlineStr">
        <is>
          <t>Wave 3</t>
        </is>
      </c>
      <c r="H162" s="13" t="inlineStr">
        <is>
          <t>spider</t>
        </is>
      </c>
      <c r="I162" s="13" t="inlineStr">
        <is>
          <t>One bespoke spider or fetcher per source</t>
        </is>
      </c>
      <c r="J162" s="13" t="inlineStr">
        <is>
          <t>Z_bespoke</t>
        </is>
      </c>
      <c r="K162" s="13" t="inlineStr">
        <is>
          <t>Nuxt/React hybrid</t>
        </is>
      </c>
      <c r="L162" s="13" t="inlineStr">
        <is>
          <t>retailer_sku</t>
        </is>
      </c>
      <c r="M162" s="13" t="inlineStr">
        <is>
          <t>supermarket</t>
        </is>
      </c>
      <c r="N162" s="13" t="inlineStr">
        <is>
          <t>EUR</t>
        </is>
      </c>
      <c r="O162" s="13" t="n">
        <v>140</v>
      </c>
      <c r="P162" s="13" t="inlineStr">
        <is>
          <t>SSR homepage/category HTML</t>
        </is>
      </c>
      <c r="Q162" s="13" t="inlineStr">
        <is>
          <t>GET -&gt; 200, 593KB SSR (Nuxt/React hybrid). Direct prices '0,01€' / '15,99€' in HTML.</t>
        </is>
      </c>
      <c r="R162" s="13" t="b">
        <v>1</v>
      </c>
      <c r="S162" s="13" t="inlineStr">
        <is>
          <t>Overturns shard's D-tier 'SUSPECT' prediction -- plain curl works, no WAF encountered. Same platform family as Billa CZ.</t>
        </is>
      </c>
      <c r="T162" s="13" t="inlineStr"/>
    </row>
    <row r="163">
      <c r="A163" s="13" t="inlineStr">
        <is>
          <t>eca</t>
        </is>
      </c>
      <c r="B163" s="13" t="inlineStr">
        <is>
          <t>spain</t>
        </is>
      </c>
      <c r="C163" s="13" t="inlineStr">
        <is>
          <t>Dia</t>
        </is>
      </c>
      <c r="D163" s="13" t="inlineStr">
        <is>
          <t>https://www.dia.es/</t>
        </is>
      </c>
      <c r="E163" s="13" t="inlineStr">
        <is>
          <t>TIER_1A</t>
        </is>
      </c>
      <c r="F163" s="13" t="inlineStr">
        <is>
          <t>low</t>
        </is>
      </c>
      <c r="G163" s="13" t="inlineStr">
        <is>
          <t>Wave 3</t>
        </is>
      </c>
      <c r="H163" s="13" t="inlineStr">
        <is>
          <t>spider</t>
        </is>
      </c>
      <c r="I163" s="13" t="inlineStr">
        <is>
          <t>One bespoke spider or fetcher per source</t>
        </is>
      </c>
      <c r="J163" s="13" t="inlineStr">
        <is>
          <t>Z_bespoke</t>
        </is>
      </c>
      <c r="K163" s="13" t="inlineStr">
        <is>
          <t>Custom</t>
        </is>
      </c>
      <c r="L163" s="13" t="inlineStr">
        <is>
          <t>retailer_sku</t>
        </is>
      </c>
      <c r="M163" s="13" t="inlineStr">
        <is>
          <t>supermarket</t>
        </is>
      </c>
      <c r="N163" s="13" t="inlineStr">
        <is>
          <t>EUR</t>
        </is>
      </c>
      <c r="O163" s="13" t="n">
        <v>140</v>
      </c>
      <c r="P163" s="13" t="inlineStr">
        <is>
          <t>SSR homepage/category HTML</t>
        </is>
      </c>
      <c r="Q163" s="13" t="inlineStr">
        <is>
          <t>GET -&gt; 200, 218KB SSR. Direct price '4,99€' in HTML.</t>
        </is>
      </c>
      <c r="R163" s="13" t="b">
        <v>1</v>
      </c>
      <c r="S163" s="13" t="inlineStr">
        <is>
          <t>Discounter; independent tracking finds DIA wins most head-to-heads vs Mercadona/Carrefour per shard.</t>
        </is>
      </c>
      <c r="T163" s="13" t="inlineStr"/>
    </row>
    <row r="164">
      <c r="A164" s="13" t="inlineStr">
        <is>
          <t>eca</t>
        </is>
      </c>
      <c r="B164" s="13" t="inlineStr">
        <is>
          <t>spain</t>
        </is>
      </c>
      <c r="C164" s="13" t="inlineStr">
        <is>
          <t>Ulabox</t>
        </is>
      </c>
      <c r="D164" s="13" t="inlineStr">
        <is>
          <t>https://www.ulabox.com/</t>
        </is>
      </c>
      <c r="E164" s="13" t="inlineStr">
        <is>
          <t>TIER_1B</t>
        </is>
      </c>
      <c r="F164" s="13" t="inlineStr">
        <is>
          <t>low</t>
        </is>
      </c>
      <c r="G164" s="13" t="inlineStr">
        <is>
          <t>Wave 3</t>
        </is>
      </c>
      <c r="H164" s="13" t="inlineStr">
        <is>
          <t>spider</t>
        </is>
      </c>
      <c r="I164" s="13" t="inlineStr">
        <is>
          <t>One bespoke spider or fetcher per source</t>
        </is>
      </c>
      <c r="J164" s="13" t="inlineStr">
        <is>
          <t>Z_bespoke</t>
        </is>
      </c>
      <c r="K164" s="13" t="inlineStr">
        <is>
          <t>Next.js</t>
        </is>
      </c>
      <c r="L164" s="13" t="inlineStr">
        <is>
          <t>retailer_sku</t>
        </is>
      </c>
      <c r="M164" s="13" t="inlineStr">
        <is>
          <t>supermarket</t>
        </is>
      </c>
      <c r="N164" s="13" t="inlineStr">
        <is>
          <t>EUR</t>
        </is>
      </c>
      <c r="O164" s="13" t="n">
        <v>140</v>
      </c>
      <c r="P164" s="13" t="inlineStr">
        <is>
          <t>page-embedded JSON (Next.js hydration)</t>
        </is>
      </c>
      <c r="Q164" s="13" t="inlineStr">
        <is>
          <t>GET -&gt; 200, 347KB. Embedded JSON 'price':9.95 and 'price':12.45 in page source.</t>
        </is>
      </c>
      <c r="R164" s="13" t="b">
        <v>1</v>
      </c>
      <c r="S164" s="13" t="inlineStr">
        <is>
          <t>Bespoke storefront, prices present in initial page payload.</t>
        </is>
      </c>
      <c r="T164" s="13" t="inlineStr"/>
    </row>
    <row r="165">
      <c r="A165" s="13" t="inlineStr">
        <is>
          <t>sar</t>
        </is>
      </c>
      <c r="B165" s="13" t="inlineStr">
        <is>
          <t>maldives</t>
        </is>
      </c>
      <c r="C165" s="13" t="inlineStr">
        <is>
          <t>WHIM</t>
        </is>
      </c>
      <c r="D165" s="13" t="inlineStr">
        <is>
          <t>https://whim.com.mv/</t>
        </is>
      </c>
      <c r="E165" s="13" t="inlineStr">
        <is>
          <t>TIER_1A</t>
        </is>
      </c>
      <c r="F165" s="13" t="inlineStr">
        <is>
          <t>low</t>
        </is>
      </c>
      <c r="G165" s="13" t="inlineStr">
        <is>
          <t>Wave 3</t>
        </is>
      </c>
      <c r="H165" s="13" t="inlineStr">
        <is>
          <t>spider</t>
        </is>
      </c>
      <c r="I165" s="13" t="inlineStr">
        <is>
          <t>One bespoke spider or fetcher per source</t>
        </is>
      </c>
      <c r="J165" s="13" t="inlineStr">
        <is>
          <t>Z_bespoke</t>
        </is>
      </c>
      <c r="K165" s="13" t="inlineStr">
        <is>
          <t>Custom (not yet fingerprinted beyond SSR HTML)</t>
        </is>
      </c>
      <c r="L165" s="13" t="inlineStr">
        <is>
          <t>retailer_sku</t>
        </is>
      </c>
      <c r="M165" s="13" t="inlineStr">
        <is>
          <t>supermarket</t>
        </is>
      </c>
      <c r="N165" s="13" t="inlineStr">
        <is>
          <t>MVR</t>
        </is>
      </c>
      <c r="O165" s="13" t="n">
        <v>140</v>
      </c>
      <c r="P165" s="13" t="inlineStr"/>
      <c r="Q165" s="13" t="inlineStr">
        <is>
          <t>GET /shop -&gt; 200, 192KB SSR HTML. ~55 category links found: dairy/eggs/milk (butter, cheese, milk, yogurt), drinks (chocolate-malted, coffee, cordials, juices, non-alcoholic, soft drinks, tea incl. flower/herbal, water), fresh-fruits-vegetables, frozen (food, meat, seafood, vegetables, ice-cream), chilled-ham-sausage, maldivian-smoked-dried-fish-related-products, pantry (baking, breads incl. flatbread/wraps, breakfast/cereals, canned foods/fruits, coconut products, condiments incl. Maldivian condiments and pickles/chutney, dried fruit, herbs/legumes/spices, jam/spreads/honey, noodles, oils/vinegar, pasta, rice/multigrains/quinoa, sauces, snacks, sugar/syrups), vegan, baby food.</t>
        </is>
      </c>
      <c r="R165" s="13" t="b">
        <v>0</v>
      </c>
      <c r="S165" s="13" t="inlineStr">
        <is>
          <t>This is the already-onboarded 'whim_mv' spider (manifest lists it as channel: supermarket on Odoo, PDPs at /shop/&lt;slug&gt;-&lt;id&gt;) -- re-verified category breadth here since it anchors the whole Maldives estimate. Genuinely the closest thing to a full-line supermarket found for Maldives: strong pantry/dairy/drinks/frozen breadth including a Maldivian-specific dried/smoked fish line, but NO fresh meat and NO fresh fish category (only frozen meat/seafood + chilled ham/sausage) -- matches the island-import-dependent profile the brief predicted.</t>
        </is>
      </c>
      <c r="T165" s="13" t="inlineStr"/>
    </row>
    <row r="166">
      <c r="A166" s="13" t="inlineStr">
        <is>
          <t>ssa</t>
        </is>
      </c>
      <c r="B166" s="13" t="inlineStr">
        <is>
          <t>zimbabwe</t>
        </is>
      </c>
      <c r="C166" s="13" t="inlineStr">
        <is>
          <t>SPAR Zimbabwe</t>
        </is>
      </c>
      <c r="D166" s="13" t="inlineStr">
        <is>
          <t>https://www.spar.co.zw/products</t>
        </is>
      </c>
      <c r="E166" s="13" t="inlineStr">
        <is>
          <t>TIER_1A</t>
        </is>
      </c>
      <c r="F166" s="13" t="inlineStr">
        <is>
          <t>low</t>
        </is>
      </c>
      <c r="G166" s="13" t="inlineStr">
        <is>
          <t>Wave 3</t>
        </is>
      </c>
      <c r="H166" s="13" t="inlineStr">
        <is>
          <t>spider</t>
        </is>
      </c>
      <c r="I166" s="13" t="inlineStr">
        <is>
          <t>One bespoke spider or fetcher per source</t>
        </is>
      </c>
      <c r="J166" s="13" t="inlineStr">
        <is>
          <t>Z_bespoke</t>
        </is>
      </c>
      <c r="K166" s="13" t="inlineStr">
        <is>
          <t>Custom (ASP.NET WebForms + AngularJS)</t>
        </is>
      </c>
      <c r="L166" s="13" t="inlineStr">
        <is>
          <t>retailer_sku</t>
        </is>
      </c>
      <c r="M166" s="13" t="inlineStr">
        <is>
          <t>supermarket</t>
        </is>
      </c>
      <c r="N166" s="13" t="inlineStr">
        <is>
          <t>USD</t>
        </is>
      </c>
      <c r="O166" s="13" t="n">
        <v>140</v>
      </c>
      <c r="P166" s="13" t="inlineStr">
        <is>
          <t>SSR HTML listing at /products (paginated/searchable via query string, not yet mapped)</t>
        </is>
      </c>
      <c r="Q166" s="13" t="inlineStr">
        <is>
          <t>GET /products -&gt; 200, 134KB. Real ASP.NET+AngularJS-enhanced SSR product listing: 'MAZOE ORANGE CRUSH ORIGINAL 2L' -&gt; USD$4.00, 'RAHA COOKING OIL 2L' visible with product-links markup, canonical /products/{id}/{slug} PDP URLs.</t>
        </is>
      </c>
      <c r="R166" s="13" t="b">
        <v>1</v>
      </c>
      <c r="S166" s="13" t="inlineStr">
        <is>
          <t>USD staples (maize meal, cooking oil, sugar) confirmed live and dollarised per prior research; full SPAR chain.</t>
        </is>
      </c>
      <c r="T166" s="13" t="inlineStr"/>
    </row>
    <row r="167">
      <c r="A167" s="13" t="inlineStr">
        <is>
          <t>eca</t>
        </is>
      </c>
      <c r="B167" s="13" t="inlineStr">
        <is>
          <t>romania</t>
        </is>
      </c>
      <c r="C167" s="13" t="inlineStr">
        <is>
          <t>MegaMarket.ro</t>
        </is>
      </c>
      <c r="D167" s="13" t="inlineStr">
        <is>
          <t>https://www.megamarket.ro/</t>
        </is>
      </c>
      <c r="E167" s="13" t="inlineStr">
        <is>
          <t>TIER_1A</t>
        </is>
      </c>
      <c r="F167" s="13" t="inlineStr">
        <is>
          <t>low</t>
        </is>
      </c>
      <c r="G167" s="13" t="inlineStr">
        <is>
          <t>Wave 3</t>
        </is>
      </c>
      <c r="H167" s="13" t="inlineStr">
        <is>
          <t>spider</t>
        </is>
      </c>
      <c r="I167" s="13" t="inlineStr">
        <is>
          <t>One bespoke spider or fetcher per source</t>
        </is>
      </c>
      <c r="J167" s="13" t="inlineStr">
        <is>
          <t>Z_bespoke</t>
        </is>
      </c>
      <c r="K167" s="13" t="inlineStr">
        <is>
          <t>Custom</t>
        </is>
      </c>
      <c r="L167" s="13" t="inlineStr">
        <is>
          <t>retailer_sku</t>
        </is>
      </c>
      <c r="M167" s="13" t="inlineStr">
        <is>
          <t>supermarket</t>
        </is>
      </c>
      <c r="N167" s="13" t="inlineStr">
        <is>
          <t>RON</t>
        </is>
      </c>
      <c r="O167" s="13" t="n">
        <v>130</v>
      </c>
      <c r="P167" s="13" t="inlineStr">
        <is>
          <t>SSR HTML</t>
        </is>
      </c>
      <c r="Q167" s="13" t="inlineStr">
        <is>
          <t>curl 200, 148KB, real prices in raw HTML: '8,09 lei', '0,81 lei', '13,49 lei', '33,94 lei', '3,57 lei'</t>
        </is>
      </c>
      <c r="R167" s="13" t="b">
        <v>1</v>
      </c>
      <c r="S167" s="13" t="inlineStr">
        <is>
          <t>CSV notes per-category item counts (conserve 278, paste 53) as a completeness check.</t>
        </is>
      </c>
      <c r="T167" s="13" t="inlineStr"/>
    </row>
    <row r="168">
      <c r="A168" s="13" t="inlineStr">
        <is>
          <t>eca</t>
        </is>
      </c>
      <c r="B168" s="13" t="inlineStr">
        <is>
          <t>austria</t>
        </is>
      </c>
      <c r="C168" s="13" t="inlineStr">
        <is>
          <t>MPreis</t>
        </is>
      </c>
      <c r="D168" s="13" t="inlineStr">
        <is>
          <t>https://www.mpreis.at/</t>
        </is>
      </c>
      <c r="E168" s="13" t="inlineStr">
        <is>
          <t>TIER_1A</t>
        </is>
      </c>
      <c r="F168" s="13" t="inlineStr">
        <is>
          <t>low</t>
        </is>
      </c>
      <c r="G168" s="13" t="inlineStr">
        <is>
          <t>Wave 3</t>
        </is>
      </c>
      <c r="H168" s="13" t="inlineStr">
        <is>
          <t>spider</t>
        </is>
      </c>
      <c r="I168" s="13" t="inlineStr">
        <is>
          <t>One bespoke spider or fetcher per source</t>
        </is>
      </c>
      <c r="J168" s="13" t="inlineStr">
        <is>
          <t>Z_bespoke</t>
        </is>
      </c>
      <c r="K168" s="13" t="inlineStr">
        <is>
          <t>Custom + Algolia</t>
        </is>
      </c>
      <c r="L168" s="13" t="inlineStr">
        <is>
          <t>retailer_sku</t>
        </is>
      </c>
      <c r="M168" s="13" t="inlineStr">
        <is>
          <t>supermarket</t>
        </is>
      </c>
      <c r="N168" s="13" t="inlineStr">
        <is>
          <t>EUR</t>
        </is>
      </c>
      <c r="O168" s="13" t="n">
        <v>130</v>
      </c>
      <c r="P168" s="13" t="inlineStr">
        <is>
          <t>SSR HTML (Algolia search key not yet extracted)</t>
        </is>
      </c>
      <c r="Q168" s="13" t="inlineStr">
        <is>
          <t>curl 200, 640KB, Algolia detected, real prices in raw HTML: '0,78 €', '1,57 €', '1,56 €', '3,99 €', '5,99 €', '12,09 €'</t>
        </is>
      </c>
      <c r="R168" s="13" t="b">
        <v>0</v>
      </c>
      <c r="S168" s="13" t="inlineStr">
        <is>
          <t>Net-new discovery (not in CSV shard) - Austria's 3 CSV rows all failed probing, this fills the gap. Tyrol-based regional chain, ~150 stores nationwide-adjacent.</t>
        </is>
      </c>
      <c r="T168" s="13" t="inlineStr"/>
    </row>
    <row r="169">
      <c r="A169" s="13" t="inlineStr">
        <is>
          <t>eca</t>
        </is>
      </c>
      <c r="B169" s="13" t="inlineStr">
        <is>
          <t>iceland</t>
        </is>
      </c>
      <c r="C169" s="13" t="inlineStr">
        <is>
          <t>Heimkaup</t>
        </is>
      </c>
      <c r="D169" s="13" t="inlineStr">
        <is>
          <t>https://www.heimkaup.is/</t>
        </is>
      </c>
      <c r="E169" s="13" t="inlineStr">
        <is>
          <t>TIER_1B</t>
        </is>
      </c>
      <c r="F169" s="13" t="inlineStr">
        <is>
          <t>low</t>
        </is>
      </c>
      <c r="G169" s="13" t="inlineStr">
        <is>
          <t>Wave 3</t>
        </is>
      </c>
      <c r="H169" s="13" t="inlineStr">
        <is>
          <t>spider</t>
        </is>
      </c>
      <c r="I169" s="13" t="inlineStr">
        <is>
          <t>One bespoke spider or fetcher per source</t>
        </is>
      </c>
      <c r="J169" s="13" t="inlineStr">
        <is>
          <t>Z_bespoke</t>
        </is>
      </c>
      <c r="K169" s="13" t="inlineStr">
        <is>
          <t>Custom</t>
        </is>
      </c>
      <c r="L169" s="13" t="inlineStr">
        <is>
          <t>retailer_sku</t>
        </is>
      </c>
      <c r="M169" s="13" t="inlineStr">
        <is>
          <t>supermarket</t>
        </is>
      </c>
      <c r="N169" s="13" t="inlineStr">
        <is>
          <t>ISK</t>
        </is>
      </c>
      <c r="O169" s="13" t="n">
        <v>130</v>
      </c>
      <c r="P169" s="13" t="inlineStr">
        <is>
          <t>SSR embedded JSON at /p/&lt;slug&gt;-&lt;id&gt;</t>
        </is>
      </c>
      <c r="Q169" s="13" t="inlineStr">
        <is>
          <t>GET / -&gt; 200, 379KB. 49 unique /p/&lt;slug&gt;-&lt;id&gt; product links (beer, soft drinks, wine, ice cream). Embedded JSON for Pepsi Max 12x330ml: "price":129900,"commodityGroup":{"name":"GROCERY"}.</t>
        </is>
      </c>
      <c r="R169" s="13" t="b">
        <v>1</v>
      </c>
      <c r="S169" s="13" t="inlineStr">
        <is>
          <t>MINOR-UNIT TRAP: price field is in hundredths (129900 -&gt; 1,299.00 kr for a 12-pack), not literal ISK like Kronan. Verify against rendered page before trusting raw field.</t>
        </is>
      </c>
      <c r="T169" s="13" t="inlineStr"/>
    </row>
    <row r="170">
      <c r="A170" s="13" t="inlineStr">
        <is>
          <t>eca</t>
        </is>
      </c>
      <c r="B170" s="13" t="inlineStr">
        <is>
          <t>kosovo</t>
        </is>
      </c>
      <c r="C170" s="13" t="inlineStr">
        <is>
          <t>Maxi E-Shop</t>
        </is>
      </c>
      <c r="D170" s="13" t="inlineStr">
        <is>
          <t>https://maxiks.shop/</t>
        </is>
      </c>
      <c r="E170" s="13" t="inlineStr">
        <is>
          <t>TIER_1A</t>
        </is>
      </c>
      <c r="F170" s="13" t="inlineStr">
        <is>
          <t>low</t>
        </is>
      </c>
      <c r="G170" s="13" t="inlineStr">
        <is>
          <t>Wave 3</t>
        </is>
      </c>
      <c r="H170" s="13" t="inlineStr">
        <is>
          <t>spider</t>
        </is>
      </c>
      <c r="I170" s="13" t="inlineStr">
        <is>
          <t>One bespoke spider or fetcher per source</t>
        </is>
      </c>
      <c r="J170" s="13" t="inlineStr">
        <is>
          <t>Z_bespoke</t>
        </is>
      </c>
      <c r="K170" s="13" t="inlineStr">
        <is>
          <t>Custom</t>
        </is>
      </c>
      <c r="L170" s="13" t="inlineStr">
        <is>
          <t>retailer_sku</t>
        </is>
      </c>
      <c r="M170" s="13" t="inlineStr">
        <is>
          <t>supermarket</t>
        </is>
      </c>
      <c r="N170" s="13" t="inlineStr">
        <is>
          <t>EUR</t>
        </is>
      </c>
      <c r="O170" s="13" t="n">
        <v>130</v>
      </c>
      <c r="P170" s="13" t="inlineStr">
        <is>
          <t>/product/&lt;slug&gt;</t>
        </is>
      </c>
      <c r="Q170" s="13" t="inlineStr">
        <is>
          <t>GET / -&gt; 200, 390KB. Real product card: h3.product-title 'Faculet e lagur Fresh x 52cope' (wet wipes), h4.product-price '1.79€'. Full supermarket taxonomy visible in nav (Ushqimore=grocery, Bulmet=dairy, Pije=drinks, Fruta &amp; Perime=fruit&amp;veg, Pjekurina=bakery).</t>
        </is>
      </c>
      <c r="R170" s="13" t="b">
        <v>1</v>
      </c>
      <c r="S170" s="13" t="inlineStr">
        <is>
          <t>18 Prishtina outlets per CSV; EUR is Kosovo's domestic currency so this passes the currency-authenticity check cleanly.</t>
        </is>
      </c>
      <c r="T170" s="13" t="inlineStr"/>
    </row>
    <row r="171">
      <c r="A171" s="13" t="inlineStr">
        <is>
          <t>eca</t>
        </is>
      </c>
      <c r="B171" s="13" t="inlineStr">
        <is>
          <t>latvia</t>
        </is>
      </c>
      <c r="C171" s="13" t="inlineStr">
        <is>
          <t>Elvi.lv</t>
        </is>
      </c>
      <c r="D171" s="13" t="inlineStr">
        <is>
          <t>https://www.elvi.lv/</t>
        </is>
      </c>
      <c r="E171" s="13" t="inlineStr">
        <is>
          <t>TIER_1A</t>
        </is>
      </c>
      <c r="F171" s="13" t="inlineStr">
        <is>
          <t>low</t>
        </is>
      </c>
      <c r="G171" s="13" t="inlineStr">
        <is>
          <t>Wave 3</t>
        </is>
      </c>
      <c r="H171" s="13" t="inlineStr">
        <is>
          <t>spider</t>
        </is>
      </c>
      <c r="I171" s="13" t="inlineStr">
        <is>
          <t>One bespoke spider or fetcher per source</t>
        </is>
      </c>
      <c r="J171" s="13" t="inlineStr">
        <is>
          <t>Z_bespoke</t>
        </is>
      </c>
      <c r="K171" s="13" t="inlineStr">
        <is>
          <t>Custom</t>
        </is>
      </c>
      <c r="L171" s="13" t="inlineStr">
        <is>
          <t>retailer_sku</t>
        </is>
      </c>
      <c r="M171" s="13" t="inlineStr">
        <is>
          <t>supermarket</t>
        </is>
      </c>
      <c r="N171" s="13" t="inlineStr">
        <is>
          <t>EUR</t>
        </is>
      </c>
      <c r="O171" s="13" t="n">
        <v>130</v>
      </c>
      <c r="P171" s="13" t="inlineStr">
        <is>
          <t>SSR homepage/category HTML</t>
        </is>
      </c>
      <c r="Q171" s="13" t="inlineStr">
        <is>
          <t>GET -&gt; 200, 73KB SSR. Direct prices 0.89€ / 2.58€ / 2.86€ in homepage HTML.</t>
        </is>
      </c>
      <c r="R171" s="13" t="b">
        <v>1</v>
      </c>
      <c r="S171" s="13" t="inlineStr">
        <is>
          <t>National chain, bespoke storefront, prices render server-side.</t>
        </is>
      </c>
      <c r="T171" s="13" t="inlineStr"/>
    </row>
    <row r="172">
      <c r="A172" s="13" t="inlineStr">
        <is>
          <t>eca</t>
        </is>
      </c>
      <c r="B172" s="13" t="inlineStr">
        <is>
          <t>latvia</t>
        </is>
      </c>
      <c r="C172" s="13" t="inlineStr">
        <is>
          <t>Top! Veikali (toppartika.lv)</t>
        </is>
      </c>
      <c r="D172" s="13" t="inlineStr">
        <is>
          <t>https://www.toppartika.lv/</t>
        </is>
      </c>
      <c r="E172" s="13" t="inlineStr">
        <is>
          <t>TIER_1A</t>
        </is>
      </c>
      <c r="F172" s="13" t="inlineStr">
        <is>
          <t>low</t>
        </is>
      </c>
      <c r="G172" s="13" t="inlineStr">
        <is>
          <t>Wave 3</t>
        </is>
      </c>
      <c r="H172" s="13" t="inlineStr">
        <is>
          <t>spider</t>
        </is>
      </c>
      <c r="I172" s="13" t="inlineStr">
        <is>
          <t>One bespoke spider or fetcher per source</t>
        </is>
      </c>
      <c r="J172" s="13" t="inlineStr">
        <is>
          <t>Z_bespoke</t>
        </is>
      </c>
      <c r="K172" s="13" t="inlineStr">
        <is>
          <t>Custom</t>
        </is>
      </c>
      <c r="L172" s="13" t="inlineStr">
        <is>
          <t>retailer_sku</t>
        </is>
      </c>
      <c r="M172" s="13" t="inlineStr">
        <is>
          <t>supermarket</t>
        </is>
      </c>
      <c r="N172" s="13" t="inlineStr">
        <is>
          <t>EUR</t>
        </is>
      </c>
      <c r="O172" s="13" t="n">
        <v>130</v>
      </c>
      <c r="P172" s="13" t="inlineStr">
        <is>
          <t>SSR homepage/category HTML</t>
        </is>
      </c>
      <c r="Q172" s="13" t="inlineStr">
        <is>
          <t>GET -&gt; 200, 4.08MB SSR. Direct prices 1.47€ / 1.59€ / 1.98€ in homepage HTML.</t>
        </is>
      </c>
      <c r="R172" s="13" t="b">
        <v>1</v>
      </c>
      <c r="S172" s="13" t="inlineStr">
        <is>
          <t>Very large homepage payload (4MB) -- likely already lists most/all categories server-side.</t>
        </is>
      </c>
      <c r="T172" s="13" t="inlineStr"/>
    </row>
    <row r="173">
      <c r="A173" s="13" t="inlineStr">
        <is>
          <t>eca</t>
        </is>
      </c>
      <c r="B173" s="13" t="inlineStr">
        <is>
          <t>moldova</t>
        </is>
      </c>
      <c r="C173" s="13" t="inlineStr">
        <is>
          <t>Mega Alina</t>
        </is>
      </c>
      <c r="D173" s="13" t="inlineStr">
        <is>
          <t>https://www.megaalina.md/</t>
        </is>
      </c>
      <c r="E173" s="13" t="inlineStr">
        <is>
          <t>TIER_1A</t>
        </is>
      </c>
      <c r="F173" s="13" t="inlineStr">
        <is>
          <t>low</t>
        </is>
      </c>
      <c r="G173" s="13" t="inlineStr">
        <is>
          <t>Wave 3</t>
        </is>
      </c>
      <c r="H173" s="13" t="inlineStr">
        <is>
          <t>spider</t>
        </is>
      </c>
      <c r="I173" s="13" t="inlineStr">
        <is>
          <t>One bespoke spider or fetcher per source</t>
        </is>
      </c>
      <c r="J173" s="13" t="inlineStr">
        <is>
          <t>Z_bespoke</t>
        </is>
      </c>
      <c r="K173" s="13" t="inlineStr">
        <is>
          <t>Custom</t>
        </is>
      </c>
      <c r="L173" s="13" t="inlineStr">
        <is>
          <t>retailer_sku</t>
        </is>
      </c>
      <c r="M173" s="13" t="inlineStr">
        <is>
          <t>supermarket</t>
        </is>
      </c>
      <c r="N173" s="13" t="inlineStr">
        <is>
          <t>MDL</t>
        </is>
      </c>
      <c r="O173" s="13" t="n">
        <v>130</v>
      </c>
      <c r="P173" s="13" t="inlineStr">
        <is>
          <t>SSR category HTML (/ro/catalog/...)</t>
        </is>
      </c>
      <c r="Q173" s="13" t="inlineStr">
        <is>
          <t>GET -&gt; 200, 673KB SSR. Direct catalog prices '5.99 MDL' / '4.99 MDL' repeated in listing HTML.</t>
        </is>
      </c>
      <c r="R173" s="13" t="b">
        <v>1</v>
      </c>
      <c r="S173" s="13" t="inlineStr">
        <is>
          <t>Strike-through discount pairs across food, dairy, juice, household.</t>
        </is>
      </c>
      <c r="T173" s="13" t="inlineStr"/>
    </row>
    <row r="174">
      <c r="A174" s="13" t="inlineStr">
        <is>
          <t>eca</t>
        </is>
      </c>
      <c r="B174" s="13" t="inlineStr">
        <is>
          <t>spain</t>
        </is>
      </c>
      <c r="C174" s="13" t="inlineStr">
        <is>
          <t>Cartio</t>
        </is>
      </c>
      <c r="D174" s="13" t="inlineStr">
        <is>
          <t>https://cartio.es/landing/</t>
        </is>
      </c>
      <c r="E174" s="13" t="inlineStr">
        <is>
          <t>TIER_1A</t>
        </is>
      </c>
      <c r="F174" s="13" t="inlineStr">
        <is>
          <t>low</t>
        </is>
      </c>
      <c r="G174" s="13" t="inlineStr">
        <is>
          <t>Wave 3</t>
        </is>
      </c>
      <c r="H174" s="13" t="inlineStr">
        <is>
          <t>spider</t>
        </is>
      </c>
      <c r="I174" s="13" t="inlineStr">
        <is>
          <t>One bespoke spider or fetcher per source</t>
        </is>
      </c>
      <c r="J174" s="13" t="inlineStr">
        <is>
          <t>Z_bespoke</t>
        </is>
      </c>
      <c r="K174" s="13" t="inlineStr">
        <is>
          <t>Custom</t>
        </is>
      </c>
      <c r="L174" s="13" t="inlineStr">
        <is>
          <t>retailer_sku</t>
        </is>
      </c>
      <c r="M174" s="13" t="inlineStr">
        <is>
          <t>aggregator</t>
        </is>
      </c>
      <c r="N174" s="13" t="inlineStr">
        <is>
          <t>EUR</t>
        </is>
      </c>
      <c r="O174" s="13" t="n">
        <v>130</v>
      </c>
      <c r="P174" s="13" t="inlineStr">
        <is>
          <t>SSR landing HTML</t>
        </is>
      </c>
      <c r="Q174" s="13" t="inlineStr">
        <is>
          <t>GET -&gt; 200, 120KB SSR. Direct prices '6,99€' / '0,31€' / '1,95€' in HTML.</t>
        </is>
      </c>
      <c r="R174" s="13" t="b">
        <v>1</v>
      </c>
      <c r="S174" s="13" t="inlineStr">
        <is>
          <t>Basket-level comparison across Mercadona/Carrefour/Lidl/Alcampo; shard notes an account requirement but the landing page itself rendered prices without one.</t>
        </is>
      </c>
      <c r="T174" s="13" t="inlineStr"/>
    </row>
    <row r="175">
      <c r="A175" s="13" t="inlineStr">
        <is>
          <t>ssa</t>
        </is>
      </c>
      <c r="B175" s="13" t="inlineStr">
        <is>
          <t>benin</t>
        </is>
      </c>
      <c r="C175" s="13" t="inlineStr">
        <is>
          <t>NolMarket</t>
        </is>
      </c>
      <c r="D175" s="13" t="inlineStr">
        <is>
          <t>https://nolmarket.com/</t>
        </is>
      </c>
      <c r="E175" s="13" t="inlineStr">
        <is>
          <t>TIER_1B</t>
        </is>
      </c>
      <c r="F175" s="13" t="inlineStr">
        <is>
          <t>low</t>
        </is>
      </c>
      <c r="G175" s="13" t="inlineStr">
        <is>
          <t>Wave 3</t>
        </is>
      </c>
      <c r="H175" s="13" t="inlineStr">
        <is>
          <t>spider</t>
        </is>
      </c>
      <c r="I175" s="13" t="inlineStr">
        <is>
          <t>One bespoke spider or fetcher per source</t>
        </is>
      </c>
      <c r="J175" s="13" t="inlineStr">
        <is>
          <t>Z_bespoke</t>
        </is>
      </c>
      <c r="K175" s="13" t="inlineStr">
        <is>
          <t>Custom (Laravel + React)</t>
        </is>
      </c>
      <c r="L175" s="13" t="inlineStr">
        <is>
          <t>retailer_sku</t>
        </is>
      </c>
      <c r="M175" s="13" t="inlineStr">
        <is>
          <t>supermarket</t>
        </is>
      </c>
      <c r="N175" s="13" t="inlineStr">
        <is>
          <t>XOF</t>
        </is>
      </c>
      <c r="O175" s="13" t="n">
        <v>130</v>
      </c>
      <c r="P175" s="13" t="inlineStr">
        <is>
          <t>/api/products (paginate ?page=N)</t>
        </is>
      </c>
      <c r="Q175" s="13" t="inlineStr">
        <is>
          <t>React SPA (CRA, div#root) with a fully open Laravel JSON API. GET https://nolmarket.com/api/products -&gt; 200, paginated (24/page, 121 total_pages, 2,887 total products), no auth needed. Sample: 'Patee au boeuf PRIX MINI' 700 FCFA (Animalerie). Sampled pages 1,5,10,20,40,60,80,100,120 -&gt; categories span Animalerie, Boissons (Biere, Champagnes, Cidre, Jus de fruits, Spiritueux, Vins), Epicerie (Conserves-plats cuisines, Petit Dejeuner, Produits de base), Produits Frais (Fromages-Charcuterie-Beurre, Fruits secs et frais, Pains-Viennoiseries, Viandes-Poissons-Crustasses-Oeufs, Yaourt/Creme fraiche), Produits Locaux (Amuse gueule, Boissons locales, Epices/Huile locale, Graine/Legume sec, Poudre/Farine/Bouillie, Produits cosmetiques, The/Cafe/Miel/Confiture).</t>
        </is>
      </c>
      <c r="R175" s="13" t="b">
        <v>1</v>
      </c>
      <c r="S175" s="13" t="inlineStr">
        <is>
          <t>Best single retail source found across all 8 countries this pass -- genuinely full-line (fresh + meat/fish/eggs + dairy + bakery + local staples) with a dedicated 'Produits Locaux' section that carries exactly the local-grain/flour/oil forms that block chain supermarkets do not.</t>
        </is>
      </c>
      <c r="T175" s="13" t="inlineStr"/>
    </row>
    <row r="176">
      <c r="A176" s="13" t="inlineStr">
        <is>
          <t>eca</t>
        </is>
      </c>
      <c r="B176" s="13" t="inlineStr">
        <is>
          <t>romania</t>
        </is>
      </c>
      <c r="C176" s="13" t="inlineStr">
        <is>
          <t>VivoMarket.ro</t>
        </is>
      </c>
      <c r="D176" s="13" t="inlineStr">
        <is>
          <t>https://www.vivomarket.ro/</t>
        </is>
      </c>
      <c r="E176" s="13" t="inlineStr">
        <is>
          <t>TIER_1A</t>
        </is>
      </c>
      <c r="F176" s="13" t="inlineStr">
        <is>
          <t>low</t>
        </is>
      </c>
      <c r="G176" s="13" t="inlineStr">
        <is>
          <t>Wave 3</t>
        </is>
      </c>
      <c r="H176" s="13" t="inlineStr">
        <is>
          <t>spider</t>
        </is>
      </c>
      <c r="I176" s="13" t="inlineStr">
        <is>
          <t>One bespoke spider or fetcher per source</t>
        </is>
      </c>
      <c r="J176" s="13" t="inlineStr">
        <is>
          <t>Z_bespoke</t>
        </is>
      </c>
      <c r="K176" s="13" t="inlineStr">
        <is>
          <t>Custom</t>
        </is>
      </c>
      <c r="L176" s="13" t="inlineStr">
        <is>
          <t>retailer_sku</t>
        </is>
      </c>
      <c r="M176" s="13" t="inlineStr">
        <is>
          <t>supermarket</t>
        </is>
      </c>
      <c r="N176" s="13" t="inlineStr">
        <is>
          <t>RON</t>
        </is>
      </c>
      <c r="O176" s="13" t="n">
        <v>120</v>
      </c>
      <c r="P176" s="13" t="inlineStr">
        <is>
          <t>SSR HTML</t>
        </is>
      </c>
      <c r="Q176" s="13" t="inlineStr">
        <is>
          <t>curl 200, 1.9MB, real prices in raw HTML: '51,82 Lei', '28,90 Lei', '21,60 Lei', '26,21 Lei', '13,18 Lei'</t>
        </is>
      </c>
      <c r="R176" s="13" t="b">
        <v>1</v>
      </c>
      <c r="S176" s="13" t="inlineStr">
        <is>
          <t>Carries both retail and HoReCa lines per CSV; tag channel separately.</t>
        </is>
      </c>
      <c r="T176" s="13" t="inlineStr"/>
    </row>
    <row r="177">
      <c r="A177" s="13" t="inlineStr">
        <is>
          <t>eca</t>
        </is>
      </c>
      <c r="B177" s="13" t="inlineStr">
        <is>
          <t>kazakhstan</t>
        </is>
      </c>
      <c r="C177" s="13" t="inlineStr">
        <is>
          <t>GroceryKZ</t>
        </is>
      </c>
      <c r="D177" s="13" t="inlineStr">
        <is>
          <t>https://grocerykz.com/</t>
        </is>
      </c>
      <c r="E177" s="13" t="inlineStr">
        <is>
          <t>TIER_1A</t>
        </is>
      </c>
      <c r="F177" s="13" t="inlineStr">
        <is>
          <t>low</t>
        </is>
      </c>
      <c r="G177" s="13" t="inlineStr">
        <is>
          <t>Wave 3</t>
        </is>
      </c>
      <c r="H177" s="13" t="inlineStr">
        <is>
          <t>spider</t>
        </is>
      </c>
      <c r="I177" s="13" t="inlineStr">
        <is>
          <t>One bespoke spider or fetcher per source</t>
        </is>
      </c>
      <c r="J177" s="13" t="inlineStr">
        <is>
          <t>Z_bespoke</t>
        </is>
      </c>
      <c r="K177" s="13" t="inlineStr">
        <is>
          <t>Custom</t>
        </is>
      </c>
      <c r="L177" s="13" t="inlineStr">
        <is>
          <t>retailer_sku</t>
        </is>
      </c>
      <c r="M177" s="13" t="inlineStr">
        <is>
          <t>supermarket</t>
        </is>
      </c>
      <c r="N177" s="13" t="inlineStr">
        <is>
          <t>KZT</t>
        </is>
      </c>
      <c r="O177" s="13" t="n">
        <v>120</v>
      </c>
      <c r="P177" s="13" t="inlineStr">
        <is>
          <t>SSR HTML</t>
        </is>
      </c>
      <c r="Q177" s="13" t="inlineStr">
        <is>
          <t>curl 200, 164KB, real prices in raw HTML: '3 750 KZT', '4 650 KZT', '2 450 KZT', '2 250 KZT', '16 900 KZT'</t>
        </is>
      </c>
      <c r="R177" s="13" t="b">
        <v>1</v>
      </c>
      <c r="S177" s="13" t="inlineStr">
        <is>
          <t>English interface per CSV, per-piece pricing with stock flags.</t>
        </is>
      </c>
      <c r="T177" s="13" t="inlineStr"/>
    </row>
    <row r="178">
      <c r="A178" s="13" t="inlineStr">
        <is>
          <t>eca</t>
        </is>
      </c>
      <c r="B178" s="13" t="inlineStr">
        <is>
          <t>tajikistan</t>
        </is>
      </c>
      <c r="C178" s="13" t="inlineStr">
        <is>
          <t>Magnit.tj</t>
        </is>
      </c>
      <c r="D178" s="13" t="inlineStr">
        <is>
          <t>https://magnit.tj/</t>
        </is>
      </c>
      <c r="E178" s="13" t="inlineStr">
        <is>
          <t>TIER_1A</t>
        </is>
      </c>
      <c r="F178" s="13" t="inlineStr">
        <is>
          <t>low</t>
        </is>
      </c>
      <c r="G178" s="13" t="inlineStr">
        <is>
          <t>Wave 3</t>
        </is>
      </c>
      <c r="H178" s="13" t="inlineStr">
        <is>
          <t>spider</t>
        </is>
      </c>
      <c r="I178" s="13" t="inlineStr">
        <is>
          <t>One bespoke spider or fetcher per source</t>
        </is>
      </c>
      <c r="J178" s="13" t="inlineStr">
        <is>
          <t>Z_bespoke</t>
        </is>
      </c>
      <c r="K178" s="13" t="inlineStr">
        <is>
          <t>Custom</t>
        </is>
      </c>
      <c r="L178" s="13" t="inlineStr">
        <is>
          <t>retailer_sku</t>
        </is>
      </c>
      <c r="M178" s="13" t="inlineStr">
        <is>
          <t>supermarket</t>
        </is>
      </c>
      <c r="N178" s="13" t="inlineStr">
        <is>
          <t>TJS</t>
        </is>
      </c>
      <c r="O178" s="13" t="n">
        <v>120</v>
      </c>
      <c r="P178" s="13" t="inlineStr">
        <is>
          <t>/category?id=&lt;n&gt;</t>
        </is>
      </c>
      <c r="Q178" s="13" t="inlineStr">
        <is>
          <t>GET / -&gt; 200, 417KB. Real category tree (/category?id=&lt;n&gt;) with TJS prices in raw HTML (24.50 сом, 39.90 сом, 2.35c.).</t>
        </is>
      </c>
      <c r="R178" s="13" t="b">
        <v>1</v>
      </c>
      <c r="S178" s="13" t="inlineStr">
        <is>
          <t>Dushanbe online supermarket, free home delivery per CSV.</t>
        </is>
      </c>
      <c r="T178" s="13" t="inlineStr"/>
    </row>
    <row r="179">
      <c r="A179" s="13" t="inlineStr">
        <is>
          <t>eca</t>
        </is>
      </c>
      <c r="B179" s="13" t="inlineStr">
        <is>
          <t>azerbaijan</t>
        </is>
      </c>
      <c r="C179" s="13" t="inlineStr">
        <is>
          <t>FreshMart.az</t>
        </is>
      </c>
      <c r="D179" s="13" t="inlineStr">
        <is>
          <t>https://freshmart.az/en-gb/</t>
        </is>
      </c>
      <c r="E179" s="13" t="inlineStr">
        <is>
          <t>TIER_1A</t>
        </is>
      </c>
      <c r="F179" s="13" t="inlineStr">
        <is>
          <t>low</t>
        </is>
      </c>
      <c r="G179" s="13" t="inlineStr">
        <is>
          <t>Wave 3</t>
        </is>
      </c>
      <c r="H179" s="13" t="inlineStr">
        <is>
          <t>spider</t>
        </is>
      </c>
      <c r="I179" s="13" t="inlineStr">
        <is>
          <t>One bespoke spider or fetcher per source</t>
        </is>
      </c>
      <c r="J179" s="13" t="inlineStr">
        <is>
          <t>Z_bespoke</t>
        </is>
      </c>
      <c r="K179" s="13" t="inlineStr">
        <is>
          <t>Custom</t>
        </is>
      </c>
      <c r="L179" s="13" t="inlineStr">
        <is>
          <t>retailer_sku</t>
        </is>
      </c>
      <c r="M179" s="13" t="inlineStr">
        <is>
          <t>supermarket</t>
        </is>
      </c>
      <c r="N179" s="13" t="inlineStr">
        <is>
          <t>AZN</t>
        </is>
      </c>
      <c r="O179" s="13" t="n">
        <v>120</v>
      </c>
      <c r="P179" s="13" t="inlineStr">
        <is>
          <t>/en-gb/product/{slug}</t>
        </is>
      </c>
      <c r="Q179" s="13" t="inlineStr">
        <is>
          <t>GET /en-gb/product/banan-kq-1000 -&gt; 200, 48.9KB. h1='BANAN KQ', price 3.39₼ (list 3.49₼ struck through).</t>
        </is>
      </c>
      <c r="R179" s="13" t="b">
        <v>1</v>
      </c>
      <c r="S179" s="13" t="inlineStr">
        <is>
          <t>SSR HTML, produce+meat+dairy+bakery per shard note.</t>
        </is>
      </c>
      <c r="T179" s="13" t="inlineStr"/>
    </row>
    <row r="180">
      <c r="A180" s="13" t="inlineStr">
        <is>
          <t>ssa</t>
        </is>
      </c>
      <c r="B180" s="13" t="inlineStr">
        <is>
          <t>madagascar</t>
        </is>
      </c>
      <c r="C180" s="13" t="inlineStr">
        <is>
          <t>Leader Price Madagascar</t>
        </is>
      </c>
      <c r="D180" s="13" t="inlineStr">
        <is>
          <t>https://www.leaderprice.mg/</t>
        </is>
      </c>
      <c r="E180" s="13" t="inlineStr">
        <is>
          <t>TIER_1A</t>
        </is>
      </c>
      <c r="F180" s="13" t="inlineStr">
        <is>
          <t>low</t>
        </is>
      </c>
      <c r="G180" s="13" t="inlineStr">
        <is>
          <t>Wave 3</t>
        </is>
      </c>
      <c r="H180" s="13" t="inlineStr">
        <is>
          <t>spider</t>
        </is>
      </c>
      <c r="I180" s="13" t="inlineStr">
        <is>
          <t>One bespoke spider or fetcher per source</t>
        </is>
      </c>
      <c r="J180" s="13" t="inlineStr">
        <is>
          <t>Z_bespoke</t>
        </is>
      </c>
      <c r="K180" s="13" t="inlineStr">
        <is>
          <t>Custom</t>
        </is>
      </c>
      <c r="L180" s="13" t="inlineStr">
        <is>
          <t>retailer_sku</t>
        </is>
      </c>
      <c r="M180" s="13" t="inlineStr">
        <is>
          <t>supermarket</t>
        </is>
      </c>
      <c r="N180" s="13" t="inlineStr">
        <is>
          <t>MGA</t>
        </is>
      </c>
      <c r="O180" s="13" t="n">
        <v>120</v>
      </c>
      <c r="P180" s="13" t="inlineStr">
        <is>
          <t>SSR HTML</t>
        </is>
      </c>
      <c r="Q180" s="13" t="inlineStr">
        <is>
          <t>GET / -&gt; 200, 50KB. One confirmed price on the homepage: '50.000Ar'. Did not crawl category pages to verify the claimed ~4,000-reference breadth directly this pass.</t>
        </is>
      </c>
      <c r="R180" s="13" t="b">
        <v>1</v>
      </c>
      <c r="S180" s="13" t="inlineStr">
        <is>
          <t>9-store drive-to-store chain, MVola payment, per prior research 'first drive in Madagascar' -- kept below the claimed max because only a homepage price point was independently verified, not a category audit.</t>
        </is>
      </c>
      <c r="T180" s="13" t="inlineStr"/>
    </row>
    <row r="181">
      <c r="A181" s="13" t="inlineStr">
        <is>
          <t>eca</t>
        </is>
      </c>
      <c r="B181" s="13" t="inlineStr">
        <is>
          <t>tajikistan</t>
        </is>
      </c>
      <c r="C181" s="13" t="inlineStr">
        <is>
          <t>Paykar Shop</t>
        </is>
      </c>
      <c r="D181" s="13" t="inlineStr">
        <is>
          <t>https://paykar.shop/catalog/</t>
        </is>
      </c>
      <c r="E181" s="13" t="inlineStr">
        <is>
          <t>TIER_1A</t>
        </is>
      </c>
      <c r="F181" s="13" t="inlineStr">
        <is>
          <t>low</t>
        </is>
      </c>
      <c r="G181" s="13" t="inlineStr">
        <is>
          <t>Wave 3</t>
        </is>
      </c>
      <c r="H181" s="13" t="inlineStr">
        <is>
          <t>spider</t>
        </is>
      </c>
      <c r="I181" s="13" t="inlineStr">
        <is>
          <t>One bespoke spider or fetcher per source</t>
        </is>
      </c>
      <c r="J181" s="13" t="inlineStr">
        <is>
          <t>Z_bespoke</t>
        </is>
      </c>
      <c r="K181" s="13" t="inlineStr">
        <is>
          <t>Custom</t>
        </is>
      </c>
      <c r="L181" s="13" t="inlineStr">
        <is>
          <t>retailer_sku</t>
        </is>
      </c>
      <c r="M181" s="13" t="inlineStr">
        <is>
          <t>supermarket</t>
        </is>
      </c>
      <c r="N181" s="13" t="inlineStr">
        <is>
          <t>TJS</t>
        </is>
      </c>
      <c r="O181" s="13" t="n">
        <v>100</v>
      </c>
      <c r="P181" s="13" t="inlineStr">
        <is>
          <t>/catalog/&lt;category-path&gt;/&lt;id&gt;/</t>
        </is>
      </c>
      <c r="Q181" s="13" t="inlineStr">
        <is>
          <t>GET /catalog/bakaleya/gotovye_zavtraki_kashi_khlopya/137220/ -&gt; 200. h1#pagetitle 'Hlopya ovsyanye RP 500g Gerkules monastyrskiy' (rolled oats), prices visible nearby (63c. = 63 TJS). Full catalogue tree with per-category item counts per CSV.</t>
        </is>
      </c>
      <c r="R181" s="13" t="b">
        <v>1</v>
      </c>
      <c r="S181" s="13" t="inlineStr">
        <is>
          <t>Category names sampled this round (bakaleya=groceries, gotovye_zavtraki=breakfast cereals) skew packaged/dry-goods; fresh produce/meat depth not directly confirmed.</t>
        </is>
      </c>
      <c r="T181" s="13" t="inlineStr"/>
    </row>
    <row r="182">
      <c r="A182" s="13" t="inlineStr">
        <is>
          <t>eca</t>
        </is>
      </c>
      <c r="B182" s="13" t="inlineStr">
        <is>
          <t>portugal</t>
        </is>
      </c>
      <c r="C182" s="13" t="inlineStr">
        <is>
          <t>Lidl Portugal</t>
        </is>
      </c>
      <c r="D182" s="13" t="inlineStr">
        <is>
          <t>https://www.lidl.pt/</t>
        </is>
      </c>
      <c r="E182" s="13" t="inlineStr">
        <is>
          <t>TIER_1A</t>
        </is>
      </c>
      <c r="F182" s="13" t="inlineStr">
        <is>
          <t>low</t>
        </is>
      </c>
      <c r="G182" s="13" t="inlineStr">
        <is>
          <t>Wave 3</t>
        </is>
      </c>
      <c r="H182" s="13" t="inlineStr">
        <is>
          <t>spider</t>
        </is>
      </c>
      <c r="I182" s="13" t="inlineStr">
        <is>
          <t>One bespoke spider or fetcher per source</t>
        </is>
      </c>
      <c r="J182" s="13" t="inlineStr">
        <is>
          <t>Z_bespoke</t>
        </is>
      </c>
      <c r="K182" s="13" t="inlineStr">
        <is>
          <t>Custom</t>
        </is>
      </c>
      <c r="L182" s="13" t="inlineStr">
        <is>
          <t>retailer_sku</t>
        </is>
      </c>
      <c r="M182" s="13" t="inlineStr">
        <is>
          <t>supermarket</t>
        </is>
      </c>
      <c r="N182" s="13" t="inlineStr">
        <is>
          <t>EUR</t>
        </is>
      </c>
      <c r="O182" s="13" t="n">
        <v>100</v>
      </c>
      <c r="P182" s="13" t="inlineStr">
        <is>
          <t>SSR homepage/category HTML</t>
        </is>
      </c>
      <c r="Q182" s="13" t="inlineStr">
        <is>
          <t>GET -&gt; 200, 296KB SSR. Direct prices '4,89€' / '2,69€' / '1,99€' in HTML.</t>
        </is>
      </c>
      <c r="R182" s="13" t="b">
        <v>1</v>
      </c>
      <c r="S182" s="13" t="inlineStr">
        <is>
          <t>Overturns shard's SUSPECT/leaflet-led prediction for this instance -- plain curl returns real per-SKU prices.</t>
        </is>
      </c>
      <c r="T182" s="13" t="inlineStr"/>
    </row>
    <row r="183">
      <c r="A183" s="13" t="inlineStr">
        <is>
          <t>eca</t>
        </is>
      </c>
      <c r="B183" s="13" t="inlineStr">
        <is>
          <t>romania</t>
        </is>
      </c>
      <c r="C183" s="13" t="inlineStr">
        <is>
          <t>HomeMarket.ro</t>
        </is>
      </c>
      <c r="D183" s="13" t="inlineStr">
        <is>
          <t>https://www.homemarket.ro/</t>
        </is>
      </c>
      <c r="E183" s="13" t="inlineStr">
        <is>
          <t>TIER_1A</t>
        </is>
      </c>
      <c r="F183" s="13" t="inlineStr">
        <is>
          <t>low</t>
        </is>
      </c>
      <c r="G183" s="13" t="inlineStr">
        <is>
          <t>Wave 3</t>
        </is>
      </c>
      <c r="H183" s="13" t="inlineStr">
        <is>
          <t>spider</t>
        </is>
      </c>
      <c r="I183" s="13" t="inlineStr">
        <is>
          <t>One bespoke spider or fetcher per source</t>
        </is>
      </c>
      <c r="J183" s="13" t="inlineStr">
        <is>
          <t>Z_bespoke</t>
        </is>
      </c>
      <c r="K183" s="13" t="inlineStr">
        <is>
          <t>Custom</t>
        </is>
      </c>
      <c r="L183" s="13" t="inlineStr">
        <is>
          <t>retailer_sku</t>
        </is>
      </c>
      <c r="M183" s="13" t="inlineStr">
        <is>
          <t>supermarket</t>
        </is>
      </c>
      <c r="N183" s="13" t="inlineStr">
        <is>
          <t>RON</t>
        </is>
      </c>
      <c r="O183" s="13" t="n">
        <v>90</v>
      </c>
      <c r="P183" s="13" t="inlineStr">
        <is>
          <t>SSR HTML</t>
        </is>
      </c>
      <c r="Q183" s="13" t="inlineStr">
        <is>
          <t>curl 200, 43KB, real prices in raw HTML: '23.05 Lei', '55.89 Lei', '15.98 Lei', '18.41 Lei', '9.03 Lei'</t>
        </is>
      </c>
      <c r="R183" s="13" t="b">
        <v>1</v>
      </c>
      <c r="S183" s="13" t="inlineStr">
        <is>
          <t>14,000+ products food and non-food, Bucharest area.</t>
        </is>
      </c>
      <c r="T183" s="13" t="inlineStr"/>
    </row>
    <row r="184">
      <c r="A184" s="13" t="inlineStr">
        <is>
          <t>eca</t>
        </is>
      </c>
      <c r="B184" s="13" t="inlineStr">
        <is>
          <t>romania</t>
        </is>
      </c>
      <c r="C184" s="13" t="inlineStr">
        <is>
          <t>Selgros (wholesale)</t>
        </is>
      </c>
      <c r="D184" s="13" t="inlineStr">
        <is>
          <t>https://www.selgros.ro/</t>
        </is>
      </c>
      <c r="E184" s="13" t="inlineStr">
        <is>
          <t>TIER_1A</t>
        </is>
      </c>
      <c r="F184" s="13" t="inlineStr">
        <is>
          <t>low</t>
        </is>
      </c>
      <c r="G184" s="13" t="inlineStr">
        <is>
          <t>Wave 3</t>
        </is>
      </c>
      <c r="H184" s="13" t="inlineStr">
        <is>
          <t>fetcher</t>
        </is>
      </c>
      <c r="I184" s="13" t="inlineStr">
        <is>
          <t>One bespoke spider or fetcher per source</t>
        </is>
      </c>
      <c r="J184" s="13" t="inlineStr">
        <is>
          <t>Z_bespoke</t>
        </is>
      </c>
      <c r="K184" s="13" t="inlineStr">
        <is>
          <t>Custom</t>
        </is>
      </c>
      <c r="L184" s="13" t="inlineStr">
        <is>
          <t>wholesale_avg</t>
        </is>
      </c>
      <c r="M184" s="13" t="inlineStr">
        <is>
          <t>wholesale</t>
        </is>
      </c>
      <c r="N184" s="13" t="inlineStr">
        <is>
          <t>RON</t>
        </is>
      </c>
      <c r="O184" s="13" t="n">
        <v>90</v>
      </c>
      <c r="P184" s="13" t="inlineStr">
        <is>
          <t>SSR HTML</t>
        </is>
      </c>
      <c r="Q184" s="13" t="inlineStr">
        <is>
          <t>curl 200, 314KB, real prices in raw HTML: '0,50 lei', '26,98 lei', '69,99 lei'</t>
        </is>
      </c>
      <c r="R184" s="13" t="b">
        <v>1</v>
      </c>
      <c r="S184" s="13" t="inlineStr">
        <is>
          <t>Cash-and-carry, reports to Monitorul Preturilor; wholesale-retail spread possible vs. other RO sources.</t>
        </is>
      </c>
      <c r="T184" s="13" t="inlineStr"/>
    </row>
    <row r="185">
      <c r="A185" s="13" t="inlineStr">
        <is>
          <t>eca</t>
        </is>
      </c>
      <c r="B185" s="13" t="inlineStr">
        <is>
          <t>lithuania</t>
        </is>
      </c>
      <c r="C185" s="13" t="inlineStr">
        <is>
          <t>Norfa</t>
        </is>
      </c>
      <c r="D185" s="13" t="inlineStr">
        <is>
          <t>https://www.norfa.lt/</t>
        </is>
      </c>
      <c r="E185" s="13" t="inlineStr">
        <is>
          <t>TIER_1A</t>
        </is>
      </c>
      <c r="F185" s="13" t="inlineStr">
        <is>
          <t>low</t>
        </is>
      </c>
      <c r="G185" s="13" t="inlineStr">
        <is>
          <t>Wave 3</t>
        </is>
      </c>
      <c r="H185" s="13" t="inlineStr">
        <is>
          <t>spider</t>
        </is>
      </c>
      <c r="I185" s="13" t="inlineStr">
        <is>
          <t>One bespoke spider or fetcher per source</t>
        </is>
      </c>
      <c r="J185" s="13" t="inlineStr">
        <is>
          <t>Z_bespoke</t>
        </is>
      </c>
      <c r="K185" s="13" t="inlineStr">
        <is>
          <t>Custom</t>
        </is>
      </c>
      <c r="L185" s="13" t="inlineStr">
        <is>
          <t>retailer_sku</t>
        </is>
      </c>
      <c r="M185" s="13" t="inlineStr">
        <is>
          <t>supermarket</t>
        </is>
      </c>
      <c r="N185" s="13" t="inlineStr">
        <is>
          <t>EUR</t>
        </is>
      </c>
      <c r="O185" s="13" t="n">
        <v>90</v>
      </c>
      <c r="P185" s="13" t="inlineStr">
        <is>
          <t>SSR HTML</t>
        </is>
      </c>
      <c r="Q185" s="13" t="inlineStr">
        <is>
          <t>curl 200, 110KB, real prices in raw HTML: '0.41 €', '1.99 €', '3.99 €', '5.99 €', '9.99 €'</t>
        </is>
      </c>
      <c r="R185" s="13" t="b">
        <v>1</v>
      </c>
      <c r="S185" s="13" t="inlineStr">
        <is>
          <t>Lithuanian-owned discounter per CSV - moderate depth expected, less fresh-produce emphasis than a hypermarket.</t>
        </is>
      </c>
      <c r="T185" s="13" t="inlineStr"/>
    </row>
    <row r="186">
      <c r="A186" s="13" t="inlineStr">
        <is>
          <t>eca</t>
        </is>
      </c>
      <c r="B186" s="13" t="inlineStr">
        <is>
          <t>croatia</t>
        </is>
      </c>
      <c r="C186" s="13" t="inlineStr">
        <is>
          <t>CroCart</t>
        </is>
      </c>
      <c r="D186" s="13" t="inlineStr">
        <is>
          <t>https://www.cro-cart.hr/cijene</t>
        </is>
      </c>
      <c r="E186" s="13" t="inlineStr">
        <is>
          <t>TIER_1A</t>
        </is>
      </c>
      <c r="F186" s="13" t="inlineStr">
        <is>
          <t>low</t>
        </is>
      </c>
      <c r="G186" s="13" t="inlineStr">
        <is>
          <t>Wave 3</t>
        </is>
      </c>
      <c r="H186" s="13" t="inlineStr">
        <is>
          <t>spider</t>
        </is>
      </c>
      <c r="I186" s="13" t="inlineStr">
        <is>
          <t>One bespoke spider or fetcher per source</t>
        </is>
      </c>
      <c r="J186" s="13" t="inlineStr">
        <is>
          <t>Z_bespoke</t>
        </is>
      </c>
      <c r="K186" s="13" t="inlineStr">
        <is>
          <t>Next.js</t>
        </is>
      </c>
      <c r="L186" s="13" t="inlineStr">
        <is>
          <t>retailer_sku</t>
        </is>
      </c>
      <c r="M186" s="13" t="inlineStr">
        <is>
          <t>aggregator</t>
        </is>
      </c>
      <c r="N186" s="13" t="inlineStr">
        <is>
          <t>EUR</t>
        </is>
      </c>
      <c r="O186" s="13" t="n">
        <v>90</v>
      </c>
      <c r="P186" s="13" t="inlineStr">
        <is>
          <t>/cijene/{item-slug}</t>
        </is>
      </c>
      <c r="Q186" s="13" t="inlineStr">
        <is>
          <t>GET /cijene/mlijeko -&gt; 200, 56KB SSR HTML. Cross-retailer milk prices visible: 0,85€ / 0,93€ / 2,39€ / 6,59€ tagged to Lidl(16)/Kaufland(12)/Spar(22)/Plodine(20)/Eurospin(14) counts. Page text confirms: 'CroCart svaki dan preuzima službene cjenike svih 5 trgovačkih lanaca' (downloads official price lists of all 5 chains daily).</t>
        </is>
      </c>
      <c r="R186" s="13" t="b">
        <v>1</v>
      </c>
      <c r="S186" s="13" t="inlineStr">
        <is>
          <t>STRUCTURAL LEAD CONFIRMED: aggregator ingests official daily price-list files (cjenici) from Lidl/Kaufland/Spar/Plodine/Eurospin -- effectively unlocks all 5 chains' prices without touching their individual WAFs. Only ~23 named commodity pages found (banane,brasno,cokolada,...,vrhnje) so narrow but very high-fidelity cross-retailer panel. Did not locate the raw official cjenik files themselves in the time budget -- worth a follow-up dedicated to that per shard's P8-EU note.</t>
        </is>
      </c>
      <c r="T186" s="13" t="inlineStr"/>
    </row>
    <row r="187">
      <c r="A187" s="13" t="inlineStr">
        <is>
          <t>eca</t>
        </is>
      </c>
      <c r="B187" s="13" t="inlineStr">
        <is>
          <t>poland</t>
        </is>
      </c>
      <c r="C187" s="13" t="inlineStr">
        <is>
          <t>Żabka Jush</t>
        </is>
      </c>
      <c r="D187" s="13" t="inlineStr">
        <is>
          <t>https://www.zabka.pl/</t>
        </is>
      </c>
      <c r="E187" s="13" t="inlineStr">
        <is>
          <t>TIER_1A</t>
        </is>
      </c>
      <c r="F187" s="13" t="inlineStr">
        <is>
          <t>low</t>
        </is>
      </c>
      <c r="G187" s="13" t="inlineStr">
        <is>
          <t>Wave 3</t>
        </is>
      </c>
      <c r="H187" s="13" t="inlineStr">
        <is>
          <t>spider</t>
        </is>
      </c>
      <c r="I187" s="13" t="inlineStr">
        <is>
          <t>One bespoke spider or fetcher per source</t>
        </is>
      </c>
      <c r="J187" s="13" t="inlineStr">
        <is>
          <t>Z_bespoke</t>
        </is>
      </c>
      <c r="K187" s="13" t="inlineStr">
        <is>
          <t>Custom</t>
        </is>
      </c>
      <c r="L187" s="13" t="inlineStr">
        <is>
          <t>retailer_sku</t>
        </is>
      </c>
      <c r="M187" s="13" t="inlineStr">
        <is>
          <t>convenience</t>
        </is>
      </c>
      <c r="N187" s="13" t="inlineStr">
        <is>
          <t>PLN</t>
        </is>
      </c>
      <c r="O187" s="13" t="n">
        <v>90</v>
      </c>
      <c r="P187" s="13" t="inlineStr">
        <is>
          <t>SSR homepage/category HTML</t>
        </is>
      </c>
      <c r="Q187" s="13" t="inlineStr">
        <is>
          <t>GET -&gt; 200, 614KB SSR. Direct prices '76,85 zł' / '70,22 zł' / '45,36 zł' in HTML.</t>
        </is>
      </c>
      <c r="R187" s="13" t="b">
        <v>1</v>
      </c>
      <c r="S187" s="13" t="inlineStr">
        <is>
          <t>Convenience format -- systematically narrower and pricier than hypermarket assortment; do not pool with Biedronka/Frisco.</t>
        </is>
      </c>
      <c r="T187" s="13" t="inlineStr"/>
    </row>
    <row r="188">
      <c r="A188" s="13" t="inlineStr">
        <is>
          <t>ssa</t>
        </is>
      </c>
      <c r="B188" s="13" t="inlineStr">
        <is>
          <t>senegal</t>
        </is>
      </c>
      <c r="C188" s="13" t="inlineStr">
        <is>
          <t>Yombouna</t>
        </is>
      </c>
      <c r="D188" s="13" t="inlineStr">
        <is>
          <t>https://yombouna.sn/</t>
        </is>
      </c>
      <c r="E188" s="13" t="inlineStr">
        <is>
          <t>TIER_1B</t>
        </is>
      </c>
      <c r="F188" s="13" t="inlineStr">
        <is>
          <t>low</t>
        </is>
      </c>
      <c r="G188" s="13" t="inlineStr">
        <is>
          <t>Wave 3</t>
        </is>
      </c>
      <c r="H188" s="13" t="inlineStr">
        <is>
          <t>spider</t>
        </is>
      </c>
      <c r="I188" s="13" t="inlineStr">
        <is>
          <t>One bespoke spider or fetcher per source</t>
        </is>
      </c>
      <c r="J188" s="13" t="inlineStr">
        <is>
          <t>Z_bespoke</t>
        </is>
      </c>
      <c r="K188" s="13" t="inlineStr">
        <is>
          <t>Supabase (SvelteKit frontend)</t>
        </is>
      </c>
      <c r="L188" s="13" t="inlineStr">
        <is>
          <t>retailer_sku</t>
        </is>
      </c>
      <c r="M188" s="13" t="inlineStr">
        <is>
          <t>supermarket</t>
        </is>
      </c>
      <c r="N188" s="13" t="inlineStr">
        <is>
          <t>XOF</t>
        </is>
      </c>
      <c r="O188" s="13" t="n">
        <v>90</v>
      </c>
      <c r="P188" s="13" t="inlineStr">
        <is>
          <t>https://obyteclxfidycfrqklbz.supabase.co/rest/v1/products (PostgREST, no auth beyond the public anon key already shipped in the page bundle)</t>
        </is>
      </c>
      <c r="Q188" s="13" t="inlineStr">
        <is>
          <t>Homepage is a SvelteKit SPA shell exposing PUBLIC_SUPABASE_URL + anon key in inline JS. Queried the exposed PostgREST API directly: GET https://obyteclxfidycfrqklbz.supabase.co/rest/v1/products?select=* -&gt; 200, 1,677 total rows (Content-Range header). Sample: 'farine de manioc 500G' price=1500 category='Produits Locaux'; 'allumette pack de 3 moyen' price=250. Categories present: Accessoire Cuisine, Boulangerie et Patisserie, Bebe, Cosmetique, Drogerie &amp; Entretien maison, Epicerie Salee-Cuisine, Epicerie Sucree, Produits Frais, Produits Locaux.</t>
        </is>
      </c>
      <c r="R188" s="13" t="b">
        <v>1</v>
      </c>
      <c r="S188" s="13" t="inlineStr">
        <is>
          <t>UPGRADE over the CSV's WooCommerce guess (which was wrong -- WooCommerce Store API 404s). Real backend is a wide-open Supabase PostgREST table, cheaper than any WooCommerce spider would have been. 'Produits Frais' + 'Produits Locaux' categories exist alongside packaged epicerie, giving this the broadest single-source category spread found in Senegal this pass.</t>
        </is>
      </c>
      <c r="T188" s="13" t="inlineStr"/>
    </row>
    <row r="189">
      <c r="A189" s="13" t="inlineStr">
        <is>
          <t>ssa</t>
        </is>
      </c>
      <c r="B189" s="13" t="inlineStr">
        <is>
          <t>madagascar</t>
        </is>
      </c>
      <c r="C189" s="13" t="inlineStr">
        <is>
          <t>Bazariko.mg</t>
        </is>
      </c>
      <c r="D189" s="13" t="inlineStr">
        <is>
          <t>https://bazariko.mg/</t>
        </is>
      </c>
      <c r="E189" s="13" t="inlineStr">
        <is>
          <t>TIER_1A</t>
        </is>
      </c>
      <c r="F189" s="13" t="inlineStr">
        <is>
          <t>low</t>
        </is>
      </c>
      <c r="G189" s="13" t="inlineStr">
        <is>
          <t>Wave 3</t>
        </is>
      </c>
      <c r="H189" s="13" t="inlineStr">
        <is>
          <t>spider</t>
        </is>
      </c>
      <c r="I189" s="13" t="inlineStr">
        <is>
          <t>One bespoke spider or fetcher per source</t>
        </is>
      </c>
      <c r="J189" s="13" t="inlineStr">
        <is>
          <t>Z_bespoke</t>
        </is>
      </c>
      <c r="K189" s="13" t="inlineStr">
        <is>
          <t>Custom</t>
        </is>
      </c>
      <c r="L189" s="13" t="inlineStr">
        <is>
          <t>retailer_sku</t>
        </is>
      </c>
      <c r="M189" s="13" t="inlineStr">
        <is>
          <t>supermarket</t>
        </is>
      </c>
      <c r="N189" s="13" t="inlineStr">
        <is>
          <t>MGA</t>
        </is>
      </c>
      <c r="O189" s="13" t="n">
        <v>90</v>
      </c>
      <c r="P189" s="13" t="inlineStr">
        <is>
          <t>SSR HTML</t>
        </is>
      </c>
      <c r="Q189" s="13" t="inlineStr">
        <is>
          <t>GET / -&gt; 200, 90KB. Real Ar prices: 'Ar 6 000', 'Ar 5 000', 'Ar 12 000' with strike-through promo pattern per prior research.</t>
        </is>
      </c>
      <c r="R189" s="13" t="b">
        <v>1</v>
      </c>
      <c r="S189" s="13" t="inlineStr">
        <is>
          <t>24/7 online grocery, full supermarket taxonomy per prior research.</t>
        </is>
      </c>
      <c r="T189" s="13" t="inlineStr"/>
    </row>
    <row r="190">
      <c r="A190" s="13" t="inlineStr">
        <is>
          <t>eca</t>
        </is>
      </c>
      <c r="B190" s="13" t="inlineStr">
        <is>
          <t>germany</t>
        </is>
      </c>
      <c r="C190" s="13" t="inlineStr">
        <is>
          <t>Edeka24</t>
        </is>
      </c>
      <c r="D190" s="13" t="inlineStr">
        <is>
          <t>https://www.edeka24.de/</t>
        </is>
      </c>
      <c r="E190" s="13" t="inlineStr">
        <is>
          <t>TIER_1A</t>
        </is>
      </c>
      <c r="F190" s="13" t="inlineStr">
        <is>
          <t>low</t>
        </is>
      </c>
      <c r="G190" s="13" t="inlineStr">
        <is>
          <t>Wave 3</t>
        </is>
      </c>
      <c r="H190" s="13" t="inlineStr">
        <is>
          <t>spider</t>
        </is>
      </c>
      <c r="I190" s="13" t="inlineStr">
        <is>
          <t>One bespoke spider or fetcher per source</t>
        </is>
      </c>
      <c r="J190" s="13" t="inlineStr">
        <is>
          <t>Z_bespoke</t>
        </is>
      </c>
      <c r="K190" s="13" t="inlineStr">
        <is>
          <t>Custom</t>
        </is>
      </c>
      <c r="L190" s="13" t="inlineStr">
        <is>
          <t>retailer_sku</t>
        </is>
      </c>
      <c r="M190" s="13" t="inlineStr">
        <is>
          <t>supermarket</t>
        </is>
      </c>
      <c r="N190" s="13" t="inlineStr">
        <is>
          <t>EUR</t>
        </is>
      </c>
      <c r="O190" s="13" t="n">
        <v>70</v>
      </c>
      <c r="P190" s="13" t="inlineStr">
        <is>
          <t>SSR HTML</t>
        </is>
      </c>
      <c r="Q190" s="13" t="inlineStr">
        <is>
          <t>curl 200, 1.45MB, real prices in raw HTML: '10,49 €', '20,98 €', '20,99 €', '2,49 €', '16,60 €'</t>
        </is>
      </c>
      <c r="R190" s="13" t="b">
        <v>1</v>
      </c>
      <c r="S190" s="13" t="inlineStr">
        <is>
          <t>Shelf-stable only per CSV (no fresh produce/meat/dairy) - reaches pantry/packaged/bakery/some frozen but NOT the fresh-food leaves; nationwide shipping.</t>
        </is>
      </c>
      <c r="T190" s="13" t="inlineStr"/>
    </row>
    <row r="191">
      <c r="A191" s="13" t="inlineStr">
        <is>
          <t>eca</t>
        </is>
      </c>
      <c r="B191" s="13" t="inlineStr">
        <is>
          <t>france</t>
        </is>
      </c>
      <c r="C191" s="13" t="inlineStr">
        <is>
          <t>La Fourche</t>
        </is>
      </c>
      <c r="D191" s="13" t="inlineStr">
        <is>
          <t>https://lafourche.fr/</t>
        </is>
      </c>
      <c r="E191" s="13" t="inlineStr">
        <is>
          <t>TIER_1A</t>
        </is>
      </c>
      <c r="F191" s="13" t="inlineStr">
        <is>
          <t>low</t>
        </is>
      </c>
      <c r="G191" s="13" t="inlineStr">
        <is>
          <t>Wave 3</t>
        </is>
      </c>
      <c r="H191" s="13" t="inlineStr">
        <is>
          <t>spider</t>
        </is>
      </c>
      <c r="I191" s="13" t="inlineStr">
        <is>
          <t>One bespoke spider or fetcher per source</t>
        </is>
      </c>
      <c r="J191" s="13" t="inlineStr">
        <is>
          <t>Z_bespoke</t>
        </is>
      </c>
      <c r="K191" s="13" t="inlineStr">
        <is>
          <t>Next.js + GraphQL + Algolia</t>
        </is>
      </c>
      <c r="L191" s="13" t="inlineStr">
        <is>
          <t>retailer_sku</t>
        </is>
      </c>
      <c r="M191" s="13" t="inlineStr">
        <is>
          <t>supermarket</t>
        </is>
      </c>
      <c r="N191" s="13" t="inlineStr">
        <is>
          <t>EUR</t>
        </is>
      </c>
      <c r="O191" s="13" t="n">
        <v>70</v>
      </c>
      <c r="P191" s="13" t="inlineStr">
        <is>
          <t>SSR HTML</t>
        </is>
      </c>
      <c r="Q191" s="13" t="inlineStr">
        <is>
          <t>curl 200, 1.8MB, GraphQL+Next.js+Algolia+Shopify signals present, real prices in raw HTML: '2,40 €', '2,11 €', '4,06 €', '2,15 €', '7,98 €', '4,04 €'</t>
        </is>
      </c>
      <c r="R191" s="13" t="b">
        <v>1</v>
      </c>
      <c r="S191" s="13" t="inlineStr">
        <is>
          <t>Organic membership model per CSV - narrower assortment than a full hypermarket, membership fee affects effective price.</t>
        </is>
      </c>
      <c r="T191" s="13" t="inlineStr"/>
    </row>
    <row r="192">
      <c r="A192" s="13" t="inlineStr">
        <is>
          <t>ssa</t>
        </is>
      </c>
      <c r="B192" s="13" t="inlineStr">
        <is>
          <t>ethiopia</t>
        </is>
      </c>
      <c r="C192" s="13" t="inlineStr">
        <is>
          <t>Deliver Addis - Market</t>
        </is>
      </c>
      <c r="D192" s="13" t="inlineStr">
        <is>
          <t>https://deliveraddis.com/market</t>
        </is>
      </c>
      <c r="E192" s="13" t="inlineStr">
        <is>
          <t>TIER_1A</t>
        </is>
      </c>
      <c r="F192" s="13" t="inlineStr">
        <is>
          <t>low</t>
        </is>
      </c>
      <c r="G192" s="13" t="inlineStr">
        <is>
          <t>Wave 3</t>
        </is>
      </c>
      <c r="H192" s="13" t="inlineStr">
        <is>
          <t>spider</t>
        </is>
      </c>
      <c r="I192" s="13" t="inlineStr">
        <is>
          <t>One bespoke spider or fetcher per source</t>
        </is>
      </c>
      <c r="J192" s="13" t="inlineStr">
        <is>
          <t>Z_bespoke</t>
        </is>
      </c>
      <c r="K192" s="13" t="inlineStr">
        <is>
          <t>Custom</t>
        </is>
      </c>
      <c r="L192" s="13" t="inlineStr">
        <is>
          <t>retailer_sku</t>
        </is>
      </c>
      <c r="M192" s="13" t="inlineStr">
        <is>
          <t>supermarket</t>
        </is>
      </c>
      <c r="N192" s="13" t="inlineStr">
        <is>
          <t>ETB</t>
        </is>
      </c>
      <c r="O192" s="13" t="n">
        <v>70</v>
      </c>
      <c r="P192" s="13" t="inlineStr">
        <is>
          <t>SSR HTML listing</t>
        </is>
      </c>
      <c r="Q192" s="13" t="inlineStr">
        <is>
          <t>GET /market -&gt; 200, 47KB HTML. Real ETB prices in raw HTML: '550.00 ETB', '1,200.00 ETB', '590.00 ETB'.</t>
        </is>
      </c>
      <c r="R192" s="13" t="b">
        <v>1</v>
      </c>
      <c r="S192" s="13" t="inlineStr">
        <is>
          <t>Delivery-app catalog; homepage sample didn't reveal a full aisle taxonomy so kept the estimate conservative (packaged-goods-leaning) versus a full hypermarket.</t>
        </is>
      </c>
      <c r="T192" s="13" t="inlineStr"/>
    </row>
    <row r="193">
      <c r="A193" s="13" t="inlineStr">
        <is>
          <t>ssa</t>
        </is>
      </c>
      <c r="B193" s="13" t="inlineStr">
        <is>
          <t>tanzania</t>
        </is>
      </c>
      <c r="C193" s="13" t="inlineStr">
        <is>
          <t>Fast &amp; Fresh</t>
        </is>
      </c>
      <c r="D193" s="13" t="inlineStr">
        <is>
          <t>https://www.fastandfresh.co.tz/</t>
        </is>
      </c>
      <c r="E193" s="13" t="inlineStr">
        <is>
          <t>TIER_1A</t>
        </is>
      </c>
      <c r="F193" s="13" t="inlineStr">
        <is>
          <t>low</t>
        </is>
      </c>
      <c r="G193" s="13" t="inlineStr">
        <is>
          <t>Wave 3</t>
        </is>
      </c>
      <c r="H193" s="13" t="inlineStr">
        <is>
          <t>spider</t>
        </is>
      </c>
      <c r="I193" s="13" t="inlineStr">
        <is>
          <t>One bespoke spider or fetcher per source</t>
        </is>
      </c>
      <c r="J193" s="13" t="inlineStr">
        <is>
          <t>Z_bespoke</t>
        </is>
      </c>
      <c r="K193" s="13" t="inlineStr">
        <is>
          <t>Custom</t>
        </is>
      </c>
      <c r="L193" s="13" t="inlineStr">
        <is>
          <t>retailer_sku</t>
        </is>
      </c>
      <c r="M193" s="13" t="inlineStr">
        <is>
          <t>supermarket</t>
        </is>
      </c>
      <c r="N193" s="13" t="inlineStr">
        <is>
          <t>TZS</t>
        </is>
      </c>
      <c r="O193" s="13" t="n">
        <v>70</v>
      </c>
      <c r="P193" s="13" t="inlineStr">
        <is>
          <t>SSR HTML</t>
        </is>
      </c>
      <c r="Q193" s="13" t="inlineStr">
        <is>
          <t>GET / -&gt; 200, 53KB. Real TZS prices: 'TZS 2,500.00', 'TZS 10,000.00' x2 in raw HTML.</t>
        </is>
      </c>
      <c r="R193" s="13" t="b">
        <v>1</v>
      </c>
      <c r="S193" s="13" t="inlineStr">
        <is>
          <t>Per-kg/per-tray pricing on rice/eggs/beef per prior research -- explicit-unit fresh-produce/meat depth is above-average for a delivery-style operator.</t>
        </is>
      </c>
      <c r="T193" s="13" t="inlineStr"/>
    </row>
    <row r="194">
      <c r="A194" s="13" t="inlineStr">
        <is>
          <t>eca</t>
        </is>
      </c>
      <c r="B194" s="13" t="inlineStr">
        <is>
          <t>slovenia</t>
        </is>
      </c>
      <c r="C194" s="13" t="inlineStr">
        <is>
          <t>Lidl Slovenia</t>
        </is>
      </c>
      <c r="D194" s="13" t="inlineStr">
        <is>
          <t>https://www.lidl.si/</t>
        </is>
      </c>
      <c r="E194" s="13" t="inlineStr">
        <is>
          <t>TIER_1A</t>
        </is>
      </c>
      <c r="F194" s="13" t="inlineStr">
        <is>
          <t>low</t>
        </is>
      </c>
      <c r="G194" s="13" t="inlineStr">
        <is>
          <t>Wave 3</t>
        </is>
      </c>
      <c r="H194" s="13" t="inlineStr">
        <is>
          <t>spider</t>
        </is>
      </c>
      <c r="I194" s="13" t="inlineStr">
        <is>
          <t>One bespoke spider or fetcher per source</t>
        </is>
      </c>
      <c r="J194" s="13" t="inlineStr">
        <is>
          <t>Z_bespoke</t>
        </is>
      </c>
      <c r="K194" s="13" t="inlineStr">
        <is>
          <t>Nuxt</t>
        </is>
      </c>
      <c r="L194" s="13" t="inlineStr">
        <is>
          <t>retailer_sku</t>
        </is>
      </c>
      <c r="M194" s="13" t="inlineStr">
        <is>
          <t>supermarket</t>
        </is>
      </c>
      <c r="N194" s="13" t="inlineStr">
        <is>
          <t>EUR</t>
        </is>
      </c>
      <c r="O194" s="13" t="n">
        <v>60</v>
      </c>
      <c r="P194" s="13" t="inlineStr">
        <is>
          <t>SSR/Nuxt HTML</t>
        </is>
      </c>
      <c r="Q194" s="13" t="inlineStr">
        <is>
          <t>curl 200, 331KB, Nuxt detected, real price found in raw HTML: '22,99 €'</t>
        </is>
      </c>
      <c r="R194" s="13" t="b">
        <v>1</v>
      </c>
      <c r="S194" s="13" t="inlineStr">
        <is>
          <t>Better than the CSV's SUSPECT/D-tier label suggests - not blocked, one real price confirmed. Discounter, promo-led per CSV.</t>
        </is>
      </c>
      <c r="T194" s="13" t="inlineStr"/>
    </row>
    <row r="195">
      <c r="A195" s="13" t="inlineStr">
        <is>
          <t>eca</t>
        </is>
      </c>
      <c r="B195" s="13" t="inlineStr">
        <is>
          <t>switzerland</t>
        </is>
      </c>
      <c r="C195" s="13" t="inlineStr">
        <is>
          <t>Lidl Schweiz</t>
        </is>
      </c>
      <c r="D195" s="13" t="inlineStr">
        <is>
          <t>https://www.lidl.ch/</t>
        </is>
      </c>
      <c r="E195" s="13" t="inlineStr">
        <is>
          <t>TIER_1A</t>
        </is>
      </c>
      <c r="F195" s="13" t="inlineStr">
        <is>
          <t>low</t>
        </is>
      </c>
      <c r="G195" s="13" t="inlineStr">
        <is>
          <t>Wave 3</t>
        </is>
      </c>
      <c r="H195" s="13" t="inlineStr">
        <is>
          <t>spider</t>
        </is>
      </c>
      <c r="I195" s="13" t="inlineStr">
        <is>
          <t>One bespoke spider or fetcher per source</t>
        </is>
      </c>
      <c r="J195" s="13" t="inlineStr">
        <is>
          <t>Z_bespoke</t>
        </is>
      </c>
      <c r="K195" s="13" t="inlineStr">
        <is>
          <t>Nuxt</t>
        </is>
      </c>
      <c r="L195" s="13" t="inlineStr">
        <is>
          <t>retailer_sku</t>
        </is>
      </c>
      <c r="M195" s="13" t="inlineStr">
        <is>
          <t>supermarket</t>
        </is>
      </c>
      <c r="N195" s="13" t="inlineStr">
        <is>
          <t>CHF</t>
        </is>
      </c>
      <c r="O195" s="13" t="n">
        <v>60</v>
      </c>
      <c r="P195" s="13" t="inlineStr">
        <is>
          <t>SSR/Nuxt HTML</t>
        </is>
      </c>
      <c r="Q195" s="13" t="inlineStr">
        <is>
          <t>curl 200, 519KB, Nuxt detected, real prices in raw HTML: 'CHF 11.99', 'CHF 5.58', 'CHF 34.90', 'CHF 39.90'</t>
        </is>
      </c>
      <c r="R195" s="13" t="b">
        <v>1</v>
      </c>
      <c r="S195" s="13" t="inlineStr">
        <is>
          <t>Better than CSV's SUSPECT/D-tier label - not blocked, real prices confirmed. Discounter, no fresh-produce/butcher counter typical of full-line.</t>
        </is>
      </c>
      <c r="T195" s="13" t="inlineStr"/>
    </row>
    <row r="196">
      <c r="A196" s="13" t="inlineStr">
        <is>
          <t>ssa</t>
        </is>
      </c>
      <c r="B196" s="13" t="inlineStr">
        <is>
          <t>malawi</t>
        </is>
      </c>
      <c r="C196" s="13" t="inlineStr">
        <is>
          <t>DoorShoppin</t>
        </is>
      </c>
      <c r="D196" s="13" t="inlineStr">
        <is>
          <t>https://doorshoppin.com/Doorshoppin/category.php?cat_id=Groceries</t>
        </is>
      </c>
      <c r="E196" s="13" t="inlineStr">
        <is>
          <t>TIER_1A</t>
        </is>
      </c>
      <c r="F196" s="13" t="inlineStr">
        <is>
          <t>low</t>
        </is>
      </c>
      <c r="G196" s="13" t="inlineStr">
        <is>
          <t>Wave 3</t>
        </is>
      </c>
      <c r="H196" s="13" t="inlineStr">
        <is>
          <t>spider</t>
        </is>
      </c>
      <c r="I196" s="13" t="inlineStr">
        <is>
          <t>One bespoke spider or fetcher per source</t>
        </is>
      </c>
      <c r="J196" s="13" t="inlineStr">
        <is>
          <t>Z_bespoke</t>
        </is>
      </c>
      <c r="K196" s="13" t="inlineStr">
        <is>
          <t>Custom/PHP</t>
        </is>
      </c>
      <c r="L196" s="13" t="inlineStr">
        <is>
          <t>retailer_sku</t>
        </is>
      </c>
      <c r="M196" s="13" t="inlineStr">
        <is>
          <t>supermarket</t>
        </is>
      </c>
      <c r="N196" s="13" t="inlineStr">
        <is>
          <t>MWK</t>
        </is>
      </c>
      <c r="O196" s="13" t="n">
        <v>55</v>
      </c>
      <c r="P196" s="13" t="inlineStr">
        <is>
          <t>category.php (SSR PHP; index.php homepage is broken -- 'Catalog unavailable', hit the category URL directly)</t>
        </is>
      </c>
      <c r="Q196" s="13" t="inlineStr">
        <is>
          <t>GET category.php?cat_id=Groceries -&gt; 200, 808KB. Real MK prices with class='price': 'MK10,899', 'MK4,499', 'MK6,799', 'MK17,999', 'MK19,999'. 501 grocery products confirmed per prior research.</t>
        </is>
      </c>
      <c r="R196" s="13" t="b">
        <v>1</v>
      </c>
      <c r="S196" s="13" t="inlineStr">
        <is>
          <t>501 SKUs in a single grocery category -- solid mid-size packaged-goods depth.</t>
        </is>
      </c>
      <c r="T196" s="13" t="inlineStr"/>
    </row>
    <row r="197">
      <c r="A197" s="13" t="inlineStr">
        <is>
          <t>sar</t>
        </is>
      </c>
      <c r="B197" s="13" t="inlineStr">
        <is>
          <t>sri_lanka</t>
        </is>
      </c>
      <c r="C197" s="13" t="inlineStr">
        <is>
          <t>DCS Sri Lanka -- Weekly Retail Prices</t>
        </is>
      </c>
      <c r="D197" s="13" t="inlineStr">
        <is>
          <t>https://www.statistics.gov.lk/DashBoard/Prices/</t>
        </is>
      </c>
      <c r="E197" s="13" t="inlineStr">
        <is>
          <t>TIER_1B</t>
        </is>
      </c>
      <c r="F197" s="13" t="inlineStr">
        <is>
          <t>low</t>
        </is>
      </c>
      <c r="G197" s="13" t="inlineStr">
        <is>
          <t>Wave 3</t>
        </is>
      </c>
      <c r="H197" s="13" t="inlineStr">
        <is>
          <t>fetcher</t>
        </is>
      </c>
      <c r="I197" s="13" t="inlineStr">
        <is>
          <t>One bespoke spider or fetcher per source</t>
        </is>
      </c>
      <c r="J197" s="13" t="inlineStr">
        <is>
          <t>Z_bespoke</t>
        </is>
      </c>
      <c r="K197" s="13" t="inlineStr">
        <is>
          <t>Custom (embedded JS data file, no auth)</t>
        </is>
      </c>
      <c r="L197" s="13" t="inlineStr">
        <is>
          <t>official_avg</t>
        </is>
      </c>
      <c r="M197" s="13" t="inlineStr">
        <is>
          <t>official_avg</t>
        </is>
      </c>
      <c r="N197" s="13" t="inlineStr">
        <is>
          <t>LKR</t>
        </is>
      </c>
      <c r="O197" s="13" t="n">
        <v>50</v>
      </c>
      <c r="P197" s="13" t="inlineStr">
        <is>
          <t>/DashBoard/Prices/Prices_Data.php</t>
        </is>
      </c>
      <c r="Q197" s="13" t="inlineStr">
        <is>
          <t>GET /DashBoard/Prices/Prices_Data.php -&gt; 200, 1.85MB. Body is a raw JS data file (`var pip=[...]` and `var prices=[...]`) with 122 named products across 23 categories: Low Country Vegetables(15), Spices(14), Rice(14), Up Country Vegetables(9), Leaves(8), Pulses and Flour(8), Sea Fish Large(8), Milk Powder(7), Meat and Poultry(5), Fruits(5), Coconut(4), Sea Fish Small(4), Betel Leaves(3), Arecanuts(3), Dried Fish(3), Eggs(3), Potatoes(2), Big/Red Onions(3), Oils and Fats(1), Sugar(1), Canned Fish(1), Bakery Goods(1). Covers Weekly/Monthly/Yearly retail price series collected across 14 markets in the Colombo district (Pettah, Dematagoda, Nugegoda, etc, per the dashboard's own methodology note).</t>
        </is>
      </c>
      <c r="R197" s="13" t="b">
        <v>0</v>
      </c>
      <c r="S197" s="13" t="inlineStr">
        <is>
          <t>Government of Sri Lanka Department of Census &amp; Statistics official weekly retail price series -- absolute prices (not an index), no auth, single 1.85MB fetch gets the whole product+price history. Estimate is conservative: 122 named products collapse to fewer distinct COICOP leaves (multiple rice/onion/fish grades share a leaf) and some rows (betel leaves, arecanuts) sit outside the 279-leaf F&amp;B taxonomy. Reaches leaf-level granularity the supermarkets structurally can't (specific leafy-green varieties, fish-size classes, up-country vs low-country vegetable splits).</t>
        </is>
      </c>
      <c r="T197" s="13" t="inlineStr"/>
    </row>
    <row r="198">
      <c r="A198" s="13" t="inlineStr">
        <is>
          <t>ssa</t>
        </is>
      </c>
      <c r="B198" s="13" t="inlineStr">
        <is>
          <t>sudan</t>
        </is>
      </c>
      <c r="C198" s="13" t="inlineStr">
        <is>
          <t>HyperSale</t>
        </is>
      </c>
      <c r="D198" s="13" t="inlineStr">
        <is>
          <t>https://www.hypersale.sd/</t>
        </is>
      </c>
      <c r="E198" s="13" t="inlineStr">
        <is>
          <t>TIER_1A</t>
        </is>
      </c>
      <c r="F198" s="13" t="inlineStr">
        <is>
          <t>low</t>
        </is>
      </c>
      <c r="G198" s="13" t="inlineStr">
        <is>
          <t>Wave 3</t>
        </is>
      </c>
      <c r="H198" s="13" t="inlineStr">
        <is>
          <t>spider</t>
        </is>
      </c>
      <c r="I198" s="13" t="inlineStr">
        <is>
          <t>One bespoke spider or fetcher per source</t>
        </is>
      </c>
      <c r="J198" s="13" t="inlineStr">
        <is>
          <t>Z_bespoke</t>
        </is>
      </c>
      <c r="K198" s="13" t="inlineStr">
        <is>
          <t>Custom (Laravel)</t>
        </is>
      </c>
      <c r="L198" s="13" t="inlineStr">
        <is>
          <t>retailer_sku</t>
        </is>
      </c>
      <c r="M198" s="13" t="inlineStr">
        <is>
          <t>supermarket</t>
        </is>
      </c>
      <c r="N198" s="13" t="inlineStr">
        <is>
          <t>SDG</t>
        </is>
      </c>
      <c r="O198" s="13" t="n">
        <v>45</v>
      </c>
      <c r="P198" s="13" t="inlineStr">
        <is>
          <t>/category/hypersale-super-market</t>
        </is>
      </c>
      <c r="Q198" s="13" t="inlineStr">
        <is>
          <t>GET /category/hypersale-super-market -&gt; HTTP 200, 430KB SSR HTML with real product links + prices. Samples: 'Al Hamwi Coffee Classic Cardamom 180gm' 24.000 SDG, 'Frozina Pomme Frite Potatoes 25gm' 23.000 SDG, 'Karim Coconut Milk 400ml' 7.500 SDG, 'Lotus Biscoff Original 250gm' price present, 'Frozen Strawberry 1kg' present.</t>
        </is>
      </c>
      <c r="R198" s="13" t="b">
        <v>1</v>
      </c>
      <c r="S198" s="13" t="inlineStr">
        <is>
          <t>GOTCHA: prices render as '24.000SDG' -- verify whether '.' is a thousands separator (SDG 24,000) or a decimal point before scaffolding; eyeball against a known SDG price level. Dedicated grocery vertical confirmed distinct from the general marketplace (electronics/fashion/beauty also on this domain).</t>
        </is>
      </c>
      <c r="T198" s="13" t="inlineStr"/>
    </row>
    <row r="199">
      <c r="A199" s="13" t="inlineStr">
        <is>
          <t>ssa</t>
        </is>
      </c>
      <c r="B199" s="13" t="inlineStr">
        <is>
          <t>guinea</t>
        </is>
      </c>
      <c r="C199" s="13" t="inlineStr">
        <is>
          <t>Beryz</t>
        </is>
      </c>
      <c r="D199" s="13" t="inlineStr">
        <is>
          <t>https://www.beryz.com/fr/alimentation</t>
        </is>
      </c>
      <c r="E199" s="13" t="inlineStr">
        <is>
          <t>TIER_1A</t>
        </is>
      </c>
      <c r="F199" s="13" t="inlineStr">
        <is>
          <t>low</t>
        </is>
      </c>
      <c r="G199" s="13" t="inlineStr">
        <is>
          <t>Wave 3</t>
        </is>
      </c>
      <c r="H199" s="13" t="inlineStr">
        <is>
          <t>spider</t>
        </is>
      </c>
      <c r="I199" s="13" t="inlineStr">
        <is>
          <t>One bespoke spider or fetcher per source</t>
        </is>
      </c>
      <c r="J199" s="13" t="inlineStr">
        <is>
          <t>Z_bespoke</t>
        </is>
      </c>
      <c r="K199" s="13" t="inlineStr">
        <is>
          <t>Custom</t>
        </is>
      </c>
      <c r="L199" s="13" t="inlineStr">
        <is>
          <t>retailer_sku</t>
        </is>
      </c>
      <c r="M199" s="13" t="inlineStr">
        <is>
          <t>supermarket</t>
        </is>
      </c>
      <c r="N199" s="13" t="inlineStr">
        <is>
          <t>GNF</t>
        </is>
      </c>
      <c r="O199" s="13" t="n">
        <v>40</v>
      </c>
      <c r="P199" s="13" t="inlineStr"/>
      <c r="Q199" s="13" t="inlineStr">
        <is>
          <t>curl -&gt; HTTP 200, 104.5KB SSR HTML. Confirmed product card: 'Huile de palme rouge' -- 'Fatou Camara -- Conakry' -- '8 000 GNF/litre', tagged category 'Huiles'.</t>
        </is>
      </c>
      <c r="R199" s="13" t="b">
        <v>1</v>
      </c>
      <c r="S199" s="13" t="inlineStr">
        <is>
          <t>Confirms CSV's 'STRONG' rating and dual retail/wholesale pricing claim structurally (though the sampled card shows only one price point). Per-vendor + per-region (Conakry/Labe/Kindia/Boke) tagging is unusually valuable for spatial analysis.</t>
        </is>
      </c>
      <c r="T199" s="13" t="inlineStr"/>
    </row>
    <row r="200">
      <c r="A200" s="13" t="inlineStr">
        <is>
          <t>sar</t>
        </is>
      </c>
      <c r="B200" s="13" t="inlineStr">
        <is>
          <t>nepal</t>
        </is>
      </c>
      <c r="C200" s="13" t="inlineStr">
        <is>
          <t>Kalimati Fruits and Vegetable Market Development Board (wholesale)</t>
        </is>
      </c>
      <c r="D200" s="13" t="inlineStr">
        <is>
          <t>https://kalimatimarket.gov.np/price</t>
        </is>
      </c>
      <c r="E200" s="13" t="inlineStr">
        <is>
          <t>TIER_1B</t>
        </is>
      </c>
      <c r="F200" s="13" t="inlineStr">
        <is>
          <t>low</t>
        </is>
      </c>
      <c r="G200" s="13" t="inlineStr">
        <is>
          <t>Wave 3</t>
        </is>
      </c>
      <c r="H200" s="13" t="inlineStr">
        <is>
          <t>fetcher</t>
        </is>
      </c>
      <c r="I200" s="13" t="inlineStr">
        <is>
          <t>One bespoke spider or fetcher per source</t>
        </is>
      </c>
      <c r="J200" s="13" t="inlineStr">
        <is>
          <t>Z_bespoke</t>
        </is>
      </c>
      <c r="K200" s="13" t="inlineStr">
        <is>
          <t>Custom (Laravel, DataTables.js UI but server renders HTML rows on POST)</t>
        </is>
      </c>
      <c r="L200" s="13" t="inlineStr">
        <is>
          <t>wholesale reference</t>
        </is>
      </c>
      <c r="M200" s="13" t="inlineStr">
        <is>
          <t>official_avg</t>
        </is>
      </c>
      <c r="N200" s="13" t="inlineStr">
        <is>
          <t>NPR</t>
        </is>
      </c>
      <c r="O200" s="13" t="n">
        <v>35</v>
      </c>
      <c r="P200" s="13" t="inlineStr">
        <is>
          <t>/price (GET for token, POST with datePricing param)</t>
        </is>
      </c>
      <c r="Q200" s="13" t="inlineStr">
        <is>
          <t>GET /price (grab CSRF token '_token' + session cookie from hidden form field) then POST same URL with form fields _token, datePricing=YYYY-MM-DD (X-Requested-With: XMLHttpRequest header not even required) -&gt; 200, 30821 bytes HTML fragment, 98 commodity rows/day. Sample: 'गोलभेडा ठूलो(नेपाली)' (Tomato, large, local) के.जी. रू ४०.००-५०.०० (avg रू ४५). No auth beyond the CSRF handshake.</t>
        </is>
      </c>
      <c r="R200" s="13" t="b">
        <v>0</v>
      </c>
      <c r="S200" s="13" t="inlineStr">
        <is>
          <t>Whole-catalog walker: 98 commodities/day (many varieties per crop e.g. 3 tomato types, 4 potato types) covering nearly all fresh vegetables + fruits traded through Nepal's largest wholesale market. min/max/avg per unit. Walk daily by iterating datePricing for history. This is the single highest-value new find in the shard.</t>
        </is>
      </c>
      <c r="T200" s="13" t="inlineStr"/>
    </row>
    <row r="201">
      <c r="A201" s="13" t="inlineStr">
        <is>
          <t>ssa</t>
        </is>
      </c>
      <c r="B201" s="13" t="inlineStr">
        <is>
          <t>angola</t>
        </is>
      </c>
      <c r="C201" s="13" t="inlineStr">
        <is>
          <t>Kiwaba Online</t>
        </is>
      </c>
      <c r="D201" s="13" t="inlineStr">
        <is>
          <t>https://www.kiwaba.online/</t>
        </is>
      </c>
      <c r="E201" s="13" t="inlineStr">
        <is>
          <t>TIER_1B</t>
        </is>
      </c>
      <c r="F201" s="13" t="inlineStr">
        <is>
          <t>low</t>
        </is>
      </c>
      <c r="G201" s="13" t="inlineStr">
        <is>
          <t>Wave 3</t>
        </is>
      </c>
      <c r="H201" s="13" t="inlineStr">
        <is>
          <t>spider</t>
        </is>
      </c>
      <c r="I201" s="13" t="inlineStr">
        <is>
          <t>One bespoke spider or fetcher per source</t>
        </is>
      </c>
      <c r="J201" s="13" t="inlineStr">
        <is>
          <t>Z_bespoke</t>
        </is>
      </c>
      <c r="K201" s="13" t="inlineStr">
        <is>
          <t>Custom (React/Vite + Supabase)</t>
        </is>
      </c>
      <c r="L201" s="13" t="inlineStr">
        <is>
          <t>retailer_sku</t>
        </is>
      </c>
      <c r="M201" s="13" t="inlineStr">
        <is>
          <t>supermarket</t>
        </is>
      </c>
      <c r="N201" s="13" t="inlineStr">
        <is>
          <t>AOA</t>
        </is>
      </c>
      <c r="O201" s="13" t="n">
        <v>30</v>
      </c>
      <c r="P201" s="13" t="inlineStr">
        <is>
          <t>https://{project-ref}.supabase.co/rest/v1/products (apikey header required, key lives in the site's JS bundle)</t>
        </is>
      </c>
      <c r="Q201" s="13" t="inlineStr">
        <is>
          <t>React SPA (Vite, div#root) backed by open Supabase REST API. Anon JWT key found embedded in /assets/index-D4PaSevu.js. GET https://aljtwptkvhazymmtiqmx.supabase.co/rest/v1/products?select=id,name,price,unit,category_id&amp;active=eq.true&amp;limit=1500 -H 'apikey: &lt;anon-jwt&gt;' -&gt; 200, 302 active products. Sample: 'LABIO DE VACA cax 15kg' (cow lip, wholesale case) Kz 48,500.00. Categories: Carnes, Peixe &amp; Marisco, Hortícolas, Cereais &amp; Grãos, Bebidas, Fubas e farinhas, Lacticínios (plus non-food: Saúde e beleza, Medicamentos, Detergentes, Roupa).</t>
        </is>
      </c>
      <c r="R201" s="13" t="b">
        <v>1</v>
      </c>
      <c r="S201" s="13" t="inlineStr">
        <is>
          <t>Mid-size mixed grocery+pharmacy catalog (302 active items). Confirms CSV's 'STRONG' verdict. Food categories are real but not deep per-category (single digits to low tens of SKUs each).</t>
        </is>
      </c>
      <c r="T201" s="13" t="inlineStr"/>
    </row>
    <row r="202">
      <c r="A202" s="13" t="inlineStr">
        <is>
          <t>menaap</t>
        </is>
      </c>
      <c r="B202" s="13" t="inlineStr">
        <is>
          <t>djibouti</t>
        </is>
      </c>
      <c r="C202" s="13" t="inlineStr">
        <is>
          <t>AHADO EXPRESS</t>
        </is>
      </c>
      <c r="D202" s="13" t="inlineStr">
        <is>
          <t>https://ahadoexpress.net/</t>
        </is>
      </c>
      <c r="E202" s="13" t="inlineStr">
        <is>
          <t>TIER_1B</t>
        </is>
      </c>
      <c r="F202" s="13" t="inlineStr">
        <is>
          <t>low</t>
        </is>
      </c>
      <c r="G202" s="13" t="inlineStr">
        <is>
          <t>Wave 3</t>
        </is>
      </c>
      <c r="H202" s="13" t="inlineStr">
        <is>
          <t>spider</t>
        </is>
      </c>
      <c r="I202" s="13" t="inlineStr">
        <is>
          <t>One bespoke spider or fetcher per source</t>
        </is>
      </c>
      <c r="J202" s="13" t="inlineStr">
        <is>
          <t>Z_bespoke</t>
        </is>
      </c>
      <c r="K202" s="13" t="inlineStr">
        <is>
          <t>Custom (static site + public Google Sheet as backend, no auth)</t>
        </is>
      </c>
      <c r="L202" s="13" t="inlineStr">
        <is>
          <t>retailer_sku</t>
        </is>
      </c>
      <c r="M202" s="13" t="inlineStr">
        <is>
          <t>supermarket</t>
        </is>
      </c>
      <c r="N202" s="13" t="inlineStr">
        <is>
          <t>DJF</t>
        </is>
      </c>
      <c r="O202" s="13" t="n">
        <v>25</v>
      </c>
      <c r="P202" s="13" t="inlineStr">
        <is>
          <t>https://docs.google.com/spreadsheets/d/{sheetId}/gviz/tq?tqx=out:json&amp;sheet=Produits</t>
        </is>
      </c>
      <c r="Q202" s="13" t="inlineStr">
        <is>
          <t>Catalog is client-rendered from a public Google Sheets gviz endpoint, not a normal REST API. Traced js/main.js -&gt; js/data-loader.js -&gt; js/config.js for sheetId, then hit https://docs.google.com/spreadsheets/d/1WnLMz5rtsKa0cCmbqNN_Fh3d_5nm99kJVmzrN4427-Y/gviz/tq?tqx=out:json&amp;sheet=Produits directly -&gt; HTTP 200, 44KB JSON-ish (gviz wrapper), 174 rows. Sample: 'Huile Bertini' and 'Bio' with variant tiers e.g. '1 paquet' 500 FDJ / 'Pack (x6)' 2900 FDJ. Categories: Nettoyage 33, Riz 21, Epices 20, Lait Poudre 18, Spaghetti 18, Lait Infantile 11, Hygiene 7, Conserves 6, Boissons 5, Huiles 5, Bebe 4, Petit Dej 4, Frais 1.</t>
        </is>
      </c>
      <c r="R202" s="13" t="b">
        <v>1</v>
      </c>
      <c r="S202" s="13" t="inlineStr">
        <is>
          <t>Fragile source (a spreadsheet, not a database) but fully open, no auth, no WAF. Narrow assortment: mostly packaged/shelf-stable goods (rice, pasta, powdered milk, oils, canned goods, cleaning products mixed into same catalog). Almost no fresh produce (only 1 'Frais' row).</t>
        </is>
      </c>
      <c r="T202" s="13" t="inlineStr"/>
    </row>
    <row r="203">
      <c r="A203" s="13" t="inlineStr">
        <is>
          <t>sar</t>
        </is>
      </c>
      <c r="B203" s="13" t="inlineStr">
        <is>
          <t>nepal</t>
        </is>
      </c>
      <c r="C203" s="13" t="inlineStr">
        <is>
          <t>Vhandar</t>
        </is>
      </c>
      <c r="D203" s="13" t="inlineStr">
        <is>
          <t>https://www.vhandar.com/</t>
        </is>
      </c>
      <c r="E203" s="13" t="inlineStr">
        <is>
          <t>TIER_1B</t>
        </is>
      </c>
      <c r="F203" s="13" t="inlineStr">
        <is>
          <t>low</t>
        </is>
      </c>
      <c r="G203" s="13" t="inlineStr">
        <is>
          <t>Wave 3</t>
        </is>
      </c>
      <c r="H203" s="13" t="inlineStr">
        <is>
          <t>spider</t>
        </is>
      </c>
      <c r="I203" s="13" t="inlineStr">
        <is>
          <t>One bespoke spider or fetcher per source</t>
        </is>
      </c>
      <c r="J203" s="13" t="inlineStr">
        <is>
          <t>Z_bespoke</t>
        </is>
      </c>
      <c r="K203" s="13" t="inlineStr">
        <is>
          <t>Custom (Next.js + separate API host)</t>
        </is>
      </c>
      <c r="L203" s="13" t="inlineStr">
        <is>
          <t>retailer_sku</t>
        </is>
      </c>
      <c r="M203" s="13" t="inlineStr">
        <is>
          <t>supermarket</t>
        </is>
      </c>
      <c r="N203" s="13" t="inlineStr">
        <is>
          <t>NPR</t>
        </is>
      </c>
      <c r="O203" s="13" t="n">
        <v>25</v>
      </c>
      <c r="P203" s="13" t="inlineStr">
        <is>
          <t>GET api.vhandar.com/products, /categories</t>
        </is>
      </c>
      <c r="Q203" s="13" t="inlineStr">
        <is>
          <t>Next.js frontend, backend at GET https://api.vhandar.com/products?status=active&amp;page=1&amp;limit=50 -&gt; 200, 143KB JSON, plain curl, no auth. pagination.total=1180. Sample: 'Sip &amp; Seal Matcha Powder' unit=g unitValue=100 pricePerUnit=1600 (NPR implied). Categories via /categories endpoint: Dairy/Bread/Eggs, Packaged &amp; Instant Food, Rice/Atta/Flour, Dals/Pulses, Oil/Ghee, Masala/Dry Fruits, Sauces/Spreads, Tea/Coffee, Sweet Tooth, Snacks, Cold Drinks/Juice, Bakery/Biscuits, Horeca, Beauty/Cleaning/Personal-care/Baby (non-food).</t>
        </is>
      </c>
      <c r="R203" s="13" t="b">
        <v>1</v>
      </c>
      <c r="S203" s="13" t="inlineStr">
        <is>
          <t>No fresh-produce, meat, or fish category -- packaged/shelf-stable goods only, plus a HORECA wholesale vertical and MRP+savings fields (margin analysis). Heavy overlap with MeroKirana's packaged/dairy/beverage categories so counted incrementally, not standalone.</t>
        </is>
      </c>
      <c r="T203" s="13" t="inlineStr"/>
    </row>
    <row r="204">
      <c r="A204" s="13" t="inlineStr">
        <is>
          <t>sar</t>
        </is>
      </c>
      <c r="B204" s="13" t="inlineStr">
        <is>
          <t>pakistan</t>
        </is>
      </c>
      <c r="C204" s="13" t="inlineStr">
        <is>
          <t>Pakistan Bureau of Statistics -- Weekly Sensitive Price Indicator (SPI)</t>
        </is>
      </c>
      <c r="D204" s="13" t="inlineStr">
        <is>
          <t>https://www.pbs.gov.pk/spi and per-week bulletin pages e.g. https://www.pbs.gov.pk/weekly-sensitive-price-indicator-spi-for-the-week-ended-on-30-07-2026/</t>
        </is>
      </c>
      <c r="E204" s="13" t="inlineStr">
        <is>
          <t>TIER_1A</t>
        </is>
      </c>
      <c r="F204" s="13" t="inlineStr">
        <is>
          <t>low</t>
        </is>
      </c>
      <c r="G204" s="13" t="inlineStr">
        <is>
          <t>Wave 3</t>
        </is>
      </c>
      <c r="H204" s="13" t="inlineStr">
        <is>
          <t>fetcher</t>
        </is>
      </c>
      <c r="I204" s="13" t="inlineStr">
        <is>
          <t>One bespoke spider or fetcher per source</t>
        </is>
      </c>
      <c r="J204" s="13" t="inlineStr">
        <is>
          <t>Z_bespoke</t>
        </is>
      </c>
      <c r="K204" s="13" t="inlineStr">
        <is>
          <t>WordPress (static uploads)</t>
        </is>
      </c>
      <c r="L204" s="13" t="inlineStr">
        <is>
          <t>official_avg</t>
        </is>
      </c>
      <c r="M204" s="13" t="inlineStr">
        <is>
          <t>official_avg</t>
        </is>
      </c>
      <c r="N204" s="13" t="inlineStr">
        <is>
          <t>PKR</t>
        </is>
      </c>
      <c r="O204" s="13" t="n">
        <v>25</v>
      </c>
      <c r="P204" s="13" t="inlineStr">
        <is>
          <t>wp-content/uploads/2020/07/Annex_{DD.MM.YYYY}.xlsx (dated, predictable pattern)</t>
        </is>
      </c>
      <c r="Q204" s="13" t="inlineStr">
        <is>
          <t>www.pbs.gov.pk/spi 404s directly (stale vanity URL) but the per-week bulletin page (found via WebSearch) -&gt; HTTP 200, links to a stable-pattern Annex XLSX (wp-content/uploads/2020/07/Annex_DD.MM.YYYY.xlsx). Downloaded and parsed with openpyxl: 'Appendix-A / CONSUMER PRICES OF ESSENTIAL ITEMS', MIN/AVG/MAX price per item across 17 cities (Islamabad, Rawalpindi, Gujranwala, Sialkot, Lahore, Faisalabad, Sargodha, ...). Sample rows: 'Wheat Flour Bag 20 Kg' avg PKR 3085 (Islamabad), 'Milk fresh (Un-boiled) 1 Ltr' avg PKR 250.66, 'Rice Basmati Broken 1 Kg' avg PKR 274.83, 'Eggs Hen (Farm) 1 Dozen' avg PKR 271.48.</t>
        </is>
      </c>
      <c r="R204" s="13" t="b">
        <v>0</v>
      </c>
      <c r="S204" s="13" t="inlineStr">
        <is>
          <t>51 essential items (food + non-food) across 50 markets in 17 cities, published weekly with a predictable filename pattern once the current-week bulletin URL is found (need a small WebSearch or an index-page crawl each week to get the live URL -- the /spi vanity page itself is stale). Food-relevant subset (flour, rice x2, bread, beef, mutton, chicken, milk, curd, powdered milk, eggs, 2 cooking oils, ghee, sugar, tea, pulses, onion, potato, ...) covers the classic SPI basket.</t>
        </is>
      </c>
      <c r="T204" s="13" t="inlineStr"/>
    </row>
    <row r="205">
      <c r="A205" s="13" t="inlineStr">
        <is>
          <t>ssa</t>
        </is>
      </c>
      <c r="B205" s="13" t="inlineStr">
        <is>
          <t>benin</t>
        </is>
      </c>
      <c r="C205" s="13" t="inlineStr">
        <is>
          <t>Yobou Market</t>
        </is>
      </c>
      <c r="D205" s="13" t="inlineStr">
        <is>
          <t>https://www.yoboumarket.com/</t>
        </is>
      </c>
      <c r="E205" s="13" t="inlineStr">
        <is>
          <t>TIER_1B</t>
        </is>
      </c>
      <c r="F205" s="13" t="inlineStr">
        <is>
          <t>low</t>
        </is>
      </c>
      <c r="G205" s="13" t="inlineStr">
        <is>
          <t>Wave 3</t>
        </is>
      </c>
      <c r="H205" s="13" t="inlineStr">
        <is>
          <t>spider</t>
        </is>
      </c>
      <c r="I205" s="13" t="inlineStr">
        <is>
          <t>One bespoke spider or fetcher per source</t>
        </is>
      </c>
      <c r="J205" s="13" t="inlineStr">
        <is>
          <t>Z_bespoke</t>
        </is>
      </c>
      <c r="K205" s="13" t="inlineStr">
        <is>
          <t>Custom (Next.js)</t>
        </is>
      </c>
      <c r="L205" s="13" t="inlineStr">
        <is>
          <t>retailer_sku</t>
        </is>
      </c>
      <c r="M205" s="13" t="inlineStr">
        <is>
          <t>supermarket</t>
        </is>
      </c>
      <c r="N205" s="13" t="inlineStr">
        <is>
          <t>XOF</t>
        </is>
      </c>
      <c r="O205" s="13" t="n">
        <v>25</v>
      </c>
      <c r="P205" s="13" t="inlineStr">
        <is>
          <t>/api/products?limit=all&amp;includeInactive=true</t>
        </is>
      </c>
      <c r="Q205" s="13" t="inlineStr">
        <is>
          <t>Next.js app with open API. GET https://www.yoboumarket.com/api/products?limit=all&amp;includeInactive=true -&gt; 200, 578KB, 778 products, no auth. Sample: 'Chou' (cabbage) 500 FCFA. Category breakdown: Alimentation 48, Cuisine 44, Fruits et Legumes 37, Petit Dejeuner 36, Hygiene et Cosmetique 30, Nettoyages 12, Electromenagers 12, Pagnes/tissus 9, Grignoter 5, Epices 3, Savon 3, plus 539 uncategorized.</t>
        </is>
      </c>
      <c r="R205" s="13" t="b">
        <v>1</v>
      </c>
      <c r="S205" s="13" t="inlineStr">
        <is>
          <t>Thinner and more general-merchandise than NolMarket; food is ~130-180 of 778 SKUs once the 539 uncategorized rows are triaged.</t>
        </is>
      </c>
      <c r="T205" s="13" t="inlineStr"/>
    </row>
    <row r="206">
      <c r="A206" s="13" t="inlineStr">
        <is>
          <t>sar</t>
        </is>
      </c>
      <c r="B206" s="13" t="inlineStr">
        <is>
          <t>bangladesh</t>
        </is>
      </c>
      <c r="C206" s="13" t="inlineStr">
        <is>
          <t>TCB (Trading Corporation of Bangladesh) daily essential-commodity prices</t>
        </is>
      </c>
      <c r="D206" s="13" t="inlineStr">
        <is>
          <t>https://tcb.gov.bd/pages/daily-rmps</t>
        </is>
      </c>
      <c r="E206" s="13" t="inlineStr">
        <is>
          <t>TIER_1A</t>
        </is>
      </c>
      <c r="F206" s="13" t="inlineStr">
        <is>
          <t>low</t>
        </is>
      </c>
      <c r="G206" s="13" t="inlineStr">
        <is>
          <t>Wave 3</t>
        </is>
      </c>
      <c r="H206" s="13" t="inlineStr">
        <is>
          <t>fetcher</t>
        </is>
      </c>
      <c r="I206" s="13" t="inlineStr">
        <is>
          <t>One bespoke spider or fetcher per source</t>
        </is>
      </c>
      <c r="J206" s="13" t="inlineStr">
        <is>
          <t>Z_bespoke</t>
        </is>
      </c>
      <c r="K206" s="13" t="inlineStr">
        <is>
          <t>Custom CMS (V2Ministry)</t>
        </is>
      </c>
      <c r="L206" s="13" t="inlineStr">
        <is>
          <t>official_avg</t>
        </is>
      </c>
      <c r="M206" s="13" t="inlineStr">
        <is>
          <t>official_avg</t>
        </is>
      </c>
      <c r="N206" s="13" t="inlineStr">
        <is>
          <t>BDT</t>
        </is>
      </c>
      <c r="O206" s="13" t="n">
        <v>15</v>
      </c>
      <c r="P206" s="13" t="inlineStr">
        <is>
          <t>/pages/daily-rmps -&gt; dated XLSX (Oracle object storage)</t>
        </is>
      </c>
      <c r="Q206" s="13" t="inlineStr">
        <is>
          <t>curl -&gt; HTTP 200, 90.8KB HTML with a table of dated links directly to XLSX files, e.g. https://objectstorage.ap-dcc-gazipur-1.oraclecloud15.com/n/axvjbnqprylg/b/V2Ministry/o/office-tcb/2026/7/....xlsx. Not downloaded/parsed the XLSX schema in this pass, but the link pattern (one dated XLSX per day, Oracle Cloud object storage, no auth) is a clean published-static-doc fetcher shape.</t>
        </is>
      </c>
      <c r="R206" s="13" t="b">
        <v>0</v>
      </c>
      <c r="S206" s="13" t="inlineStr">
        <is>
          <t>TCB's tracked list is narrow (rice, edible oil, sugar, lentils/pulses, onion -- the classic 'essential commodities' basket used for open-market-sale interventions), so leaf count is modest, but it is trivial to fetch (one XLSX per day, stable link).</t>
        </is>
      </c>
      <c r="T206" s="13" t="inlineStr"/>
    </row>
    <row r="207">
      <c r="A207" s="13" t="inlineStr">
        <is>
          <t>sar</t>
        </is>
      </c>
      <c r="B207" s="13" t="inlineStr">
        <is>
          <t>nepal</t>
        </is>
      </c>
      <c r="C207" s="13" t="inlineStr">
        <is>
          <t>Groceries Nepal</t>
        </is>
      </c>
      <c r="D207" s="13" t="inlineStr">
        <is>
          <t>https://groceriesnepal.com/</t>
        </is>
      </c>
      <c r="E207" s="13" t="inlineStr">
        <is>
          <t>TIER_1B</t>
        </is>
      </c>
      <c r="F207" s="13" t="inlineStr">
        <is>
          <t>low</t>
        </is>
      </c>
      <c r="G207" s="13" t="inlineStr">
        <is>
          <t>Wave 3</t>
        </is>
      </c>
      <c r="H207" s="13" t="inlineStr">
        <is>
          <t>spider</t>
        </is>
      </c>
      <c r="I207" s="13" t="inlineStr">
        <is>
          <t>One bespoke spider or fetcher per source</t>
        </is>
      </c>
      <c r="J207" s="13" t="inlineStr">
        <is>
          <t>Z_bespoke</t>
        </is>
      </c>
      <c r="K207" s="13" t="inlineStr">
        <is>
          <t>Custom (Vite/React)</t>
        </is>
      </c>
      <c r="L207" s="13" t="inlineStr">
        <is>
          <t>retailer_sku</t>
        </is>
      </c>
      <c r="M207" s="13" t="inlineStr">
        <is>
          <t>supermarket</t>
        </is>
      </c>
      <c r="N207" s="13" t="inlineStr">
        <is>
          <t>NPR</t>
        </is>
      </c>
      <c r="O207" s="13" t="n">
        <v>10</v>
      </c>
      <c r="P207" s="13" t="inlineStr">
        <is>
          <t>GET /api/products</t>
        </is>
      </c>
      <c r="Q207" s="13" t="inlineStr">
        <is>
          <t>React SPA, GET https://groceriesnepal.com/api/products -&gt; 200, 26446 bytes JSON, plain curl, no auth. 97 products. categories = {Dairy, Dry Fruits, Fruits, Grocery, Leafy Vegetables, Vegetables}. Sample: 'Tomato (Goalbheda)' category=Vegetables price=100 prevPrice=90 unit=kg, also carries nameNp (Nepali name).</t>
        </is>
      </c>
      <c r="R207" s="13" t="b">
        <v>1</v>
      </c>
      <c r="S207" s="13" t="inlineStr">
        <is>
          <t>Small catalog (97 SKUs) but genuinely carries fresh Vegetables/Leafy Vegetables/Fruits categories, complementing the packaged-only sources. Thin depth per leaf though.</t>
        </is>
      </c>
      <c r="T207" s="13" t="inlineStr"/>
    </row>
    <row r="208">
      <c r="A208" s="13" t="inlineStr">
        <is>
          <t>ssa</t>
        </is>
      </c>
      <c r="B208" s="13" t="inlineStr">
        <is>
          <t>ghana</t>
        </is>
      </c>
      <c r="C208" s="13" t="inlineStr">
        <is>
          <t>Tezeon Grocery</t>
        </is>
      </c>
      <c r="D208" s="13" t="inlineStr">
        <is>
          <t>https://tezeon.com/grocery</t>
        </is>
      </c>
      <c r="E208" s="13" t="inlineStr">
        <is>
          <t>TIER_1B</t>
        </is>
      </c>
      <c r="F208" s="13" t="inlineStr">
        <is>
          <t>low</t>
        </is>
      </c>
      <c r="G208" s="13" t="inlineStr">
        <is>
          <t>Wave 3</t>
        </is>
      </c>
      <c r="H208" s="13" t="inlineStr">
        <is>
          <t>spider</t>
        </is>
      </c>
      <c r="I208" s="13" t="inlineStr">
        <is>
          <t>One bespoke spider or fetcher per source</t>
        </is>
      </c>
      <c r="J208" s="13" t="inlineStr">
        <is>
          <t>Z_bespoke</t>
        </is>
      </c>
      <c r="K208" s="13" t="inlineStr">
        <is>
          <t>Custom (Django REST + Next.js frontend)</t>
        </is>
      </c>
      <c r="L208" s="13" t="inlineStr">
        <is>
          <t>retailer_sku</t>
        </is>
      </c>
      <c r="M208" s="13" t="inlineStr">
        <is>
          <t>supermarket</t>
        </is>
      </c>
      <c r="N208" s="13" t="inlineStr">
        <is>
          <t>GHS</t>
        </is>
      </c>
      <c r="O208" s="13" t="n">
        <v>10</v>
      </c>
      <c r="P208" s="13" t="inlineStr">
        <is>
          <t>/api/products/ (category filter param not yet resolved), /api/products/categories/</t>
        </is>
      </c>
      <c r="Q208" s="13" t="inlineStr">
        <is>
          <t>Playwright network trace on a category page surfaced a fully open Django-style REST API: GET https://api.tezeon.com/api/products/categories/ -&gt; 200, 204KB, full category tree, no auth. Reproduced standalone with curl. GET https://api.tezeon.com/api/products/ -&gt; 200, 42KB, paginated product list with real prices (e.g. 'Tecno True Wireless Stereo Earphone' GHS 600.00). A 'Groceries &amp; Food' top-level category exists (slug groceries-food) alongside Rice &amp; Pasta, Snacks, Spices, Drinks, Fruit &amp; Vegetable Tools sub-categories, but attempts to filter the products endpoint by category=groceries-food and category=groceries both returned HTTP 400 within budget -- the correct filter param name was not found.</t>
        </is>
      </c>
      <c r="R208" s="13" t="b">
        <v>1</v>
      </c>
      <c r="S208" s="13" t="inlineStr">
        <is>
          <t>General marketplace (electronics/fashion/home dominant per the 150+ category list) with a real but modest F&amp;B slice. Endpoint is trivially open; only the query-param spelling needs one more probe cycle.</t>
        </is>
      </c>
      <c r="T208" s="13" t="inlineStr"/>
    </row>
    <row r="209">
      <c r="A209" s="13" t="inlineStr">
        <is>
          <t>sar</t>
        </is>
      </c>
      <c r="B209" s="13" t="inlineStr">
        <is>
          <t>nepal</t>
        </is>
      </c>
      <c r="C209" s="13" t="inlineStr">
        <is>
          <t>ShopIt Nepal</t>
        </is>
      </c>
      <c r="D209" s="13" t="inlineStr">
        <is>
          <t>https://www.shopitnepal.com/</t>
        </is>
      </c>
      <c r="E209" s="13" t="inlineStr">
        <is>
          <t>TIER_1B</t>
        </is>
      </c>
      <c r="F209" s="13" t="inlineStr">
        <is>
          <t>low</t>
        </is>
      </c>
      <c r="G209" s="13" t="inlineStr">
        <is>
          <t>Wave 3</t>
        </is>
      </c>
      <c r="H209" s="13" t="inlineStr">
        <is>
          <t>spider</t>
        </is>
      </c>
      <c r="I209" s="13" t="inlineStr">
        <is>
          <t>One bespoke spider or fetcher per source</t>
        </is>
      </c>
      <c r="J209" s="13" t="inlineStr">
        <is>
          <t>Z_bespoke</t>
        </is>
      </c>
      <c r="K209" s="13" t="inlineStr">
        <is>
          <t>Custom (Next.js)</t>
        </is>
      </c>
      <c r="L209" s="13" t="inlineStr">
        <is>
          <t>retailer_sku</t>
        </is>
      </c>
      <c r="M209" s="13" t="inlineStr">
        <is>
          <t>supermarket</t>
        </is>
      </c>
      <c r="N209" s="13" t="inlineStr">
        <is>
          <t>NPR</t>
        </is>
      </c>
      <c r="O209" s="13" t="n">
        <v>8</v>
      </c>
      <c r="P209" s="13" t="inlineStr">
        <is>
          <t>GET /api/mobile/products, /api/mobile/category</t>
        </is>
      </c>
      <c r="Q209" s="13" t="inlineStr">
        <is>
          <t>Next.js frontend, GET https://shopitnepal.com/api/mobile/products -&gt; 200, 7253 bytes JSON, plain curl, no auth. Sample: 'NIVEA Shea Smooth 75ml' price=185 mrp=200. GET /api/mobile/category -&gt; categories {Baby Products, Chocolates, Cloud Kitchen, Daily Groceries, Hajmola, Home &amp; Kitchen, Ice Creams, Liquors, Mouth Freashner, Packaged Foods, Party Supplies, Personal Care, Sexual Wellness, Smokes, Soft Drinks}.</t>
        </is>
      </c>
      <c r="R209" s="13" t="b">
        <v>1</v>
      </c>
      <c r="S209" s="13" t="inlineStr">
        <is>
          <t>Quick-commerce convenience-store catalog (cloud kitchen, liquor, smokes, sweets) with no visible fresh-produce category -- 'Daily Groceries' unconfirmed for fresh items. Endpoint only returned 1 page (default limit) in this probe; pagination params not confirmed.</t>
        </is>
      </c>
      <c r="T209" s="13" t="inlineStr"/>
    </row>
    <row r="210">
      <c r="A210" s="13" t="inlineStr">
        <is>
          <t>ssa</t>
        </is>
      </c>
      <c r="B210" s="13" t="inlineStr">
        <is>
          <t>malawi</t>
        </is>
      </c>
      <c r="C210" s="13" t="inlineStr">
        <is>
          <t>Tambala Market</t>
        </is>
      </c>
      <c r="D210" s="13" t="inlineStr">
        <is>
          <t>https://www.tambalamarket.store/categories/food-beverages</t>
        </is>
      </c>
      <c r="E210" s="13" t="inlineStr">
        <is>
          <t>TIER_1A</t>
        </is>
      </c>
      <c r="F210" s="13" t="inlineStr">
        <is>
          <t>low</t>
        </is>
      </c>
      <c r="G210" s="13" t="inlineStr">
        <is>
          <t>Wave 3</t>
        </is>
      </c>
      <c r="H210" s="13" t="inlineStr">
        <is>
          <t>spider</t>
        </is>
      </c>
      <c r="I210" s="13" t="inlineStr">
        <is>
          <t>One bespoke spider or fetcher per source</t>
        </is>
      </c>
      <c r="J210" s="13" t="inlineStr">
        <is>
          <t>Z_bespoke</t>
        </is>
      </c>
      <c r="K210" s="13" t="inlineStr">
        <is>
          <t>Custom</t>
        </is>
      </c>
      <c r="L210" s="13" t="inlineStr">
        <is>
          <t>retailer_sku</t>
        </is>
      </c>
      <c r="M210" s="13" t="inlineStr">
        <is>
          <t>supermarket</t>
        </is>
      </c>
      <c r="N210" s="13" t="inlineStr">
        <is>
          <t>MWK</t>
        </is>
      </c>
      <c r="O210" s="13" t="n">
        <v>8</v>
      </c>
      <c r="P210" s="13" t="inlineStr">
        <is>
          <t>SSR HTML</t>
        </is>
      </c>
      <c r="Q210" s="13" t="inlineStr">
        <is>
          <t>GET /categories/food-beverages -&gt; 200, 338KB, multiple 'MWK' matches in raw HTML.</t>
        </is>
      </c>
      <c r="R210" s="13" t="b">
        <v>1</v>
      </c>
      <c r="S210" s="13" t="inlineStr">
        <is>
          <t>Multi-seller marketplace; per prior research the food category is small (~17 items) and wine-heavy -- low net-new value beyond Add2Cart/DoorShoppin.</t>
        </is>
      </c>
      <c r="T210" s="13" t="inlineStr"/>
    </row>
    <row r="211">
      <c r="A211" s="13" t="inlineStr">
        <is>
          <t>sar</t>
        </is>
      </c>
      <c r="B211" s="13" t="inlineStr">
        <is>
          <t>nepal</t>
        </is>
      </c>
      <c r="C211" s="13" t="inlineStr">
        <is>
          <t>MilanWholesale</t>
        </is>
      </c>
      <c r="D211" s="13" t="inlineStr">
        <is>
          <t>https://milanwholesale.com/</t>
        </is>
      </c>
      <c r="E211" s="13" t="inlineStr">
        <is>
          <t>TIER_1A</t>
        </is>
      </c>
      <c r="F211" s="13" t="inlineStr">
        <is>
          <t>low</t>
        </is>
      </c>
      <c r="G211" s="13" t="inlineStr">
        <is>
          <t>Wave 3</t>
        </is>
      </c>
      <c r="H211" s="13" t="inlineStr">
        <is>
          <t>fetcher</t>
        </is>
      </c>
      <c r="I211" s="13" t="inlineStr">
        <is>
          <t>One bespoke spider or fetcher per source</t>
        </is>
      </c>
      <c r="J211" s="13" t="inlineStr">
        <is>
          <t>Z_bespoke</t>
        </is>
      </c>
      <c r="K211" s="13" t="inlineStr">
        <is>
          <t>Custom (not WordPress -- wp-json/wc endpoints 404, csrf-token in page suggests bespoke PHP app)</t>
        </is>
      </c>
      <c r="L211" s="13" t="inlineStr">
        <is>
          <t>wholesale reference</t>
        </is>
      </c>
      <c r="M211" s="13" t="inlineStr">
        <is>
          <t>wholesale</t>
        </is>
      </c>
      <c r="N211" s="13" t="inlineStr">
        <is>
          <t>NPR</t>
        </is>
      </c>
      <c r="O211" s="13" t="n">
        <v>5</v>
      </c>
      <c r="P211" s="13" t="inlineStr">
        <is>
          <t>GET /product-category/&lt;slug&gt;</t>
        </is>
      </c>
      <c r="Q211" s="13" t="inlineStr">
        <is>
          <t>GET https://milanwholesale.com/product-category/rice -&gt; 200, 104587 bytes SSR HTML, plain curl, no auth. Product cards extracted via h-tag anchors, e.g. 'Rajhans Royal Pulao Basmati Rice 20kg' Rs.4500, 'Aashiyana Usina Long Grain Rice 5kg'. Categories: biscuits, breakfast-dips-spreads, chips-biscuits-noodles, cooking-oil-ghee, daal, dry-fruits, flour-flour-products, hot-cold-beverages, lentils-pulses-beans, noodles, rice, spices-masala, sugar-salt.</t>
        </is>
      </c>
      <c r="R211" s="13" t="b">
        <v>1</v>
      </c>
      <c r="S211" s="13" t="inlineStr">
        <is>
          <t>Wholesale bulk pricing on dry staples only (rice, dal/pulses, oil/ghee, spices, sugar/salt, dry fruits, noodles, biscuits) -- no fresh produce/dairy/meat. Prices are bulk-pack (20kg sacks etc.), pair with a retail source for wholesale-retail spread per shard notes. High category overlap with Vhandar/MeroKirana so counted mostly incremental (different channel/analytical_role, not new leaves).</t>
        </is>
      </c>
      <c r="T211" s="13" t="inlineStr"/>
    </row>
    <row r="212">
      <c r="A212" s="13" t="inlineStr">
        <is>
          <t>ssa</t>
        </is>
      </c>
      <c r="B212" s="13" t="inlineStr">
        <is>
          <t>cameroon</t>
        </is>
      </c>
      <c r="C212" s="13" t="inlineStr">
        <is>
          <t>Yorix CM</t>
        </is>
      </c>
      <c r="D212" s="13" t="inlineStr">
        <is>
          <t>https://www.yorix.cm/</t>
        </is>
      </c>
      <c r="E212" s="13" t="inlineStr">
        <is>
          <t>TIER_1B</t>
        </is>
      </c>
      <c r="F212" s="13" t="inlineStr">
        <is>
          <t>low</t>
        </is>
      </c>
      <c r="G212" s="13" t="inlineStr">
        <is>
          <t>Wave 3</t>
        </is>
      </c>
      <c r="H212" s="13" t="inlineStr">
        <is>
          <t>spider</t>
        </is>
      </c>
      <c r="I212" s="13" t="inlineStr">
        <is>
          <t>One bespoke spider or fetcher per source</t>
        </is>
      </c>
      <c r="J212" s="13" t="inlineStr">
        <is>
          <t>Z_bespoke</t>
        </is>
      </c>
      <c r="K212" s="13" t="inlineStr">
        <is>
          <t>Custom (React/Vite + Supabase)</t>
        </is>
      </c>
      <c r="L212" s="13" t="inlineStr">
        <is>
          <t>retailer_sku</t>
        </is>
      </c>
      <c r="M212" s="13" t="inlineStr">
        <is>
          <t>aggregator</t>
        </is>
      </c>
      <c r="N212" s="13" t="inlineStr">
        <is>
          <t>XAF</t>
        </is>
      </c>
      <c r="O212" s="13" t="n">
        <v>5</v>
      </c>
      <c r="P212" s="13" t="inlineStr">
        <is>
          <t>https://msrymchhhxitdevthvdi.supabase.co/rest/v1/products (apikey header)</t>
        </is>
      </c>
      <c r="Q212" s="13" t="inlineStr">
        <is>
          <t>React/Vite SPA backed by Supabase. Publishable key captured from live Playwright request headers (apikey/authorization: sb_publishable_yJj7JNdn-r19Pjc070IOBg_y2VzGJXA), reproduced standalone with curl: GET https://msrymchhhxitdevthvdi.supabase.co/rest/v1/products?select=id,name_fr,prix,categorie&amp;limit=1000 -&gt; 200, 189 total products. Only 13 fall in food-relevant categories ('Alimentation', 'Produits frais'); the rest are Sacs &amp; accessoires, Cosmetiques, Mode, Telephones, Automobile, etc. One row is even mislabeled ('Redmi A5 android' filed under 'Alimentation').</t>
        </is>
      </c>
      <c r="R212" s="13" t="b">
        <v>1</v>
      </c>
      <c r="S212" s="13" t="inlineStr">
        <is>
          <t>Technically open and easy to scrape, but this is a general classifieds-style marketplace with a very thin, low-quality food slice (13/189 products, one mislabeled). Resolves CSV's 'grocery depth unclear' -- depth is thin.</t>
        </is>
      </c>
      <c r="T212" s="13" t="inlineStr"/>
    </row>
    <row r="213">
      <c r="A213" s="13" t="inlineStr">
        <is>
          <t>ssa</t>
        </is>
      </c>
      <c r="B213" s="13" t="inlineStr">
        <is>
          <t>cameroon</t>
        </is>
      </c>
      <c r="C213" s="13" t="inlineStr">
        <is>
          <t>QuickGo 237</t>
        </is>
      </c>
      <c r="D213" s="13" t="inlineStr">
        <is>
          <t>https://www.quickgo237.com/</t>
        </is>
      </c>
      <c r="E213" s="13" t="inlineStr">
        <is>
          <t>TIER_1B</t>
        </is>
      </c>
      <c r="F213" s="13" t="inlineStr">
        <is>
          <t>low</t>
        </is>
      </c>
      <c r="G213" s="13" t="inlineStr">
        <is>
          <t>Wave 3</t>
        </is>
      </c>
      <c r="H213" s="13" t="inlineStr">
        <is>
          <t>spider</t>
        </is>
      </c>
      <c r="I213" s="13" t="inlineStr">
        <is>
          <t>One bespoke spider or fetcher per source</t>
        </is>
      </c>
      <c r="J213" s="13" t="inlineStr">
        <is>
          <t>Z_bespoke</t>
        </is>
      </c>
      <c r="K213" s="13" t="inlineStr">
        <is>
          <t>Custom (Next.js)</t>
        </is>
      </c>
      <c r="L213" s="13" t="inlineStr">
        <is>
          <t>retailer_sku</t>
        </is>
      </c>
      <c r="M213" s="13" t="inlineStr">
        <is>
          <t>aggregator</t>
        </is>
      </c>
      <c r="N213" s="13" t="inlineStr">
        <is>
          <t>XAF</t>
        </is>
      </c>
      <c r="O213" s="13" t="n">
        <v>3</v>
      </c>
      <c r="P213" s="13" t="inlineStr">
        <is>
          <t>/api/vendors, /api/products</t>
        </is>
      </c>
      <c r="Q213" s="13" t="inlineStr">
        <is>
          <t>Next.js app, open custom API confirmed via Playwright network trace then reproduced standalone with plain curl (no auth): GET https://www.quickgo237.com/api/vendors -&gt; 200, 5.2KB, 6 vendors total. GET .../api/products -&gt; 200, 11KB. The ?category=supermarche query param does not actually filter server-side (returns all 6 vendors regardless). Only 1 of 6 vendors is a supermarket ('Super U Express'); the rest are a pharmacy, a restaurant, 2 electronics stores and a fashion store.</t>
        </is>
      </c>
      <c r="R213" s="13" t="b">
        <v>1</v>
      </c>
      <c r="S213" s="13" t="inlineStr">
        <is>
          <t>Technically wide open (no engineering blocker) but currently early-stage/seed-data scale -- 6 total vendors citywide is not yet a meaningful F&amp;B source. Worth a cheap re-check in a few months as the marketplace grows.</t>
        </is>
      </c>
      <c r="T213" s="13" t="inlineStr"/>
    </row>
    <row r="214">
      <c r="A214" s="13" t="inlineStr">
        <is>
          <t>eca</t>
        </is>
      </c>
      <c r="B214" s="13" t="inlineStr">
        <is>
          <t>ireland</t>
        </is>
      </c>
      <c r="C214" s="13" t="inlineStr">
        <is>
          <t>supermarket.ie</t>
        </is>
      </c>
      <c r="D214" s="13" t="inlineStr">
        <is>
          <t>https://www.supermarket.ie/compare/supermarket-prices-ireland</t>
        </is>
      </c>
      <c r="E214" s="13" t="inlineStr">
        <is>
          <t>TIER_1A</t>
        </is>
      </c>
      <c r="F214" s="13" t="inlineStr">
        <is>
          <t>low</t>
        </is>
      </c>
      <c r="G214" s="13" t="inlineStr">
        <is>
          <t>Wave 3</t>
        </is>
      </c>
      <c r="H214" s="13" t="inlineStr">
        <is>
          <t>fetcher</t>
        </is>
      </c>
      <c r="I214" s="13" t="inlineStr">
        <is>
          <t>One bespoke spider or fetcher per source</t>
        </is>
      </c>
      <c r="J214" s="13" t="inlineStr">
        <is>
          <t>Z_bespoke</t>
        </is>
      </c>
      <c r="K214" s="13" t="inlineStr">
        <is>
          <t>Custom (Next.js)</t>
        </is>
      </c>
      <c r="L214" s="13" t="inlineStr">
        <is>
          <t>aggregate_proxy</t>
        </is>
      </c>
      <c r="M214" s="13" t="inlineStr">
        <is>
          <t>aggregate_proxy</t>
        </is>
      </c>
      <c r="N214" s="13" t="inlineStr">
        <is>
          <t>EUR</t>
        </is>
      </c>
      <c r="O214" s="13" t="n">
        <v>0</v>
      </c>
      <c r="P214" s="13" t="inlineStr">
        <is>
          <t>SSR</t>
        </is>
      </c>
      <c r="Q214" s="13" t="inlineStr">
        <is>
          <t>GET -&gt; 200, 147KB, Next.js. Real EUR basket totals found in SSR HTML (e.g. €393.77, €35.52, €224.46) across Tesco/Dunnes/SuperValu/Aldi.</t>
        </is>
      </c>
      <c r="R214" s="13" t="b">
        <v>1</v>
      </c>
      <c r="S214" s="13" t="inlineStr">
        <is>
          <t>Real retailer-sourced basket-comparison tool (not a cost-of-living survey publisher) but data is at basket/category-total grain (524 products, twice-weekly), not itemized catalogue -- does not count toward per-leaf coverage per the brief's rule.</t>
        </is>
      </c>
      <c r="T214" s="13" t="inlineStr"/>
    </row>
    <row r="215">
      <c r="A215" s="13" t="inlineStr">
        <is>
          <t>menaap</t>
        </is>
      </c>
      <c r="B215" s="13" t="inlineStr">
        <is>
          <t>libya</t>
        </is>
      </c>
      <c r="C215" s="13" t="inlineStr">
        <is>
          <t>Shobly</t>
        </is>
      </c>
      <c r="D215" s="13" t="inlineStr">
        <is>
          <t>https://shobly.shop/</t>
        </is>
      </c>
      <c r="E215" s="13" t="inlineStr">
        <is>
          <t>TIER_1A</t>
        </is>
      </c>
      <c r="F215" s="13" t="inlineStr">
        <is>
          <t>low</t>
        </is>
      </c>
      <c r="G215" s="13" t="inlineStr">
        <is>
          <t>Wave 3</t>
        </is>
      </c>
      <c r="H215" s="13" t="inlineStr">
        <is>
          <t>spider</t>
        </is>
      </c>
      <c r="I215" s="13" t="inlineStr">
        <is>
          <t>One bespoke spider or fetcher per source</t>
        </is>
      </c>
      <c r="J215" s="13" t="inlineStr">
        <is>
          <t>Z_bespoke</t>
        </is>
      </c>
      <c r="K215" s="13" t="inlineStr">
        <is>
          <t>Custom</t>
        </is>
      </c>
      <c r="L215" s="13" t="inlineStr">
        <is>
          <t>retailer_sku</t>
        </is>
      </c>
      <c r="M215" s="13" t="inlineStr">
        <is>
          <t>marketplace</t>
        </is>
      </c>
      <c r="N215" s="13" t="inlineStr">
        <is>
          <t>LYD</t>
        </is>
      </c>
      <c r="O215" s="13" t="n">
        <v>0</v>
      </c>
      <c r="P215" s="13" t="inlineStr">
        <is>
          <t>SSR HTML</t>
        </is>
      </c>
      <c r="Q215" s="13" t="inlineStr">
        <is>
          <t>curl -&gt; 200, 371KB, LYD prices confirmed present. CSV pass-3 reclassification confirmed by browsing: catalogue is cosmetics/clothing/accessories, zero food/beverage SKUs.</t>
        </is>
      </c>
      <c r="R215" s="13" t="b">
        <v>1</v>
      </c>
      <c r="S215" s="13" t="inlineStr">
        <is>
          <t>Live and scrapeable but out of scope for F&amp;B (COICOP 03/12.1 non-food only). Not counted toward Libya's F&amp;B leaf coverage.</t>
        </is>
      </c>
      <c r="T215" s="13" t="inlineStr"/>
    </row>
    <row r="216">
      <c r="A216" s="13" t="inlineStr">
        <is>
          <t>menaap</t>
        </is>
      </c>
      <c r="B216" s="13" t="inlineStr">
        <is>
          <t>libya</t>
        </is>
      </c>
      <c r="C216" s="13" t="inlineStr">
        <is>
          <t>Matjar Libya</t>
        </is>
      </c>
      <c r="D216" s="13" t="inlineStr">
        <is>
          <t>https://www.matjar-libya.com/</t>
        </is>
      </c>
      <c r="E216" s="13" t="inlineStr">
        <is>
          <t>TIER_1A</t>
        </is>
      </c>
      <c r="F216" s="13" t="inlineStr">
        <is>
          <t>low</t>
        </is>
      </c>
      <c r="G216" s="13" t="inlineStr">
        <is>
          <t>Wave 3</t>
        </is>
      </c>
      <c r="H216" s="13" t="inlineStr">
        <is>
          <t>spider</t>
        </is>
      </c>
      <c r="I216" s="13" t="inlineStr">
        <is>
          <t>One bespoke spider or fetcher per source</t>
        </is>
      </c>
      <c r="J216" s="13" t="inlineStr">
        <is>
          <t>Z_bespoke</t>
        </is>
      </c>
      <c r="K216" s="13" t="inlineStr">
        <is>
          <t>Custom</t>
        </is>
      </c>
      <c r="L216" s="13" t="inlineStr">
        <is>
          <t>retailer_sku</t>
        </is>
      </c>
      <c r="M216" s="13" t="inlineStr">
        <is>
          <t>marketplace</t>
        </is>
      </c>
      <c r="N216" s="13" t="inlineStr">
        <is>
          <t>LYD</t>
        </is>
      </c>
      <c r="O216" s="13" t="n">
        <v>0</v>
      </c>
      <c r="P216" s="13" t="inlineStr">
        <is>
          <t>SSR HTML, /products</t>
        </is>
      </c>
      <c r="Q216" s="13" t="inlineStr">
        <is>
          <t>curl -&gt; 200, 169KB. Real LYD prices ('179,00 د.ل', '531,00 د.ل'). Product URL slugs confirm catalogue: acm-depiwhite-advanced-creme-anti-taches (cream), aspirateur-pro-maison (vacuum cleaner), detecteur-cameras-cachees (hidden camera detector), extracteur-points-noirs (blackhead extractor) - anti-theft/cosmetics/gadget dropship, zero food SKUs.</t>
        </is>
      </c>
      <c r="R216" s="13" t="b">
        <v>1</v>
      </c>
      <c r="S216" s="13" t="inlineStr">
        <is>
          <t>Confirms CSV pass-3 reclassification to non-food. Not counted toward F&amp;B coverage.</t>
        </is>
      </c>
      <c r="T216" s="13" t="inlineStr"/>
    </row>
    <row r="217">
      <c r="A217" s="13" t="inlineStr">
        <is>
          <t>eca</t>
        </is>
      </c>
      <c r="B217" s="13" t="inlineStr">
        <is>
          <t>tajikistan</t>
        </is>
      </c>
      <c r="C217" s="13" t="inlineStr">
        <is>
          <t>Dado.tj</t>
        </is>
      </c>
      <c r="D217" s="13" t="inlineStr">
        <is>
          <t>https://dado.tj/</t>
        </is>
      </c>
      <c r="E217" s="13" t="inlineStr">
        <is>
          <t>TIER_1B</t>
        </is>
      </c>
      <c r="F217" s="13" t="inlineStr">
        <is>
          <t>medium</t>
        </is>
      </c>
      <c r="G217" s="13" t="inlineStr">
        <is>
          <t>Wave 4</t>
        </is>
      </c>
      <c r="H217" s="13" t="inlineStr">
        <is>
          <t>spider</t>
        </is>
      </c>
      <c r="I217" s="13" t="inlineStr">
        <is>
          <t>Bespoke spider/fetcher - endpoint already known; extra work is pagination, auth or parsing</t>
        </is>
      </c>
      <c r="J217" s="13" t="inlineStr">
        <is>
          <t>D_woocommerce</t>
        </is>
      </c>
      <c r="K217" s="13" t="inlineStr">
        <is>
          <t>WooCommerce</t>
        </is>
      </c>
      <c r="L217" s="13" t="inlineStr">
        <is>
          <t>retailer_sku</t>
        </is>
      </c>
      <c r="M217" s="13" t="inlineStr">
        <is>
          <t>supermarket</t>
        </is>
      </c>
      <c r="N217" s="13" t="inlineStr">
        <is>
          <t>TJS</t>
        </is>
      </c>
      <c r="O217" s="13" t="n">
        <v>90</v>
      </c>
      <c r="P217" s="13" t="inlineStr">
        <is>
          <t>/wp-json/wc/store/v1/products (price field currently unreliable)</t>
        </is>
      </c>
      <c r="Q217" s="13" t="inlineStr">
        <is>
          <t>WordPress+WooCommerce confirmed. GET /wp-json/wc/store/v1/products?per_page=20 -&gt; HTTP 200, structured JSON, TJS currency, but price=0 for every one of 25 sampled products across 2 pages. Frontend PDP for a different product (h1 'Yabloko Sultanat' -- apple) shows a real non-zero price '4.89c.' rendered in the page. Product-category nav includes fresh produce (arbuz/watermelon, chesnok/garlic) alongside household chemicals.</t>
        </is>
      </c>
      <c r="R217" s="13" t="b">
        <v>1</v>
      </c>
      <c r="S217" s="13" t="inlineStr">
        <is>
          <t>DATA QUALITY CAVEAT: the Store API endpoint works structurally but returns price=0 site-wide while the HTML frontend shows real prices -- looks like a price-sync bug on the store's own catalogue, not a scraping problem. Would need to scrape rendered PDP HTML instead of trusting the API price field until this is resolved.</t>
        </is>
      </c>
      <c r="T217" s="13" t="inlineStr"/>
    </row>
    <row r="218">
      <c r="A218" s="13" t="inlineStr">
        <is>
          <t>eca</t>
        </is>
      </c>
      <c r="B218" s="13" t="inlineStr">
        <is>
          <t>germany</t>
        </is>
      </c>
      <c r="C218" s="13" t="inlineStr">
        <is>
          <t>Liefershop.de</t>
        </is>
      </c>
      <c r="D218" s="13" t="inlineStr">
        <is>
          <t>https://www.liefershop.de/</t>
        </is>
      </c>
      <c r="E218" s="13" t="inlineStr">
        <is>
          <t>TIER_1B</t>
        </is>
      </c>
      <c r="F218" s="13" t="inlineStr">
        <is>
          <t>medium</t>
        </is>
      </c>
      <c r="G218" s="13" t="inlineStr">
        <is>
          <t>Wave 4</t>
        </is>
      </c>
      <c r="H218" s="13" t="inlineStr">
        <is>
          <t>spider</t>
        </is>
      </c>
      <c r="I218" s="13" t="inlineStr">
        <is>
          <t>Bespoke spider/fetcher - endpoint already known; extra work is pagination, auth or parsing</t>
        </is>
      </c>
      <c r="J218" s="13" t="inlineStr">
        <is>
          <t>D_woocommerce</t>
        </is>
      </c>
      <c r="K218" s="13" t="inlineStr">
        <is>
          <t>WooCommerce</t>
        </is>
      </c>
      <c r="L218" s="13" t="inlineStr">
        <is>
          <t>retailer_sku</t>
        </is>
      </c>
      <c r="M218" s="13" t="inlineStr">
        <is>
          <t>supermarket</t>
        </is>
      </c>
      <c r="N218" s="13" t="inlineStr">
        <is>
          <t>EUR</t>
        </is>
      </c>
      <c r="O218" s="13" t="n">
        <v>60</v>
      </c>
      <c r="P218" s="13" t="inlineStr">
        <is>
          <t>/wp-json/wc/store/v1/products?per_page=N&amp;page=N</t>
        </is>
      </c>
      <c r="Q218" s="13" t="inlineStr">
        <is>
          <t>WooCommerce Store API /wp-json/wc/store/v1/products confirmed working (HTTP 200). Page 1 returned mostly Juice Plus+ MLM products, but page 5 (offset) returned genuine F&amp;B SKUs: 'Lamotte &amp; Cie Champagne Brut', 'Tavernello Vino Rosato d'Italia', 'Kosakenkaffee', 'Carpe Diem Kombucha Classic', 'Saupiquet Thunfisch-Salat Mexicana', 'Küstengold Spargelabschnitte', 'Cinema Popcorn süss', 'Heisse Tasse Tomaten-Creme-Suppe', 'Nestlé Cerealien Mini Packs', 'Corny Müsli-Riegel'</t>
        </is>
      </c>
      <c r="R218" s="13" t="b">
        <v>1</v>
      </c>
      <c r="S218" s="13" t="inlineStr">
        <is>
          <t>CSV gotcha confirmed and worse than described: catalog is heavily contaminated with Juice Plus+ MLM shake/supplement products interleaved with real wine/beverage/pantry SKUs - needs an MLM-brand filter before use.</t>
        </is>
      </c>
      <c r="T218" s="13" t="inlineStr"/>
    </row>
    <row r="219">
      <c r="A219" s="13" t="inlineStr">
        <is>
          <t>lac</t>
        </is>
      </c>
      <c r="B219" s="13" t="inlineStr">
        <is>
          <t>chile</t>
        </is>
      </c>
      <c r="C219" s="13" t="inlineStr">
        <is>
          <t>Jumbo Chile</t>
        </is>
      </c>
      <c r="D219" s="13" t="inlineStr">
        <is>
          <t>https://www.jumbo.cl/</t>
        </is>
      </c>
      <c r="E219" s="13" t="inlineStr">
        <is>
          <t>TIER_1B</t>
        </is>
      </c>
      <c r="F219" s="13" t="inlineStr">
        <is>
          <t>medium</t>
        </is>
      </c>
      <c r="G219" s="13" t="inlineStr">
        <is>
          <t>Wave 4</t>
        </is>
      </c>
      <c r="H219" s="13" t="inlineStr">
        <is>
          <t>spider</t>
        </is>
      </c>
      <c r="I219" s="13" t="inlineStr">
        <is>
          <t>Bespoke spider/fetcher - endpoint already known; extra work is pagination, auth or parsing</t>
        </is>
      </c>
      <c r="J219" s="13" t="inlineStr">
        <is>
          <t>E_vtex</t>
        </is>
      </c>
      <c r="K219" s="13" t="inlineStr">
        <is>
          <t>VTEX</t>
        </is>
      </c>
      <c r="L219" s="13" t="inlineStr">
        <is>
          <t>retailer_sku</t>
        </is>
      </c>
      <c r="M219" s="13" t="inlineStr">
        <is>
          <t>supermarket</t>
        </is>
      </c>
      <c r="N219" s="13" t="inlineStr">
        <is>
          <t>CLP</t>
        </is>
      </c>
      <c r="O219" s="13" t="n">
        <v>155</v>
      </c>
      <c r="P219" s="13" t="inlineStr">
        <is>
          <t>/api/catalog_system/pub/products/search (via jumbocl.myvtex.com origin, not the WAF'd custom domain)</t>
        </is>
      </c>
      <c r="Q219" s="13" t="inlineStr">
        <is>
          <t>Custom domain jumbo.cl/api/... 404s (Next.js frontend not proxying legacy API). VTEX origin GET https://jumbocl.myvtex.com/api/catalog_system/pub/products/search?_from=0&amp;_to=5 -&gt; HTTP 206, 110476 bytes. Sample: 'Platano Extra Granel (1 a 2 un. Aprox)' CLP 1590.0, link resolves to jumbocl.myvtex.com/platano-granel/p</t>
        </is>
      </c>
      <c r="R219" s="13" t="b">
        <v>0</v>
      </c>
      <c r="S219" s="13" t="inlineStr">
        <is>
          <t>Cencosud CL flagship hypermarket. Spider must target the myvtex.com origin, not jumbo.cl, mirroring the Shopify *.myshopify.com origin trick in platform_fingerprints.md.</t>
        </is>
      </c>
      <c r="T219" s="13" t="inlineStr"/>
    </row>
    <row r="220">
      <c r="A220" s="13" t="inlineStr">
        <is>
          <t>lac</t>
        </is>
      </c>
      <c r="B220" s="13" t="inlineStr">
        <is>
          <t>paraguay</t>
        </is>
      </c>
      <c r="C220" s="13" t="inlineStr">
        <is>
          <t>Arete Supermercados</t>
        </is>
      </c>
      <c r="D220" s="13" t="inlineStr">
        <is>
          <t>https://arete.com.py/</t>
        </is>
      </c>
      <c r="E220" s="13" t="inlineStr">
        <is>
          <t>TIER_1A</t>
        </is>
      </c>
      <c r="F220" s="13" t="inlineStr">
        <is>
          <t>medium</t>
        </is>
      </c>
      <c r="G220" s="13" t="inlineStr">
        <is>
          <t>Wave 4</t>
        </is>
      </c>
      <c r="H220" s="13" t="inlineStr">
        <is>
          <t>spider</t>
        </is>
      </c>
      <c r="I220" s="13" t="inlineStr">
        <is>
          <t>Bespoke spider/fetcher - endpoint already known; extra work is pagination, auth or parsing</t>
        </is>
      </c>
      <c r="J220" s="13" t="inlineStr">
        <is>
          <t>E_vtex</t>
        </is>
      </c>
      <c r="K220" s="13" t="inlineStr">
        <is>
          <t>Custom (same URL shape/vendor as Casa Rica; a 'GET /api/catalog_system/...' probe on this domain returned the platform's own JSON error 'La funcion solicitada no existe', confirming it is NOT VTEX)</t>
        </is>
      </c>
      <c r="L220" s="13" t="inlineStr">
        <is>
          <t>retailer_sku</t>
        </is>
      </c>
      <c r="M220" s="13" t="inlineStr">
        <is>
          <t>supermarket</t>
        </is>
      </c>
      <c r="N220" s="13" t="inlineStr">
        <is>
          <t>PYG</t>
        </is>
      </c>
      <c r="O220" s="13" t="n">
        <v>150</v>
      </c>
      <c r="P220" s="13" t="inlineStr">
        <is>
          <t>/catalogo/&lt;category-slug&gt;-c&lt;id&gt;</t>
        </is>
      </c>
      <c r="Q220" s="13" t="inlineStr">
        <is>
          <t>GET https://arete.com.py/catalogo/arroz-c347 -&gt; HTTP 200, 200343 bytes SSR HTML. Sample: 'ARROZ ENOC INTEGRAL 1 KG' Gs. 14.000 (other rows on same page: Gs. 2.850 / 5.500 / 5.200 / 9.950). Homepage has 162 distinct /catalogo/*-c&lt;id&gt; categories incl. aceites, arroz, frutas, frutas-y-verduras, leche-condensada.</t>
        </is>
      </c>
      <c r="R220" s="13" t="b">
        <v>0</v>
      </c>
      <c r="S220" s="13" t="inlineStr">
        <is>
          <t>Second full-line PY chain on the same platform family as Casa Rica -- high category overlap expected.</t>
        </is>
      </c>
      <c r="T220" s="13" t="inlineStr"/>
    </row>
    <row r="221">
      <c r="A221" s="13" t="inlineStr">
        <is>
          <t>lac</t>
        </is>
      </c>
      <c r="B221" s="13" t="inlineStr">
        <is>
          <t>chile</t>
        </is>
      </c>
      <c r="C221" s="13" t="inlineStr">
        <is>
          <t>Santa Isabel</t>
        </is>
      </c>
      <c r="D221" s="13" t="inlineStr">
        <is>
          <t>https://www.santaisabel.cl/</t>
        </is>
      </c>
      <c r="E221" s="13" t="inlineStr">
        <is>
          <t>TIER_1B</t>
        </is>
      </c>
      <c r="F221" s="13" t="inlineStr">
        <is>
          <t>medium</t>
        </is>
      </c>
      <c r="G221" s="13" t="inlineStr">
        <is>
          <t>Wave 4</t>
        </is>
      </c>
      <c r="H221" s="13" t="inlineStr">
        <is>
          <t>spider</t>
        </is>
      </c>
      <c r="I221" s="13" t="inlineStr">
        <is>
          <t>Bespoke spider/fetcher - endpoint already known; extra work is pagination, auth or parsing</t>
        </is>
      </c>
      <c r="J221" s="13" t="inlineStr">
        <is>
          <t>E_vtex</t>
        </is>
      </c>
      <c r="K221" s="13" t="inlineStr">
        <is>
          <t>VTEX</t>
        </is>
      </c>
      <c r="L221" s="13" t="inlineStr">
        <is>
          <t>retailer_sku</t>
        </is>
      </c>
      <c r="M221" s="13" t="inlineStr">
        <is>
          <t>supermarket</t>
        </is>
      </c>
      <c r="N221" s="13" t="inlineStr">
        <is>
          <t>CLP</t>
        </is>
      </c>
      <c r="O221" s="13" t="n">
        <v>140</v>
      </c>
      <c r="P221" s="13" t="inlineStr">
        <is>
          <t>/api/catalog_system/pub/products/search (via santaisabel.myvtex.com origin)</t>
        </is>
      </c>
      <c r="Q221" s="13" t="inlineStr">
        <is>
          <t>Custom domain santaisabel.cl/api/... 404s. VTEX origin GET https://santaisabel.myvtex.com/api/catalog_system/pub/products/search?_from=0&amp;_to=5 -&gt; HTTP 206, 97397 bytes. Sample: 'Trutro Entero de Pollo kg' CLP 3990.0</t>
        </is>
      </c>
      <c r="R221" s="13" t="b">
        <v>0</v>
      </c>
      <c r="S221" s="13" t="inlineStr">
        <is>
          <t>Cencosud CL supermarket banner, fresh meat confirmed. Same myvtex-origin caveat as Jumbo CL.</t>
        </is>
      </c>
      <c r="T221" s="13" t="inlineStr"/>
    </row>
    <row r="222">
      <c r="A222" s="13" t="inlineStr">
        <is>
          <t>lac</t>
        </is>
      </c>
      <c r="B222" s="13" t="inlineStr">
        <is>
          <t>ecuador</t>
        </is>
      </c>
      <c r="C222" s="13" t="inlineStr">
        <is>
          <t>Tia</t>
        </is>
      </c>
      <c r="D222" s="13" t="inlineStr">
        <is>
          <t>https://www.tia.com.ec/supermercado</t>
        </is>
      </c>
      <c r="E222" s="13" t="inlineStr">
        <is>
          <t>TIER_1A</t>
        </is>
      </c>
      <c r="F222" s="13" t="inlineStr">
        <is>
          <t>medium</t>
        </is>
      </c>
      <c r="G222" s="13" t="inlineStr">
        <is>
          <t>Wave 4</t>
        </is>
      </c>
      <c r="H222" s="13" t="inlineStr">
        <is>
          <t>spider</t>
        </is>
      </c>
      <c r="I222" s="13" t="inlineStr">
        <is>
          <t>Bespoke spider/fetcher - endpoint already known; extra work is pagination, auth or parsing</t>
        </is>
      </c>
      <c r="J222" s="13" t="inlineStr">
        <is>
          <t>H_magento</t>
        </is>
      </c>
      <c r="K222" s="13" t="inlineStr">
        <is>
          <t>Magento 2 (SSR HTML)</t>
        </is>
      </c>
      <c r="L222" s="13" t="inlineStr">
        <is>
          <t>retailer_sku</t>
        </is>
      </c>
      <c r="M222" s="13" t="inlineStr">
        <is>
          <t>supermarket</t>
        </is>
      </c>
      <c r="N222" s="13" t="inlineStr">
        <is>
          <t>USD</t>
        </is>
      </c>
      <c r="O222" s="13" t="n">
        <v>165</v>
      </c>
      <c r="P222" s="13" t="inlineStr">
        <is>
          <t>/supermercado/&lt;category&gt;/&lt;subcategory&gt; (Magento 2 SSR category pages; /catalogsearch/result redirect confirms Magento)</t>
        </is>
      </c>
      <c r="Q222" s="13" t="inlineStr">
        <is>
          <t>GET https://www.tia.com.ec/supermercado/frutas-y-verduras/frutas -&gt; HTTP 200, 319188 bytes SSR HTML. Product name + price directly in listing markup: 'ARANDANO BANDEJA 125 G' USD 1.59 (class=product-item-name / product-item-link). Full /supermercado nav tree includes aguas-y-bebidas, comestibles/{aceites-y-vinagres, arroz-y-fideos, cafe-y-chocolate-en-polvo, cereales-y-granolas, dulces-postres-y-untables, enlatados-y-conservas, granos-y-semillas, harinas-y-avenas, te-y-aromaticas}, desechables, frutas-y-verduras, lacteos/{crema-de-leche, huevos, leche-en-polvo, leches-blancas, leches-saborizadas, leches-vegetales, quesos, yogurt}, pastas, snacks-y-golosinas/{cakes-y-bocaditos, chocolates, galletas, papas-fritas, snacks-de-maiz}.</t>
        </is>
      </c>
      <c r="R222" s="13" t="b">
        <v>0</v>
      </c>
      <c r="S222" s="13" t="inlineStr">
        <is>
          <t>Ecuador's largest variety/discount retailer, full grocery vertical confirmed via nav tree. Magento GraphQL (/graphql) 403s -- scrape via SSR category pagination instead.</t>
        </is>
      </c>
      <c r="T222" s="13" t="inlineStr"/>
    </row>
    <row r="223">
      <c r="A223" s="13" t="inlineStr">
        <is>
          <t>ssa</t>
        </is>
      </c>
      <c r="B223" s="13" t="inlineStr">
        <is>
          <t>senegal</t>
        </is>
      </c>
      <c r="C223" s="13" t="inlineStr">
        <is>
          <t>Kaynoo</t>
        </is>
      </c>
      <c r="D223" s="13" t="inlineStr">
        <is>
          <t>https://www.kaynoo.sn/epicerie.html</t>
        </is>
      </c>
      <c r="E223" s="13" t="inlineStr">
        <is>
          <t>TIER_1B</t>
        </is>
      </c>
      <c r="F223" s="13" t="inlineStr">
        <is>
          <t>medium</t>
        </is>
      </c>
      <c r="G223" s="13" t="inlineStr">
        <is>
          <t>Wave 4</t>
        </is>
      </c>
      <c r="H223" s="13" t="inlineStr">
        <is>
          <t>spider</t>
        </is>
      </c>
      <c r="I223" s="13" t="inlineStr">
        <is>
          <t>Bespoke spider/fetcher - endpoint already known; extra work is pagination, auth or parsing</t>
        </is>
      </c>
      <c r="J223" s="13" t="inlineStr">
        <is>
          <t>H_magento</t>
        </is>
      </c>
      <c r="K223" s="13" t="inlineStr">
        <is>
          <t>Magento</t>
        </is>
      </c>
      <c r="L223" s="13" t="inlineStr">
        <is>
          <t>retailer_sku</t>
        </is>
      </c>
      <c r="M223" s="13" t="inlineStr">
        <is>
          <t>supermarket</t>
        </is>
      </c>
      <c r="N223" s="13" t="inlineStr">
        <is>
          <t>XOF</t>
        </is>
      </c>
      <c r="O223" s="13" t="n">
        <v>45</v>
      </c>
      <c r="P223" s="13" t="inlineStr">
        <is>
          <t>Magento GraphQL or /rest/V1/products</t>
        </is>
      </c>
      <c r="Q223" s="13" t="inlineStr">
        <is>
          <t>GET /epicerie.html -&gt; 200, 361KB, Magento fingerprint confirmed (price-box price-final_price divs, data-price-amount='2500'/'4500'/'4000' on real product ids). Catalogue mixes food with cosmetics per prior research -- filter by category.</t>
        </is>
      </c>
      <c r="R223" s="13" t="b">
        <v>1</v>
      </c>
      <c r="S223" s="13" t="inlineStr">
        <is>
          <t>Strong on local items (cafe Touba in 3 pack sizes, moringa/nebeday, baobab-adjacent) but heavy overlap with Sakanal/Yombouna's epicerie coverage -- most of its value is depth on a handful of leaves, not breadth.</t>
        </is>
      </c>
      <c r="T223" s="13" t="inlineStr"/>
    </row>
    <row r="224">
      <c r="A224" s="13" t="inlineStr">
        <is>
          <t>eca</t>
        </is>
      </c>
      <c r="B224" s="13" t="inlineStr">
        <is>
          <t>croatia</t>
        </is>
      </c>
      <c r="C224" s="13" t="inlineStr">
        <is>
          <t>Konzum</t>
        </is>
      </c>
      <c r="D224" s="13" t="inlineStr">
        <is>
          <t>https://www.konzum.hr/kreni-u-kupnju</t>
        </is>
      </c>
      <c r="E224" s="13" t="inlineStr">
        <is>
          <t>TIER_1A</t>
        </is>
      </c>
      <c r="F224" s="13" t="inlineStr">
        <is>
          <t>medium</t>
        </is>
      </c>
      <c r="G224" s="13" t="inlineStr">
        <is>
          <t>Wave 4</t>
        </is>
      </c>
      <c r="H224" s="13" t="inlineStr">
        <is>
          <t>spider</t>
        </is>
      </c>
      <c r="I224" s="13" t="inlineStr">
        <is>
          <t>Bespoke spider/fetcher - endpoint already known; extra work is pagination, auth or parsing</t>
        </is>
      </c>
      <c r="J224" s="13" t="inlineStr">
        <is>
          <t>Z_bespoke</t>
        </is>
      </c>
      <c r="K224" s="13" t="inlineStr">
        <is>
          <t>Next.js</t>
        </is>
      </c>
      <c r="L224" s="13" t="inlineStr">
        <is>
          <t>retailer_sku</t>
        </is>
      </c>
      <c r="M224" s="13" t="inlineStr">
        <is>
          <t>supermarket</t>
        </is>
      </c>
      <c r="N224" s="13" t="inlineStr">
        <is>
          <t>EUR</t>
        </is>
      </c>
      <c r="O224" s="13" t="n">
        <v>170</v>
      </c>
      <c r="P224" s="13" t="inlineStr">
        <is>
          <t>SSR category HTML</t>
        </is>
      </c>
      <c r="Q224" s="13" t="inlineStr">
        <is>
          <t>GET -&gt; 200, 291KB SSR (Next.js). Direct prices in HTML: 1,49€ / 2,99€ / 3,99€ / 180,00€.</t>
        </is>
      </c>
      <c r="R224" s="13" t="b">
        <v>1</v>
      </c>
      <c r="S224" s="13" t="inlineStr">
        <is>
          <t>12,000+ products; per shard, 5 price fields per SKU (current/unit-per-kg/30-day-low/reference-date/promo-end) -- capture all 5, not just current.</t>
        </is>
      </c>
      <c r="T224" s="13" t="inlineStr"/>
    </row>
    <row r="225">
      <c r="A225" s="13" t="inlineStr">
        <is>
          <t>lac</t>
        </is>
      </c>
      <c r="B225" s="13" t="inlineStr">
        <is>
          <t>paraguay</t>
        </is>
      </c>
      <c r="C225" s="13" t="inlineStr">
        <is>
          <t>Casa Rica</t>
        </is>
      </c>
      <c r="D225" s="13" t="inlineStr">
        <is>
          <t>https://www.casarica.com.py/</t>
        </is>
      </c>
      <c r="E225" s="13" t="inlineStr">
        <is>
          <t>TIER_1A</t>
        </is>
      </c>
      <c r="F225" s="13" t="inlineStr">
        <is>
          <t>medium</t>
        </is>
      </c>
      <c r="G225" s="13" t="inlineStr">
        <is>
          <t>Wave 4</t>
        </is>
      </c>
      <c r="H225" s="13" t="inlineStr">
        <is>
          <t>spider</t>
        </is>
      </c>
      <c r="I225" s="13" t="inlineStr">
        <is>
          <t>Bespoke spider/fetcher - endpoint already known; extra work is pagination, auth or parsing</t>
        </is>
      </c>
      <c r="J225" s="13" t="inlineStr">
        <is>
          <t>Z_bespoke</t>
        </is>
      </c>
      <c r="K225" s="13" t="inlineStr">
        <is>
          <t>Custom (shared by several PY grocery sites, same '/catalogo/*-c&lt;id&gt;' URL shape and identical API error string)</t>
        </is>
      </c>
      <c r="L225" s="13" t="inlineStr">
        <is>
          <t>retailer_sku</t>
        </is>
      </c>
      <c r="M225" s="13" t="inlineStr">
        <is>
          <t>supermarket</t>
        </is>
      </c>
      <c r="N225" s="13" t="inlineStr">
        <is>
          <t>PYG</t>
        </is>
      </c>
      <c r="O225" s="13" t="n">
        <v>165</v>
      </c>
      <c r="P225" s="13" t="inlineStr">
        <is>
          <t>/catalogo/&lt;category-slug&gt;-c&lt;id&gt; (custom PY grocery-platform vendor, SSR HTML, paginated)</t>
        </is>
      </c>
      <c r="Q225" s="13" t="inlineStr">
        <is>
          <t>GET https://www.casarica.com.py/catalogo/aceite-de-girasol-c2 -&gt; HTTP 200, 286701 bytes SSR HTML. Products+prices directly in markup: 'ACEITE CANUELAS GIRASOL 1.5LT' Gs. 29.000, 'ACEITE COCINERO GIRASOL PET 900ML' Gs. 21.000. Homepage lists 261 distinct /catalogo/&lt;slug&gt;-c&lt;id&gt; category links spanning vacuno (beef), verduleria-fruteria, verduras, semiblandos/semiduros (cheese), yogurt-entero/dietetico, salames, rotiseria, sal, te, yerba, vinos by country, sidras.</t>
        </is>
      </c>
      <c r="R225" s="13" t="b">
        <v>0</v>
      </c>
      <c r="S225" s="13" t="inlineStr">
        <is>
          <t>Full-line Asuncion-area supermarket chain incl. fresh meat/produce/deli.</t>
        </is>
      </c>
      <c r="T225" s="13" t="inlineStr"/>
    </row>
    <row r="226">
      <c r="A226" s="13" t="inlineStr">
        <is>
          <t>eca</t>
        </is>
      </c>
      <c r="B226" s="13" t="inlineStr">
        <is>
          <t>netherlands</t>
        </is>
      </c>
      <c r="C226" s="13" t="inlineStr">
        <is>
          <t>Jumbo</t>
        </is>
      </c>
      <c r="D226" s="13" t="inlineStr">
        <is>
          <t>https://www.jumbo.com/</t>
        </is>
      </c>
      <c r="E226" s="13" t="inlineStr">
        <is>
          <t>TIER_1A</t>
        </is>
      </c>
      <c r="F226" s="13" t="inlineStr">
        <is>
          <t>medium</t>
        </is>
      </c>
      <c r="G226" s="13" t="inlineStr">
        <is>
          <t>Wave 4</t>
        </is>
      </c>
      <c r="H226" s="13" t="inlineStr">
        <is>
          <t>spider</t>
        </is>
      </c>
      <c r="I226" s="13" t="inlineStr">
        <is>
          <t>Bespoke spider/fetcher - endpoint already known; extra work is pagination, auth or parsing</t>
        </is>
      </c>
      <c r="J226" s="13" t="inlineStr">
        <is>
          <t>Z_bespoke</t>
        </is>
      </c>
      <c r="K226" s="13" t="inlineStr">
        <is>
          <t>Vue</t>
        </is>
      </c>
      <c r="L226" s="13" t="inlineStr">
        <is>
          <t>retailer_sku</t>
        </is>
      </c>
      <c r="M226" s="13" t="inlineStr">
        <is>
          <t>supermarket</t>
        </is>
      </c>
      <c r="N226" s="13" t="inlineStr">
        <is>
          <t>EUR</t>
        </is>
      </c>
      <c r="O226" s="13" t="n">
        <v>160</v>
      </c>
      <c r="P226" s="13" t="inlineStr">
        <is>
          <t>SSR category HTML (/producten/)</t>
        </is>
      </c>
      <c r="Q226" s="13" t="inlineStr">
        <is>
          <t>GET /producten/ -&gt; 200, 1.32MB SSR (Vue). Product cards found (data-testid='product-card-0', data-product-id='765935ZK') with 'Prijs: € 3,25' in the price DOM.</t>
        </is>
      </c>
      <c r="R226" s="13" t="b">
        <v>1</v>
      </c>
      <c r="S226" s="13" t="inlineStr">
        <is>
          <t>Overturns shard's D-tier 'SUSPECT' prediction -- category page renders server-side with real product cards, no WAF. ~20-22k articles per shard; runs a lowest-price-guarantee mechanically tied to competitors.</t>
        </is>
      </c>
      <c r="T226" s="13" t="inlineStr"/>
    </row>
    <row r="227">
      <c r="A227" s="13" t="inlineStr">
        <is>
          <t>eca</t>
        </is>
      </c>
      <c r="B227" s="13" t="inlineStr">
        <is>
          <t>spain</t>
        </is>
      </c>
      <c r="C227" s="13" t="inlineStr">
        <is>
          <t>Precios del Super</t>
        </is>
      </c>
      <c r="D227" s="13" t="inlineStr">
        <is>
          <t>https://preciosdelsuper.es/</t>
        </is>
      </c>
      <c r="E227" s="13" t="inlineStr">
        <is>
          <t>TIER_1A</t>
        </is>
      </c>
      <c r="F227" s="13" t="inlineStr">
        <is>
          <t>medium</t>
        </is>
      </c>
      <c r="G227" s="13" t="inlineStr">
        <is>
          <t>Wave 4</t>
        </is>
      </c>
      <c r="H227" s="13" t="inlineStr">
        <is>
          <t>spider</t>
        </is>
      </c>
      <c r="I227" s="13" t="inlineStr">
        <is>
          <t>Bespoke spider/fetcher - endpoint already known; extra work is pagination, auth or parsing</t>
        </is>
      </c>
      <c r="J227" s="13" t="inlineStr">
        <is>
          <t>Z_bespoke</t>
        </is>
      </c>
      <c r="K227" s="13" t="inlineStr">
        <is>
          <t>Custom</t>
        </is>
      </c>
      <c r="L227" s="13" t="inlineStr">
        <is>
          <t>retailer_sku</t>
        </is>
      </c>
      <c r="M227" s="13" t="inlineStr">
        <is>
          <t>aggregator</t>
        </is>
      </c>
      <c r="N227" s="13" t="inlineStr">
        <is>
          <t>EUR</t>
        </is>
      </c>
      <c r="O227" s="13" t="n">
        <v>160</v>
      </c>
      <c r="P227" s="13" t="inlineStr">
        <is>
          <t>SSR listing HTML</t>
        </is>
      </c>
      <c r="Q227" s="13" t="inlineStr">
        <is>
          <t>GET -&gt; 200, 124KB SSR. Direct prices '2,99€' / '16,95€' in HTML.</t>
        </is>
      </c>
      <c r="R227" s="13" t="b">
        <v>1</v>
      </c>
      <c r="S227" s="13" t="inlineStr">
        <is>
          <t>120,000+ products across 8 supermarkets per shard, with per-product price history and a daily changes feed.</t>
        </is>
      </c>
      <c r="T227" s="13" t="inlineStr"/>
    </row>
    <row r="228">
      <c r="A228" s="13" t="inlineStr">
        <is>
          <t>eca</t>
        </is>
      </c>
      <c r="B228" s="13" t="inlineStr">
        <is>
          <t>georgia</t>
        </is>
      </c>
      <c r="C228" s="13" t="inlineStr">
        <is>
          <t>Wolt Market Georgia</t>
        </is>
      </c>
      <c r="D228" s="13" t="inlineStr">
        <is>
          <t>https://wolt.com/en/geo/tbilisi/category/grocery</t>
        </is>
      </c>
      <c r="E228" s="13" t="inlineStr">
        <is>
          <t>TIER_1B</t>
        </is>
      </c>
      <c r="F228" s="13" t="inlineStr">
        <is>
          <t>medium</t>
        </is>
      </c>
      <c r="G228" s="13" t="inlineStr">
        <is>
          <t>Wave 4</t>
        </is>
      </c>
      <c r="H228" s="13" t="inlineStr">
        <is>
          <t>spider</t>
        </is>
      </c>
      <c r="I228" s="13" t="inlineStr">
        <is>
          <t>Bespoke spider/fetcher - endpoint already known; extra work is pagination, auth or parsing</t>
        </is>
      </c>
      <c r="J228" s="13" t="inlineStr">
        <is>
          <t>Z_bespoke</t>
        </is>
      </c>
      <c r="K228" s="13" t="inlineStr">
        <is>
          <t>Custom (Wolt public API)</t>
        </is>
      </c>
      <c r="L228" s="13" t="inlineStr">
        <is>
          <t>retailer_sku</t>
        </is>
      </c>
      <c r="M228" s="13" t="inlineStr">
        <is>
          <t>aggregator</t>
        </is>
      </c>
      <c r="N228" s="13" t="inlineStr">
        <is>
          <t>GEL</t>
        </is>
      </c>
      <c r="O228" s="13" t="n">
        <v>150</v>
      </c>
      <c r="P228" s="13" t="inlineStr">
        <is>
          <t>restaurant-api.wolt.com/v1/pages/restaurants</t>
        </is>
      </c>
      <c r="Q228" s="13" t="inlineStr">
        <is>
          <t>GET https://restaurant-api.wolt.com/v1/pages/restaurants?lat=41.7151&amp;lon=44.8271 -&gt; HTTP 200, 2.77MB JSON, 1315 venues in the 'restaurants-delivering-venues' section for Tbilisi (includes named grocery chains: SPAR, IOLI, Rkoni, Europroduct, Smart, etc. per CSV). Public API, no auth required.</t>
        </is>
      </c>
      <c r="R228" s="13" t="b">
        <v>1</v>
      </c>
      <c r="S228" s="13" t="inlineStr">
        <is>
          <t>Directory endpoint confirmed; per-venue menu endpoint (restaurant-api.wolt.com/v3/venues/slug/&lt;slug&gt;/menu/data) not individually tested this round but is a documented Wolt pattern. Aggregator margin caveat applies vs shelf price.</t>
        </is>
      </c>
      <c r="T228" s="13" t="inlineStr"/>
    </row>
    <row r="229">
      <c r="A229" s="13" t="inlineStr">
        <is>
          <t>eca</t>
        </is>
      </c>
      <c r="B229" s="13" t="inlineStr">
        <is>
          <t>bosnia_and_herzegovina</t>
        </is>
      </c>
      <c r="C229" s="13" t="inlineStr">
        <is>
          <t>Ananas.ba</t>
        </is>
      </c>
      <c r="D229" s="13" t="inlineStr">
        <is>
          <t>https://ananas.ba/kategorije/hrana-i-pice</t>
        </is>
      </c>
      <c r="E229" s="13" t="inlineStr">
        <is>
          <t>TIER_1B</t>
        </is>
      </c>
      <c r="F229" s="13" t="inlineStr">
        <is>
          <t>medium</t>
        </is>
      </c>
      <c r="G229" s="13" t="inlineStr">
        <is>
          <t>Wave 4</t>
        </is>
      </c>
      <c r="H229" s="13" t="inlineStr">
        <is>
          <t>spider</t>
        </is>
      </c>
      <c r="I229" s="13" t="inlineStr">
        <is>
          <t>Bespoke spider/fetcher - endpoint already known; extra work is pagination, auth or parsing</t>
        </is>
      </c>
      <c r="J229" s="13" t="inlineStr">
        <is>
          <t>Z_bespoke</t>
        </is>
      </c>
      <c r="K229" s="13" t="inlineStr">
        <is>
          <t>Next.js</t>
        </is>
      </c>
      <c r="L229" s="13" t="inlineStr">
        <is>
          <t>retailer_sku</t>
        </is>
      </c>
      <c r="M229" s="13" t="inlineStr">
        <is>
          <t>marketplace</t>
        </is>
      </c>
      <c r="N229" s="13" t="inlineStr">
        <is>
          <t>BAM</t>
        </is>
      </c>
      <c r="O229" s="13" t="n">
        <v>140</v>
      </c>
      <c r="P229" s="13" t="inlineStr">
        <is>
          <t>__NEXT_DATA__ hydration payload</t>
        </is>
      </c>
      <c r="Q229" s="13" t="inlineStr">
        <is>
          <t>GET -&gt; 200, 555KB. __NEXT_DATA__ payload present (104KB). Product links e.g. /proizvod/mingos-coffee-robusta-strong-espresso-1-kg/4862220.</t>
        </is>
      </c>
      <c r="R229" s="13" t="b">
        <v>1</v>
      </c>
      <c r="S229" s="13" t="inlineStr">
        <is>
          <t>National marketplace w/ dedicated Hrana i pice + Supermarket category, multiple named sellers.</t>
        </is>
      </c>
      <c r="T229" s="13" t="inlineStr"/>
    </row>
    <row r="230">
      <c r="A230" s="13" t="inlineStr">
        <is>
          <t>sar</t>
        </is>
      </c>
      <c r="B230" s="13" t="inlineStr">
        <is>
          <t>bangladesh</t>
        </is>
      </c>
      <c r="C230" s="13" t="inlineStr">
        <is>
          <t>Shwapno (ACI)</t>
        </is>
      </c>
      <c r="D230" s="13" t="inlineStr">
        <is>
          <t>https://www.shwapno.com/</t>
        </is>
      </c>
      <c r="E230" s="13" t="inlineStr">
        <is>
          <t>TIER_1A</t>
        </is>
      </c>
      <c r="F230" s="13" t="inlineStr">
        <is>
          <t>medium</t>
        </is>
      </c>
      <c r="G230" s="13" t="inlineStr">
        <is>
          <t>Wave 4</t>
        </is>
      </c>
      <c r="H230" s="13" t="inlineStr">
        <is>
          <t>spider</t>
        </is>
      </c>
      <c r="I230" s="13" t="inlineStr">
        <is>
          <t>Bespoke spider/fetcher - endpoint already known; extra work is pagination, auth or parsing</t>
        </is>
      </c>
      <c r="J230" s="13" t="inlineStr">
        <is>
          <t>Z_bespoke</t>
        </is>
      </c>
      <c r="K230" s="13" t="inlineStr">
        <is>
          <t>Custom (React SSR PDP)</t>
        </is>
      </c>
      <c r="L230" s="13" t="inlineStr">
        <is>
          <t>retailer_sku</t>
        </is>
      </c>
      <c r="M230" s="13" t="inlineStr">
        <is>
          <t>supermarket</t>
        </is>
      </c>
      <c r="N230" s="13" t="inlineStr">
        <is>
          <t>BDT</t>
        </is>
      </c>
      <c r="O230" s="13" t="n">
        <v>140</v>
      </c>
      <c r="P230" s="13" t="inlineStr">
        <is>
          <t>/sitemap-products-{1..22}.xml -&gt; per-product PDP</t>
        </is>
      </c>
      <c r="Q230" s="13" t="inlineStr">
        <is>
          <t>PDP SSR confirmed: GET /7up-pet-bottle-2-25ltr- -&gt; HTTP 200, h1 '7Up 1.75Ltr. (Pet Bottle)', price BDT 140 visible in raw HTML. Category listing pages do NOT server-render product cards (client-fetched), but /sitemap.xml -&gt; sitemap-products.xml -&gt; 22 numbered sub-sitemaps (sitemap-products-1.xml through -22.xml), each with ~1,000+ root-slug product URLs (verified sitemap-products-1.xml: 84KB, includes 'emami-7-oils-in-one-pumpkin-plus-hair-oil-200ml', 'pantene-long-black-shampoo-340ml', etc). Full-catalog walk = sitemap crawl + per-URL PDP fetch.</t>
        </is>
      </c>
      <c r="R230" s="13" t="b">
        <v>0</v>
      </c>
      <c r="S230" s="13" t="inlineStr">
        <is>
          <t>Bangladesh's largest supermarket chain (ACI-owned). Confirmed grocery categories in the nav: Canned Fish/Fruits/Meat/Vegetables, Cheese, Coffee, multiple Milk grades, Tea, Frozen, Noodles, Biscuits. Effort is medium not low because it needs a sitemap-walk spider (22 sub-sitemaps x ~1,000 PDPs) rather than a single paginated API -- but no auth, no WAF, plain HTTP throughout. This is the best new Bangladesh source found.</t>
        </is>
      </c>
      <c r="T230" s="13" t="inlineStr"/>
    </row>
    <row r="231">
      <c r="A231" s="13" t="inlineStr">
        <is>
          <t>lac</t>
        </is>
      </c>
      <c r="B231" s="13" t="inlineStr">
        <is>
          <t>guyana</t>
        </is>
      </c>
      <c r="C231" s="13" t="inlineStr">
        <is>
          <t>Guystar</t>
        </is>
      </c>
      <c r="D231" s="13" t="inlineStr">
        <is>
          <t>https://guystar.gy/</t>
        </is>
      </c>
      <c r="E231" s="13" t="inlineStr">
        <is>
          <t>TIER_1A</t>
        </is>
      </c>
      <c r="F231" s="13" t="inlineStr">
        <is>
          <t>medium</t>
        </is>
      </c>
      <c r="G231" s="13" t="inlineStr">
        <is>
          <t>Wave 4</t>
        </is>
      </c>
      <c r="H231" s="13" t="inlineStr">
        <is>
          <t>spider</t>
        </is>
      </c>
      <c r="I231" s="13" t="inlineStr">
        <is>
          <t>Bespoke spider/fetcher - endpoint already known; extra work is pagination, auth or parsing</t>
        </is>
      </c>
      <c r="J231" s="13" t="inlineStr">
        <is>
          <t>Z_bespoke</t>
        </is>
      </c>
      <c r="K231" s="13" t="inlineStr">
        <is>
          <t>Zen Cart</t>
        </is>
      </c>
      <c r="L231" s="13" t="inlineStr">
        <is>
          <t>retailer_sku</t>
        </is>
      </c>
      <c r="M231" s="13" t="inlineStr">
        <is>
          <t>supermarket</t>
        </is>
      </c>
      <c r="N231" s="13" t="inlineStr">
        <is>
          <t>GYD</t>
        </is>
      </c>
      <c r="O231" s="13" t="n">
        <v>140</v>
      </c>
      <c r="P231" s="13" t="inlineStr">
        <is>
          <t>index.php?main_page=product_info&amp;products_id=N (Zen Cart cPath category walk)</t>
        </is>
      </c>
      <c r="Q231" s="13" t="inlineStr">
        <is>
          <t>curl through 3 levels of Zen Cart category tree (cPath=12 -&gt; 12_261 -&gt; 12_261_262) to reach product ids, then GET index.php?main_page=product_info&amp;products_id=6563 -&gt; 200, SSR price block: 'Cellophane Bean Thread Noodles Roland 250g' GY$995 (GY$9.95). Meta keywords confirm deep meat coverage (beef, prime, steaks, pork, ham, chicken, seafood, lamb, turkey, sausage).</t>
        </is>
      </c>
      <c r="R231" s="13" t="b">
        <v>1</v>
      </c>
      <c r="S231" s="13" t="inlineStr">
        <is>
          <t>Product listing needs a category-tree walk (cPath is 3 levels deep); no single flat listing endpoint. GY$ prices confirmed via schema-labelled productBasePrice block.</t>
        </is>
      </c>
      <c r="T231" s="13" t="inlineStr"/>
    </row>
    <row r="232">
      <c r="A232" s="13" t="inlineStr">
        <is>
          <t>ssa</t>
        </is>
      </c>
      <c r="B232" s="13" t="inlineStr">
        <is>
          <t>mozambique</t>
        </is>
      </c>
      <c r="C232" s="13" t="inlineStr">
        <is>
          <t>RECHEIO Cash &amp; Carry</t>
        </is>
      </c>
      <c r="D232" s="13" t="inlineStr">
        <is>
          <t>https://recheio.co.mz/</t>
        </is>
      </c>
      <c r="E232" s="13" t="inlineStr">
        <is>
          <t>TIER_1A</t>
        </is>
      </c>
      <c r="F232" s="13" t="inlineStr">
        <is>
          <t>medium</t>
        </is>
      </c>
      <c r="G232" s="13" t="inlineStr">
        <is>
          <t>Wave 4</t>
        </is>
      </c>
      <c r="H232" s="13" t="inlineStr">
        <is>
          <t>spider</t>
        </is>
      </c>
      <c r="I232" s="13" t="inlineStr">
        <is>
          <t>Bespoke spider/fetcher - endpoint already known; extra work is pagination, auth or parsing</t>
        </is>
      </c>
      <c r="J232" s="13" t="inlineStr">
        <is>
          <t>Z_bespoke</t>
        </is>
      </c>
      <c r="K232" s="13" t="inlineStr">
        <is>
          <t>Custom (ASP.NET-style)</t>
        </is>
      </c>
      <c r="L232" s="13" t="inlineStr">
        <is>
          <t>retailer_sku</t>
        </is>
      </c>
      <c r="M232" s="13" t="inlineStr">
        <is>
          <t>supermarket</t>
        </is>
      </c>
      <c r="N232" s="13" t="inlineStr">
        <is>
          <t>MZN</t>
        </is>
      </c>
      <c r="O232" s="13" t="n">
        <v>120</v>
      </c>
      <c r="P232" s="13" t="inlineStr">
        <is>
          <t>unresolved exact product endpoint -- category page confirmed live</t>
        </is>
      </c>
      <c r="Q232" s="13" t="inlineStr">
        <is>
          <t>GET / -&gt; 200, 141KB. Attempted category page GET /loja/mercearia -&gt; 200, 40KB, real title 'Mercearia ao Melhor Preco em Mocambique' confirming the category exists live, but no price-class markup surfaced in that page's raw HTML this pass (likely paginated/AJAX-loaded product grid).</t>
        </is>
      </c>
      <c r="R232" s="13" t="b">
        <v>1</v>
      </c>
      <c r="S232" s="13" t="inlineStr">
        <is>
          <t>1,456 products in mercearia alone + full aisle taxonomy (lacticinios, carne e peixe, bebidas, vegetais, loja asiatica) per prior research -- best Mozambique source, but I could not independently pull a live price this pass so the estimate is held below the presumed max.</t>
        </is>
      </c>
      <c r="T232" s="13" t="inlineStr"/>
    </row>
    <row r="233">
      <c r="A233" s="13" t="inlineStr">
        <is>
          <t>eap</t>
        </is>
      </c>
      <c r="B233" s="13" t="inlineStr">
        <is>
          <t>japan</t>
        </is>
      </c>
      <c r="C233" s="13" t="inlineStr">
        <is>
          <t>opengov.jp Retail Price Survey (re-publication of MIC Statistics Bureau retail price survey)</t>
        </is>
      </c>
      <c r="D233" s="13" t="inlineStr">
        <is>
          <t>https://opengov.jp/en/prices/retail-prices/</t>
        </is>
      </c>
      <c r="E233" s="13" t="inlineStr">
        <is>
          <t>TIER_1A</t>
        </is>
      </c>
      <c r="F233" s="13" t="inlineStr">
        <is>
          <t>medium</t>
        </is>
      </c>
      <c r="G233" s="13" t="inlineStr">
        <is>
          <t>Wave 4</t>
        </is>
      </c>
      <c r="H233" s="13" t="inlineStr">
        <is>
          <t>fetcher</t>
        </is>
      </c>
      <c r="I233" s="13" t="inlineStr">
        <is>
          <t>Bespoke spider/fetcher - endpoint already known; extra work is pagination, auth or parsing</t>
        </is>
      </c>
      <c r="J233" s="13" t="inlineStr">
        <is>
          <t>Z_bespoke</t>
        </is>
      </c>
      <c r="K233" s="13" t="inlineStr">
        <is>
          <t>Custom</t>
        </is>
      </c>
      <c r="L233" s="13" t="inlineStr">
        <is>
          <t>official_avg</t>
        </is>
      </c>
      <c r="M233" s="13" t="inlineStr"/>
      <c r="N233" s="13" t="inlineStr">
        <is>
          <t>JPY</t>
        </is>
      </c>
      <c r="O233" s="13" t="n">
        <v>115</v>
      </c>
      <c r="P233" s="13" t="inlineStr">
        <is>
          <t>/en/prices/retail-prices/&lt;code&gt;/  (per-item static HTML page; codes prefixed 01xx = food, 02xx = alcohol)</t>
        </is>
      </c>
      <c r="Q233" s="13" t="inlineStr">
        <is>
          <t>GET /en/prices/retail-prices/ -&gt; 200, 366KB HTML, 541 item-code links with English names, e.g. '01001 | Rice A', '01101 | Tuna', '01414 | Daikon radish', '01131 | Short-neck clam'. GET /en/prices/retail-prices/01001/ -&gt; 200, title 'Rice A Retail Prices', year table: 2026 Jan national-average price JPY 5,317 (+27.0% YoY). Plain curl with a browser UA, no JS, no auth.</t>
        </is>
      </c>
      <c r="R233" s="13" t="b">
        <v>0</v>
      </c>
      <c r="S233" s="13" t="inlineStr">
        <is>
          <t>541 total item codes span the whole CPI basket by prefix: 01=207 items (food), 02=32 (alcohol), 03-09=302 (rent/clothing/health/education/personal care, out of scope). The 01+02 subset reaches deep, specific division-01 leaves current Japan sources miss entirely -- named fish species (tuna, horse mackerel, sardine, salmon, mackerel, sea bream, yellowtail, squid, octopus, shrimp, clam, oyster, scallop -&gt; COICOP 01.1.3.x), named vegetables (cabbage, lettuce, daikon, broccoli, spinach, onion, ginger -&gt; 01.1.7.x), noodles/rice/bread/flour, dairy, and Sake/Shochu/Chuhai for div-02. Japan's existing onboarded set (rakuten, yahoo_shopping, docomo, athome_jp, homes_jp, hotpepper_jp) is mostly non-grocery (real estate, mobile plans, restaurant bookings) -- this is likely Japan's primary deep-F&amp;B channel, not a supplement. CAVEAT not fully resolved this session: the item page shown is a Year+Jan-value summary table; unclear whether opengov.jp exposes the full monthly series the underlying survey actually produces, or only this annual snapshot -- verify cadence before onboarding. 541 pages to walk (one HTTP call per item) makes this medium, not low, effort.</t>
        </is>
      </c>
      <c r="T233" s="13" t="inlineStr"/>
    </row>
    <row r="234">
      <c r="A234" s="13" t="inlineStr">
        <is>
          <t>eca</t>
        </is>
      </c>
      <c r="B234" s="13" t="inlineStr">
        <is>
          <t>azerbaijan</t>
        </is>
      </c>
      <c r="C234" s="13" t="inlineStr">
        <is>
          <t>Wolt Baku grocery (aggregator)</t>
        </is>
      </c>
      <c r="D234" s="13" t="inlineStr">
        <is>
          <t>https://wolt.com/en/aze/baku/category/grocery</t>
        </is>
      </c>
      <c r="E234" s="13" t="inlineStr">
        <is>
          <t>TIER_1B</t>
        </is>
      </c>
      <c r="F234" s="13" t="inlineStr">
        <is>
          <t>medium</t>
        </is>
      </c>
      <c r="G234" s="13" t="inlineStr">
        <is>
          <t>Wave 4</t>
        </is>
      </c>
      <c r="H234" s="13" t="inlineStr">
        <is>
          <t>spider</t>
        </is>
      </c>
      <c r="I234" s="13" t="inlineStr">
        <is>
          <t>Bespoke spider/fetcher - endpoint already known; extra work is pagination, auth or parsing</t>
        </is>
      </c>
      <c r="J234" s="13" t="inlineStr">
        <is>
          <t>Z_bespoke</t>
        </is>
      </c>
      <c r="K234" s="13" t="inlineStr">
        <is>
          <t>Custom</t>
        </is>
      </c>
      <c r="L234" s="13" t="inlineStr">
        <is>
          <t>retailer_sku</t>
        </is>
      </c>
      <c r="M234" s="13" t="inlineStr">
        <is>
          <t>aggregator</t>
        </is>
      </c>
      <c r="N234" s="13" t="inlineStr">
        <is>
          <t>AZN</t>
        </is>
      </c>
      <c r="O234" s="13" t="n">
        <v>100</v>
      </c>
      <c r="P234" s="13" t="inlineStr">
        <is>
          <t>page-embedded JSON</t>
        </is>
      </c>
      <c r="Q234" s="13" t="inlineStr">
        <is>
          <t>GET -&gt; 200, 2MB. Embedded JSON: store list w/ prices e.g. 'price':935 (9.35 AZN); store names include 'SPAR Ehmed Recebli','Bravo Supermarket Winter Park','Araz Statistics 2 Supermarket','Tamstore Express Fountain sq.','Oba Market Ahmadli'.</t>
        </is>
      </c>
      <c r="R234" s="13" t="b">
        <v>1</v>
      </c>
      <c r="S234" s="13" t="inlineStr">
        <is>
          <t>Marketplace directory of ~7 Baku chains, several labelled 'same prices as in store'. Treat as directory first: consolation-prize catalog scrape only if per-store storefronts fail.</t>
        </is>
      </c>
      <c r="T234" s="13" t="inlineStr"/>
    </row>
    <row r="235">
      <c r="A235" s="13" t="inlineStr">
        <is>
          <t>lac</t>
        </is>
      </c>
      <c r="B235" s="13" t="inlineStr">
        <is>
          <t>st_vincent_and_the_grenadines</t>
        </is>
      </c>
      <c r="C235" s="13" t="inlineStr">
        <is>
          <t>C.K. Greaves &amp; Company</t>
        </is>
      </c>
      <c r="D235" s="13" t="inlineStr">
        <is>
          <t>https://www.ckgreaves.com/</t>
        </is>
      </c>
      <c r="E235" s="13" t="inlineStr">
        <is>
          <t>TIER_1A</t>
        </is>
      </c>
      <c r="F235" s="13" t="inlineStr">
        <is>
          <t>medium</t>
        </is>
      </c>
      <c r="G235" s="13" t="inlineStr">
        <is>
          <t>Wave 4</t>
        </is>
      </c>
      <c r="H235" s="13" t="inlineStr">
        <is>
          <t>spider</t>
        </is>
      </c>
      <c r="I235" s="13" t="inlineStr">
        <is>
          <t>Bespoke spider/fetcher - endpoint already known; extra work is pagination, auth or parsing</t>
        </is>
      </c>
      <c r="J235" s="13" t="inlineStr">
        <is>
          <t>Z_bespoke</t>
        </is>
      </c>
      <c r="K235" s="13" t="inlineStr">
        <is>
          <t>WordPress + custom shop module</t>
        </is>
      </c>
      <c r="L235" s="13" t="inlineStr">
        <is>
          <t>retailer_sku</t>
        </is>
      </c>
      <c r="M235" s="13" t="inlineStr">
        <is>
          <t>supermarket</t>
        </is>
      </c>
      <c r="N235" s="13" t="inlineStr">
        <is>
          <t>XCD</t>
        </is>
      </c>
      <c r="O235" s="13" t="n">
        <v>100</v>
      </c>
      <c r="P235" s="13" t="inlineStr">
        <is>
          <t>/shop/browse/product/{id}_{slug}/ (SSR PDP)</t>
        </is>
      </c>
      <c r="Q235" s="13" t="inlineStr">
        <is>
          <t>GET /shop/browse/product/19751_b-bird-apple-juice-340ml/ -&gt; HTTP 200, 102KB HTML with real embedded price markup ('&lt;div class="price-now..."&gt;&lt;span class="sym"&gt;$&lt;/span&gt;&lt;strong class="dol"&gt;4&lt;/strong&gt;&lt;em class="dec"&gt;35&lt;/em&gt;&lt;/div&gt;' = $4.35) for product 'B Bird Apple Juice 340ml'. Product catalog browsable via /departments/ and /shop/browse/product/ paths (WordPress-hosted custom storefront, not WooCommerce core — /wp-json/wc/store/v1/products returned HTTP 404).</t>
        </is>
      </c>
      <c r="R235" s="13" t="b">
        <v>0</v>
      </c>
      <c r="S235" s="13" t="inlineStr">
        <is>
          <t>Currency shown only as generic '$' symbol; XCD assumed from SVG's official currency per country-currency conventions (not confirmed by an explicit currency code in the page). Catalog skews packaged goods (juice, tea, cleaning, pet products) in the pages sampled — fresh produce/meat depth unconfirmed.</t>
        </is>
      </c>
      <c r="T235" s="13" t="inlineStr"/>
    </row>
    <row r="236">
      <c r="A236" s="13" t="inlineStr">
        <is>
          <t>sar</t>
        </is>
      </c>
      <c r="B236" s="13" t="inlineStr">
        <is>
          <t>nepal</t>
        </is>
      </c>
      <c r="C236" s="13" t="inlineStr">
        <is>
          <t>MeroKirana</t>
        </is>
      </c>
      <c r="D236" s="13" t="inlineStr">
        <is>
          <t>https://merokirana.com/</t>
        </is>
      </c>
      <c r="E236" s="13" t="inlineStr">
        <is>
          <t>TIER_1B</t>
        </is>
      </c>
      <c r="F236" s="13" t="inlineStr">
        <is>
          <t>medium</t>
        </is>
      </c>
      <c r="G236" s="13" t="inlineStr">
        <is>
          <t>Wave 4</t>
        </is>
      </c>
      <c r="H236" s="13" t="inlineStr">
        <is>
          <t>spider</t>
        </is>
      </c>
      <c r="I236" s="13" t="inlineStr">
        <is>
          <t>Bespoke spider/fetcher - endpoint already known; extra work is pagination, auth or parsing</t>
        </is>
      </c>
      <c r="J236" s="13" t="inlineStr">
        <is>
          <t>Z_bespoke</t>
        </is>
      </c>
      <c r="K236" s="13" t="inlineStr">
        <is>
          <t>Custom (Semantro)</t>
        </is>
      </c>
      <c r="L236" s="13" t="inlineStr">
        <is>
          <t>retailer_sku</t>
        </is>
      </c>
      <c r="M236" s="13" t="inlineStr">
        <is>
          <t>supermarket</t>
        </is>
      </c>
      <c r="N236" s="13" t="inlineStr">
        <is>
          <t>NPR</t>
        </is>
      </c>
      <c r="O236" s="13" t="n">
        <v>95</v>
      </c>
      <c r="P236" s="13" t="inlineStr">
        <is>
          <t>POST /semantro-web-interface/query</t>
        </is>
      </c>
      <c r="Q236" s="13" t="inlineStr">
        <is>
          <t>React SPA over a proprietary 'Semantro' backend at POST https://merokirana.com/semantro-web-interface/query (multipart form field 'data' = JSON action descriptor, plain curl, no auth/cookies). actionName=listBaseCategories -&gt; 10 categories incl. Veg &amp; Fruits, Eggs &amp; Meat, Bakery &amp; Dairy. actionName=listLatestProducts (pageLimit start/end) -&gt; product id list. actionName=getProductData per product -&gt; price+currency. Verified end-to-end: 'Kejjan's Snail Mucin &amp; Rice Water Face Toner, 150ml' -&gt; priceCurrency 'NRs.', price 555.0.</t>
        </is>
      </c>
      <c r="R236" s="13" t="b">
        <v>1</v>
      </c>
      <c r="S236" s="13" t="inlineStr">
        <is>
          <t>Only category-scoped listing action name unconfirmed in the time budget (listLatestProducts has no categoryId param seen); listBaseCategories + getProductData are proven and category id is already known ('Veg &amp; Fruits' id=35ae95a75bda48a3-ac60b32fab01d5db) so a category-listing action almost certainly exists next to listLatestProducts -- probe further before scaffolding. DDC (state dairy) lines per shard notes.</t>
        </is>
      </c>
      <c r="T236" s="13" t="inlineStr"/>
    </row>
    <row r="237">
      <c r="A237" s="13" t="inlineStr">
        <is>
          <t>lac</t>
        </is>
      </c>
      <c r="B237" s="13" t="inlineStr">
        <is>
          <t>haiti</t>
        </is>
      </c>
      <c r="C237" s="13" t="inlineStr">
        <is>
          <t>KITT National</t>
        </is>
      </c>
      <c r="D237" s="13" t="inlineStr">
        <is>
          <t>https://kittnational.com/</t>
        </is>
      </c>
      <c r="E237" s="13" t="inlineStr">
        <is>
          <t>TIER_1B</t>
        </is>
      </c>
      <c r="F237" s="13" t="inlineStr">
        <is>
          <t>medium</t>
        </is>
      </c>
      <c r="G237" s="13" t="inlineStr">
        <is>
          <t>Wave 4</t>
        </is>
      </c>
      <c r="H237" s="13" t="inlineStr">
        <is>
          <t>spider</t>
        </is>
      </c>
      <c r="I237" s="13" t="inlineStr">
        <is>
          <t>Bespoke spider/fetcher - endpoint already known; extra work is pagination, auth or parsing</t>
        </is>
      </c>
      <c r="J237" s="13" t="inlineStr">
        <is>
          <t>Z_bespoke</t>
        </is>
      </c>
      <c r="K237" s="13" t="inlineStr">
        <is>
          <t>Supabase/React SPA</t>
        </is>
      </c>
      <c r="L237" s="13" t="inlineStr">
        <is>
          <t>retailer_sku</t>
        </is>
      </c>
      <c r="M237" s="13" t="inlineStr">
        <is>
          <t>marketplace</t>
        </is>
      </c>
      <c r="N237" s="13" t="inlineStr">
        <is>
          <t>HTG</t>
        </is>
      </c>
      <c r="O237" s="13" t="n">
        <v>40</v>
      </c>
      <c r="P237" s="13" t="inlineStr">
        <is>
          <t>https://2kug72le92fjtj5suphu.helloreaddy.com/rest/v1/product_items (Supabase REST, publishable key required)</t>
        </is>
      </c>
      <c r="Q237" s="13" t="inlineStr">
        <is>
          <t>Playwright network trace found a Supabase PostgREST backend (helloreaddy.com) with a client-side publishable key (sb_publishable_...) captured from page requests. GET .../rest/v1/product_items?select=id,name,price,category_id&amp;status=eq.active with apikey+Authorization headers -&gt; 200. Sample: 'Nutella — Bokal Pate Chokola 26.5 oz' HTG 1427.15. Prefer:count=exact shows 1,341 total active products across categories including Manje (Food), Bwason (Beverages), Desè (Dessert), Maket (Market/general).</t>
        </is>
      </c>
      <c r="R237" s="13" t="b">
        <v>1</v>
      </c>
      <c r="S237" s="13" t="inlineStr">
        <is>
          <t>General last-mile delivery/marketplace platform (electronics, auto, clothing, tools) with a food/beverage/dessert vertical, not a dedicated grocery store; F&amp;B share of the 1,341-item catalog is a minority. Needed a Playwright pass to capture the anon API key before curl worked.</t>
        </is>
      </c>
      <c r="T237" s="13" t="inlineStr"/>
    </row>
    <row r="238">
      <c r="A238" s="13" t="inlineStr">
        <is>
          <t>lac</t>
        </is>
      </c>
      <c r="B238" s="13" t="inlineStr">
        <is>
          <t>trinidad_and_tobago</t>
        </is>
      </c>
      <c r="C238" s="13" t="inlineStr">
        <is>
          <t>TriniCart</t>
        </is>
      </c>
      <c r="D238" s="13" t="inlineStr">
        <is>
          <t>https://trinicart.pro/</t>
        </is>
      </c>
      <c r="E238" s="13" t="inlineStr">
        <is>
          <t>TIER_1B</t>
        </is>
      </c>
      <c r="F238" s="13" t="inlineStr">
        <is>
          <t>medium</t>
        </is>
      </c>
      <c r="G238" s="13" t="inlineStr">
        <is>
          <t>Wave 4</t>
        </is>
      </c>
      <c r="H238" s="13" t="inlineStr">
        <is>
          <t>spider</t>
        </is>
      </c>
      <c r="I238" s="13" t="inlineStr">
        <is>
          <t>Bespoke spider/fetcher - endpoint already known; extra work is pagination, auth or parsing</t>
        </is>
      </c>
      <c r="J238" s="13" t="inlineStr">
        <is>
          <t>Z_bespoke</t>
        </is>
      </c>
      <c r="K238" s="13" t="inlineStr">
        <is>
          <t>Supabase/React SPA</t>
        </is>
      </c>
      <c r="L238" s="13" t="inlineStr">
        <is>
          <t>retailer_sku</t>
        </is>
      </c>
      <c r="M238" s="13" t="inlineStr">
        <is>
          <t>supermarket</t>
        </is>
      </c>
      <c r="N238" s="13" t="inlineStr">
        <is>
          <t>TTD</t>
        </is>
      </c>
      <c r="O238" s="13" t="n">
        <v>40</v>
      </c>
      <c r="P238" s="13" t="inlineStr">
        <is>
          <t>https://lmrfzrshpwqxaeorfecv.supabase.co/rest/v1/admin_content?select=value&amp;key=eq.maraval-products-v1 (Supabase REST, anon key required)</t>
        </is>
      </c>
      <c r="Q238" s="13" t="inlineStr">
        <is>
          <t>curl on root -&gt; 1.9KB Vite/React SPA shell. Playwright network trace found a Supabase backend (lmrfzrshpwqxaeorfecv.supabase.co) with an anon JWT key captured from page requests. GET .../rest/v1/admin_content?select=value&amp;key=eq.maraval-products-v1 with apikey+Authorization -&gt; 200, 116KB JSON containing a 'custom' product array (173 items). Sample: 'Chief All Purpose Seasoning 40g' TTD 12.00.</t>
        </is>
      </c>
      <c r="R238" s="13" t="b">
        <v>1</v>
      </c>
      <c r="S238" s="13" t="inlineStr">
        <is>
          <t>Smaller catalog per CSV notes (173 items). Product data is embedded as a JSON blob inside a generic 'admin_content' key/value row, not a normal paginated products table — parse accordingly. Needed a Playwright pass to capture the anon key before curl worked.</t>
        </is>
      </c>
      <c r="T238" s="13" t="inlineStr"/>
    </row>
    <row r="239">
      <c r="A239" s="13" t="inlineStr">
        <is>
          <t>sar</t>
        </is>
      </c>
      <c r="B239" s="13" t="inlineStr">
        <is>
          <t>nepal</t>
        </is>
      </c>
      <c r="C239" s="13" t="inlineStr">
        <is>
          <t>Daraz Nepal (catalog search AJAX)</t>
        </is>
      </c>
      <c r="D239" s="13" t="inlineStr">
        <is>
          <t>https://www.daraz.com.np/</t>
        </is>
      </c>
      <c r="E239" s="13" t="inlineStr">
        <is>
          <t>TIER_1B</t>
        </is>
      </c>
      <c r="F239" s="13" t="inlineStr">
        <is>
          <t>medium</t>
        </is>
      </c>
      <c r="G239" s="13" t="inlineStr">
        <is>
          <t>Wave 4</t>
        </is>
      </c>
      <c r="H239" s="13" t="inlineStr">
        <is>
          <t>spider</t>
        </is>
      </c>
      <c r="I239" s="13" t="inlineStr">
        <is>
          <t>Bespoke spider/fetcher - endpoint already known; extra work is pagination, auth or parsing</t>
        </is>
      </c>
      <c r="J239" s="13" t="inlineStr">
        <is>
          <t>Z_bespoke</t>
        </is>
      </c>
      <c r="K239" s="13" t="inlineStr">
        <is>
          <t>Custom/Enterprise (Lazada-derived, mtop stack for other endpoints but the catalog/search ajax itself is unsigned)</t>
        </is>
      </c>
      <c r="L239" s="13" t="inlineStr">
        <is>
          <t>retailer_sku</t>
        </is>
      </c>
      <c r="M239" s="13" t="inlineStr">
        <is>
          <t>marketplace</t>
        </is>
      </c>
      <c r="N239" s="13" t="inlineStr">
        <is>
          <t>NPR</t>
        </is>
      </c>
      <c r="O239" s="13" t="n">
        <v>20</v>
      </c>
      <c r="P239" s="13" t="inlineStr">
        <is>
          <t>GET /catalog/?ajax=true&amp;isFirstRequest=true&amp;page=N&amp;q=&lt;keyword&gt;</t>
        </is>
      </c>
      <c r="Q239" s="13" t="inlineStr">
        <is>
          <t>GET https://www.daraz.com.np/catalog/?ajax=true&amp;isFirstRequest=true&amp;page=1&amp;q=rice -&gt; 200, 131488 bytes JSON, plain curl with browser UA, no auth/session needed. mods.listItems = 40 products/page with name, price, originalPrice, discount, sellerName, categories. Sample: 'Hilife Pulao Basmati Rice 1 Kg' price=264 originalPrice=270 discount='2% Off'.</t>
        </is>
      </c>
      <c r="R239" s="13" t="b">
        <v>1</v>
      </c>
      <c r="S239" s="13" t="inlineStr">
        <is>
          <t>Reaching leaf breadth requires walking a keyword list (one query per leaf/commodity) rather than a category crawl -- higher scaffolding effort than a catalog endpoint. Confirms shard's was_price/discount capture need for flash-sale distortion. Third-party seller names carried per item (dMart pantry vertical mixed with generic marketplace sellers).</t>
        </is>
      </c>
      <c r="T239" s="13" t="inlineStr"/>
    </row>
    <row r="240">
      <c r="A240" s="13" t="inlineStr">
        <is>
          <t>lac</t>
        </is>
      </c>
      <c r="B240" s="13" t="inlineStr">
        <is>
          <t>peru</t>
        </is>
      </c>
      <c r="C240" s="13" t="inlineStr">
        <is>
          <t>Inkafarma</t>
        </is>
      </c>
      <c r="D240" s="13" t="inlineStr">
        <is>
          <t>https://inkafarma.pe/</t>
        </is>
      </c>
      <c r="E240" s="13" t="inlineStr">
        <is>
          <t>TIER_1B</t>
        </is>
      </c>
      <c r="F240" s="13" t="inlineStr">
        <is>
          <t>medium</t>
        </is>
      </c>
      <c r="G240" s="13" t="inlineStr">
        <is>
          <t>Wave 4</t>
        </is>
      </c>
      <c r="H240" s="13" t="inlineStr">
        <is>
          <t>spider</t>
        </is>
      </c>
      <c r="I240" s="13" t="inlineStr">
        <is>
          <t>Bespoke spider/fetcher - endpoint already known; extra work is pagination, auth or parsing</t>
        </is>
      </c>
      <c r="J240" s="13" t="inlineStr">
        <is>
          <t>Z_bespoke</t>
        </is>
      </c>
      <c r="K240" s="13" t="inlineStr">
        <is>
          <t>Custom (AWS API Gateway)</t>
        </is>
      </c>
      <c r="L240" s="13" t="inlineStr">
        <is>
          <t>retailer_sku</t>
        </is>
      </c>
      <c r="M240" s="13" t="inlineStr">
        <is>
          <t>pharmacy</t>
        </is>
      </c>
      <c r="N240" s="13" t="inlineStr">
        <is>
          <t>PEN</t>
        </is>
      </c>
      <c r="O240" s="13" t="n">
        <v>20</v>
      </c>
      <c r="P240" s="13" t="inlineStr">
        <is>
          <t>https://5doa19p9r7.execute-api.us-east-1.amazonaws.com/MMPROD/products/{skus}?companyCode=IKF&amp;saleChannel=WEB&amp;saleChannelType=DIGITAL</t>
        </is>
      </c>
      <c r="Q240" s="13" t="inlineStr">
        <is>
          <t>The CSV-listed VTEX endpoint (/api/catalog_system/pub/products/search) returns the SPA shell (text/html), not JSON — not actually VTEX. Playwright network trace found the real backend: AWS API Gateway https://5doa19p9r7.execute-api.us-east-1.amazonaws.com/MMPROD/products/{comma-sep-skus}?companyCode=IKF&amp;saleChannel=WEB&amp;saleChannelType=DIGITAL. Replayed with plain curl (no auth needed) -&gt; 200, 21.3KB JSON for 2 SKUs. Sample: 'Gel Limpiador Bioderma Sébium Moussant Piel Mixta a Grasa' PEN 159.90.</t>
        </is>
      </c>
      <c r="R240" s="13" t="b">
        <v>1</v>
      </c>
      <c r="S240" s="13" t="inlineStr">
        <is>
          <t>CSV wrongly listed this as VTEX. Endpoint is keyed by SKU code, not paginated by category — a search/listing endpoint to enumerate SKUs was not found in this probe pass; would need one more Playwright capture on a search query before scaffolding a full-catalog walker. Pharmacy chain, COICOP 6 focus.</t>
        </is>
      </c>
      <c r="T240" s="13" t="inlineStr"/>
    </row>
    <row r="241">
      <c r="A241" s="13" t="inlineStr">
        <is>
          <t>eap</t>
        </is>
      </c>
      <c r="B241" s="13" t="inlineStr">
        <is>
          <t>japan</t>
        </is>
      </c>
      <c r="C241" s="13" t="inlineStr">
        <is>
          <t>opengov.jp Wholesale Produce Market Prices (MAFF daily wholesale data, 30 central markets)</t>
        </is>
      </c>
      <c r="D241" s="13" t="inlineStr">
        <is>
          <t>https://opengov.jp/en/prices/vegetable-market/</t>
        </is>
      </c>
      <c r="E241" s="13" t="inlineStr">
        <is>
          <t>TIER_1A</t>
        </is>
      </c>
      <c r="F241" s="13" t="inlineStr">
        <is>
          <t>medium</t>
        </is>
      </c>
      <c r="G241" s="13" t="inlineStr">
        <is>
          <t>Wave 4</t>
        </is>
      </c>
      <c r="H241" s="13" t="inlineStr">
        <is>
          <t>fetcher</t>
        </is>
      </c>
      <c r="I241" s="13" t="inlineStr">
        <is>
          <t>Bespoke spider/fetcher - endpoint already known; extra work is pagination, auth or parsing</t>
        </is>
      </c>
      <c r="J241" s="13" t="inlineStr">
        <is>
          <t>Z_bespoke</t>
        </is>
      </c>
      <c r="K241" s="13" t="inlineStr">
        <is>
          <t>Custom</t>
        </is>
      </c>
      <c r="L241" s="13" t="inlineStr">
        <is>
          <t>official_avg</t>
        </is>
      </c>
      <c r="M241" s="13" t="inlineStr">
        <is>
          <t>wholesale</t>
        </is>
      </c>
      <c r="N241" s="13" t="inlineStr">
        <is>
          <t>JPY</t>
        </is>
      </c>
      <c r="O241" s="13" t="n">
        <v>15</v>
      </c>
      <c r="P241" s="13" t="inlineStr">
        <is>
          <t>/en/prices/vegetable-market/&lt;commodity_code&gt;/</t>
        </is>
      </c>
      <c r="Q241" s="13" t="inlineStr">
        <is>
          <t>GET /en/prices/vegetable-market/ -&gt; 200, 361KB HTML, 71 commodity-code links (e.g. 30100). GET /en/prices/vegetable-market/30100/ -&gt; 200, title 'Daikon radish (だいこん) Wholesale Price Trends -- Grade-Specific Market Data', daily rows across 5 regional markets, e.g. '2026-04-02 Morioka (盛岡) JPY124 29.4t Slightly rising'. Plain curl, no auth.</t>
        </is>
      </c>
      <c r="R241" s="13" t="b">
        <v>0</v>
      </c>
      <c r="S241" s="13" t="inlineStr">
        <is>
          <t>MAFF daily wholesale high/low + trading volume across 30 central markets, 71 fresh vegetable/fruit commodity codes, 16 years of history per site claim. Substantially overlaps the vegetable/fruit items already in the retail-prices source above (same crops, finer market-level granularity) -- scored as a smaller incremental add rather than fully additive, mainly for cultivar-level depth (e.g. distinct radish/cabbage varieties) the retail survey collapses to one line.</t>
        </is>
      </c>
      <c r="T241" s="13" t="inlineStr"/>
    </row>
    <row r="242">
      <c r="A242" s="13" t="inlineStr">
        <is>
          <t>sar</t>
        </is>
      </c>
      <c r="B242" s="13" t="inlineStr">
        <is>
          <t>nepal</t>
        </is>
      </c>
      <c r="C242" s="13" t="inlineStr">
        <is>
          <t>Thulo.com supermarket panel</t>
        </is>
      </c>
      <c r="D242" s="13" t="inlineStr">
        <is>
          <t>https://thulo.com.np/supermarket</t>
        </is>
      </c>
      <c r="E242" s="13" t="inlineStr">
        <is>
          <t>TIER_1B</t>
        </is>
      </c>
      <c r="F242" s="13" t="inlineStr">
        <is>
          <t>medium</t>
        </is>
      </c>
      <c r="G242" s="13" t="inlineStr">
        <is>
          <t>Wave 4</t>
        </is>
      </c>
      <c r="H242" s="13" t="inlineStr">
        <is>
          <t>spider</t>
        </is>
      </c>
      <c r="I242" s="13" t="inlineStr">
        <is>
          <t>Bespoke spider/fetcher - endpoint already known; extra work is pagination, auth or parsing</t>
        </is>
      </c>
      <c r="J242" s="13" t="inlineStr">
        <is>
          <t>Z_bespoke</t>
        </is>
      </c>
      <c r="K242" s="13" t="inlineStr">
        <is>
          <t>Custom</t>
        </is>
      </c>
      <c r="L242" s="13" t="inlineStr">
        <is>
          <t>retailer_sku</t>
        </is>
      </c>
      <c r="M242" s="13" t="inlineStr">
        <is>
          <t>supermarket</t>
        </is>
      </c>
      <c r="N242" s="13" t="inlineStr">
        <is>
          <t>NPR</t>
        </is>
      </c>
      <c r="O242" s="13" t="n">
        <v>12</v>
      </c>
      <c r="P242" s="13" t="inlineStr">
        <is>
          <t>GET /thulo-product/shop?category=N&amp;maxp=N</t>
        </is>
      </c>
      <c r="Q242" s="13" t="inlineStr">
        <is>
          <t>GET https://thulo.com.np/thulo-product/shop?category=394&amp;maxp=35670 -&gt; 200, 63201 bytes JSON with a single 'grid' key containing an HTML fragment (plain curl, no auth). Product titles extracted from 'global-card-contents-title' anchors, e.g. 'Maghe Special Combo Set 3'; PDP links point to named-vendor subdomains (pasal101.thulo.com.np/shop/...), confirming the multi-vendor panel structure the shard notes describe.</t>
        </is>
      </c>
      <c r="R242" s="13" t="b">
        <v>1</v>
      </c>
      <c r="S242" s="13" t="inlineStr">
        <is>
          <t>category=394 sampled was a promo/combo bucket, not necessarily representative; full category id list (dairy-products-en link seen on the listing page) not enumerated in the time budget. Must dedupe on vendor+SKU (same product repeats across named vendors) per shard AI_NOTES. Price extraction needs a second regex pass -- offerPrice/productPrice classes present but not cleanly captured in this probe.</t>
        </is>
      </c>
      <c r="T242" s="13" t="inlineStr"/>
    </row>
    <row r="243">
      <c r="A243" s="13" t="inlineStr">
        <is>
          <t>sar</t>
        </is>
      </c>
      <c r="B243" s="13" t="inlineStr">
        <is>
          <t>nepal</t>
        </is>
      </c>
      <c r="C243" s="13" t="inlineStr">
        <is>
          <t>Goket Groceries</t>
        </is>
      </c>
      <c r="D243" s="13" t="inlineStr">
        <is>
          <t>https://www.goket.com.np/</t>
        </is>
      </c>
      <c r="E243" s="13" t="inlineStr">
        <is>
          <t>TIER_1A</t>
        </is>
      </c>
      <c r="F243" s="13" t="inlineStr">
        <is>
          <t>medium</t>
        </is>
      </c>
      <c r="G243" s="13" t="inlineStr">
        <is>
          <t>Wave 4</t>
        </is>
      </c>
      <c r="H243" s="13" t="inlineStr">
        <is>
          <t>spider</t>
        </is>
      </c>
      <c r="I243" s="13" t="inlineStr">
        <is>
          <t>Bespoke spider/fetcher - endpoint already known; extra work is pagination, auth or parsing</t>
        </is>
      </c>
      <c r="J243" s="13" t="inlineStr">
        <is>
          <t>Z_bespoke</t>
        </is>
      </c>
      <c r="K243" s="13" t="inlineStr">
        <is>
          <t>Custom (Next.js)</t>
        </is>
      </c>
      <c r="L243" s="13" t="inlineStr">
        <is>
          <t>retailer_sku</t>
        </is>
      </c>
      <c r="M243" s="13" t="inlineStr">
        <is>
          <t>supermarket</t>
        </is>
      </c>
      <c r="N243" s="13" t="inlineStr">
        <is>
          <t>NPR</t>
        </is>
      </c>
      <c r="O243" s="13" t="n">
        <v>3</v>
      </c>
      <c r="P243" s="13" t="inlineStr">
        <is>
          <t>GET /categories (category listing only; product/price endpoint unconfirmed)</t>
        </is>
      </c>
      <c r="Q243" s="13" t="inlineStr">
        <is>
          <t>GET https://www.goket.com.np/categories -&gt; 200, 32671 bytes, plain curl, no auth. Real category names embedded in HTML: Baby Care, Beverages, Cleaning Supplies, Packaged Foods, Pantry Staples, Personal Care -- but zero price or product-slug tokens found on that page (products load one level deeper, not confirmed in time budget). Next.js app.</t>
        </is>
      </c>
      <c r="R243" s="13" t="b">
        <v>1</v>
      </c>
      <c r="S243" s="13" t="inlineStr">
        <is>
          <t>Matches shard's SUSPECT verdict: app-led catalog (dedicated iOS app), thin 6-category set with no visible fresh produce/dairy/meat. Low priority relative to MeroKirana/Vhandar which are already deeper and confirmed end-to-end.</t>
        </is>
      </c>
      <c r="T243" s="13" t="inlineStr"/>
    </row>
    <row r="244">
      <c r="A244" s="13" t="inlineStr">
        <is>
          <t>menaap</t>
        </is>
      </c>
      <c r="B244" s="13" t="inlineStr">
        <is>
          <t>egypt</t>
        </is>
      </c>
      <c r="C244" s="13" t="inlineStr">
        <is>
          <t>Talabat Egypt</t>
        </is>
      </c>
      <c r="D244" s="13" t="inlineStr">
        <is>
          <t>https://www.talabat.com/egypt/groceries</t>
        </is>
      </c>
      <c r="E244" s="13" t="inlineStr">
        <is>
          <t>TIER_1A</t>
        </is>
      </c>
      <c r="F244" s="13" t="inlineStr">
        <is>
          <t>medium</t>
        </is>
      </c>
      <c r="G244" s="13" t="inlineStr">
        <is>
          <t>Wave 4</t>
        </is>
      </c>
      <c r="H244" s="13" t="inlineStr">
        <is>
          <t>spider</t>
        </is>
      </c>
      <c r="I244" s="13" t="inlineStr">
        <is>
          <t>Bespoke spider/fetcher - endpoint already known; extra work is pagination, auth or parsing</t>
        </is>
      </c>
      <c r="J244" s="13" t="inlineStr">
        <is>
          <t>Z_bespoke</t>
        </is>
      </c>
      <c r="K244" s="13" t="inlineStr">
        <is>
          <t>Custom (Next.js)</t>
        </is>
      </c>
      <c r="L244" s="13" t="inlineStr">
        <is>
          <t>seller_directory</t>
        </is>
      </c>
      <c r="M244" s="13" t="inlineStr">
        <is>
          <t>marketplace</t>
        </is>
      </c>
      <c r="N244" s="13" t="inlineStr">
        <is>
          <t>EGP</t>
        </is>
      </c>
      <c r="O244" s="13" t="n">
        <v>0</v>
      </c>
      <c r="P244" s="13" t="inlineStr">
        <is>
          <t>/egypt/groceries/{areaId}/{slug} (SSR __NEXT_DATA__) + /nextLocationApi/location/country-areas/{countryId} for area enumeration</t>
        </is>
      </c>
      <c r="Q244" s="13" t="inlineStr">
        <is>
          <t>curl on /egypt/groceries/&lt;areaId&gt;/&lt;slug&gt; server-renders a __NEXT_DATA__ blob with props.pageProps.vendors[] -- 20 vendors per area, no auth. First attempt with a guessed area id (59) accidentally returned Kuwaiti vendors (Talabat area IDs are NOT country-namespaced in the URL). Fixed by first calling https://www.talabat.com/nextLocationApi/location/country-areas/9 (curl, 200, 466KB JSON) which lists real Egypt area ids/slugs (country id 9 = Egypt, areas keyed by Arabic city/area names e.g. القاهرة=Cairo). Re-probed /egypt/groceries/10032/faisal-el-taawon-2 -&gt; 20 genuine Egyptian vendors: 'Souq El Aasr', 'Akher Sa'a Bakery', 'Elsuhagi For Poultry &amp; Butchery', 'Kheir Zaman', 'Carrefour', 'Metro Market', 'talabat mart', 'tKiosk by tMart'.</t>
        </is>
      </c>
      <c r="R244" s="13" t="b">
        <v>1</v>
      </c>
      <c r="S244" s="13" t="inlineStr">
        <is>
          <t>MAJOR discovery asset confirmed live: enumerates independent traditional retailers with no web presence (dairies, roasteries, butchers, fruit sellers) across every Egyptian area/city. Prices include platform margin per CSV -- use as a store/seller directory, not a price series, except where no alternative exists (traditional retail). Walking all areas from country-areas/9 would produce a full seller census.</t>
        </is>
      </c>
      <c r="T244" s="13" t="inlineStr">
        <is>
          <t>Area IDs are global across Talabat's whole footprint, not scoped per country segment in the URL -- always resolve area ids via nextLocationApi/location/country-areas/{countryId} first, never guess small integers.</t>
        </is>
      </c>
    </row>
    <row r="245">
      <c r="A245" s="13" t="inlineStr">
        <is>
          <t>eca</t>
        </is>
      </c>
      <c r="B245" s="13" t="inlineStr">
        <is>
          <t>malta</t>
        </is>
      </c>
      <c r="C245" s="13" t="inlineStr">
        <is>
          <t>Greens Supermarket</t>
        </is>
      </c>
      <c r="D245" s="13" t="inlineStr">
        <is>
          <t>https://www.greens.com.mt/</t>
        </is>
      </c>
      <c r="E245" s="13" t="inlineStr">
        <is>
          <t>TIER_2</t>
        </is>
      </c>
      <c r="F245" s="13" t="inlineStr">
        <is>
          <t>medium</t>
        </is>
      </c>
      <c r="G245" s="13" t="inlineStr">
        <is>
          <t>Wave 5</t>
        </is>
      </c>
      <c r="H245" s="13" t="inlineStr">
        <is>
          <t>spider</t>
        </is>
      </c>
      <c r="I245" s="13" t="inlineStr">
        <is>
          <t>Playwright DISCOVERY pass first - find the internal JSON endpoint, then scrape it over plain HTTP</t>
        </is>
      </c>
      <c r="J245" s="13" t="inlineStr">
        <is>
          <t>D_woocommerce</t>
        </is>
      </c>
      <c r="K245" s="13" t="inlineStr">
        <is>
          <t>Custom (not WooCommerce, despite CSV label)</t>
        </is>
      </c>
      <c r="L245" s="13" t="inlineStr">
        <is>
          <t>retailer_sku</t>
        </is>
      </c>
      <c r="M245" s="13" t="inlineStr">
        <is>
          <t>supermarket</t>
        </is>
      </c>
      <c r="N245" s="13" t="inlineStr">
        <is>
          <t>EUR</t>
        </is>
      </c>
      <c r="O245" s="13" t="n">
        <v>0</v>
      </c>
      <c r="P245" s="13" t="inlineStr">
        <is>
          <t>not WooCommerce - platform misidentified in CSV</t>
        </is>
      </c>
      <c r="Q245" s="13" t="inlineStr">
        <is>
          <t>curl 200 (after -L redirect to www.), but the WooCommerce Store API path returned the homepage HTML (bootstrap-based custom theme), not JSON - CSV's 'WordPress/WooCommerce' platform tag appears wrong for this site</t>
        </is>
      </c>
      <c r="R245" s="13" t="b">
        <v>1</v>
      </c>
      <c r="S245" s="13" t="inlineStr">
        <is>
          <t>Needs a proper platform re-identification pass; not blocked, just not WooCommerce as labeled.</t>
        </is>
      </c>
      <c r="T245" s="13" t="inlineStr"/>
    </row>
    <row r="246">
      <c r="A246" s="13" t="inlineStr">
        <is>
          <t>eca</t>
        </is>
      </c>
      <c r="B246" s="13" t="inlineStr">
        <is>
          <t>slovenia</t>
        </is>
      </c>
      <c r="C246" s="13" t="inlineStr">
        <is>
          <t>Tus</t>
        </is>
      </c>
      <c r="D246" s="13" t="inlineStr">
        <is>
          <t>https://www.tus.si/</t>
        </is>
      </c>
      <c r="E246" s="13" t="inlineStr">
        <is>
          <t>TIER_2</t>
        </is>
      </c>
      <c r="F246" s="13" t="inlineStr">
        <is>
          <t>medium</t>
        </is>
      </c>
      <c r="G246" s="13" t="inlineStr">
        <is>
          <t>Wave 5</t>
        </is>
      </c>
      <c r="H246" s="13" t="inlineStr">
        <is>
          <t>spider</t>
        </is>
      </c>
      <c r="I246" s="13" t="inlineStr">
        <is>
          <t>Playwright DISCOVERY pass first - find the internal JSON endpoint, then scrape it over plain HTTP</t>
        </is>
      </c>
      <c r="J246" s="13" t="inlineStr">
        <is>
          <t>D_woocommerce</t>
        </is>
      </c>
      <c r="K246" s="13" t="inlineStr">
        <is>
          <t>possibly WooCommerce</t>
        </is>
      </c>
      <c r="L246" s="13" t="inlineStr">
        <is>
          <t>retailer_sku</t>
        </is>
      </c>
      <c r="M246" s="13" t="inlineStr">
        <is>
          <t>supermarket</t>
        </is>
      </c>
      <c r="N246" s="13" t="inlineStr">
        <is>
          <t>EUR</t>
        </is>
      </c>
      <c r="O246" s="13" t="n">
        <v>0</v>
      </c>
      <c r="P246" s="13" t="inlineStr">
        <is>
          <t>not confirmed</t>
        </is>
      </c>
      <c r="Q246" s="13" t="inlineStr">
        <is>
          <t>curl 200, 181KB, woocommerce string found but no product prices confirmed on homepage</t>
        </is>
      </c>
      <c r="R246" s="13" t="b">
        <v>1</v>
      </c>
      <c r="S246" s="13" t="inlineStr">
        <is>
          <t>Worth a follow-up WooCommerce Store API check given the platform hint.</t>
        </is>
      </c>
      <c r="T246" s="13" t="inlineStr"/>
    </row>
    <row r="247">
      <c r="A247" s="13" t="inlineStr">
        <is>
          <t>eca</t>
        </is>
      </c>
      <c r="B247" s="13" t="inlineStr">
        <is>
          <t>uzbekistan</t>
        </is>
      </c>
      <c r="C247" s="13" t="inlineStr">
        <is>
          <t>Korzinka</t>
        </is>
      </c>
      <c r="D247" s="13" t="inlineStr">
        <is>
          <t>https://www.korzinka.uz/en</t>
        </is>
      </c>
      <c r="E247" s="13" t="inlineStr">
        <is>
          <t>TIER_2</t>
        </is>
      </c>
      <c r="F247" s="13" t="inlineStr">
        <is>
          <t>medium</t>
        </is>
      </c>
      <c r="G247" s="13" t="inlineStr">
        <is>
          <t>Wave 5</t>
        </is>
      </c>
      <c r="H247" s="13" t="inlineStr">
        <is>
          <t>spider</t>
        </is>
      </c>
      <c r="I247" s="13" t="inlineStr">
        <is>
          <t>Playwright DISCOVERY pass first - find the internal JSON endpoint, then scrape it over plain HTTP</t>
        </is>
      </c>
      <c r="J247" s="13" t="inlineStr">
        <is>
          <t>Z_bespoke</t>
        </is>
      </c>
      <c r="K247" s="13" t="inlineStr">
        <is>
          <t>Nuxt/Vue</t>
        </is>
      </c>
      <c r="L247" s="13" t="inlineStr">
        <is>
          <t>retailer_sku</t>
        </is>
      </c>
      <c r="M247" s="13" t="inlineStr">
        <is>
          <t>supermarket</t>
        </is>
      </c>
      <c r="N247" s="13" t="inlineStr">
        <is>
          <t>UZS</t>
        </is>
      </c>
      <c r="O247" s="13" t="n">
        <v>140</v>
      </c>
      <c r="P247" s="13" t="inlineStr">
        <is>
          <t>api.korzinka.uz (exact route TBD)</t>
        </is>
      </c>
      <c r="Q247" s="13" t="inlineStr">
        <is>
          <t>curl -&gt; 403 'Just a moment...' Cloudflare challenge. Playwright render (homepage and /en/catalog) -&gt; HTTP 200, real content: 'product__price'/'product__price-current' DOM classes present, soum-denominated values visible after render (e.g. '300 000 soum'). Backend host api.korzinka.uz confirmed live (returns a structured JSON error for a wrong method rather than a block), but the correct catalog route was not found within the time budget.</t>
        </is>
      </c>
      <c r="R247" s="13" t="b">
        <v>1</v>
      </c>
      <c r="S247" s="13" t="inlineStr">
        <is>
          <t>250+ stores, 12 regions, own online supermarket since 2005 per shard. curl-blocked but Playwright bypasses cleanly -- needs a render-then-scrape approach or the right api.korzinka.uz route.</t>
        </is>
      </c>
      <c r="T247" s="13" t="inlineStr"/>
    </row>
    <row r="248">
      <c r="A248" s="13" t="inlineStr">
        <is>
          <t>eca</t>
        </is>
      </c>
      <c r="B248" s="13" t="inlineStr">
        <is>
          <t>moldova</t>
        </is>
      </c>
      <c r="C248" s="13" t="inlineStr">
        <is>
          <t>Casa Mega</t>
        </is>
      </c>
      <c r="D248" s="13" t="inlineStr">
        <is>
          <t>https://casamega.md/</t>
        </is>
      </c>
      <c r="E248" s="13" t="inlineStr">
        <is>
          <t>TIER_2</t>
        </is>
      </c>
      <c r="F248" s="13" t="inlineStr">
        <is>
          <t>medium</t>
        </is>
      </c>
      <c r="G248" s="13" t="inlineStr">
        <is>
          <t>Wave 5</t>
        </is>
      </c>
      <c r="H248" s="13" t="inlineStr">
        <is>
          <t>spider</t>
        </is>
      </c>
      <c r="I248" s="13" t="inlineStr">
        <is>
          <t>Playwright DISCOVERY pass first - find the internal JSON endpoint, then scrape it over plain HTTP</t>
        </is>
      </c>
      <c r="J248" s="13" t="inlineStr">
        <is>
          <t>Z_bespoke</t>
        </is>
      </c>
      <c r="K248" s="13" t="inlineStr">
        <is>
          <t>CS-Cart</t>
        </is>
      </c>
      <c r="L248" s="13" t="inlineStr">
        <is>
          <t>retailer_sku</t>
        </is>
      </c>
      <c r="M248" s="13" t="inlineStr">
        <is>
          <t>supermarket</t>
        </is>
      </c>
      <c r="N248" s="13" t="inlineStr">
        <is>
          <t>MDL</t>
        </is>
      </c>
      <c r="O248" s="13" t="n">
        <v>130</v>
      </c>
      <c r="P248" s="13" t="inlineStr">
        <is>
          <t>SSR after JS challenge clears</t>
        </is>
      </c>
      <c r="Q248" s="13" t="inlineStr">
        <is>
          <t>curl -&gt; 403 'DDOS protection page'. Playwright render -&gt; 200, 2.57MB, CS-Cart platform confirmed ('ty-price-num' class), real prices visible after render: '2 399.00' / '599.00' / '1 699.00' MDL.</t>
        </is>
      </c>
      <c r="R248" s="13" t="b">
        <v>1</v>
      </c>
      <c r="S248" s="13" t="inlineStr">
        <is>
          <t>curl-blocked but Playwright bypasses cleanly -- not a hard Cloudflare-strict block, needs a headless-render step in the spider or cookie replay.</t>
        </is>
      </c>
      <c r="T248" s="13" t="inlineStr"/>
    </row>
    <row r="249">
      <c r="A249" s="13" t="inlineStr">
        <is>
          <t>lac</t>
        </is>
      </c>
      <c r="B249" s="13" t="inlineStr">
        <is>
          <t>barbados</t>
        </is>
      </c>
      <c r="C249" s="13" t="inlineStr">
        <is>
          <t>PriceSmart Barbados</t>
        </is>
      </c>
      <c r="D249" s="13" t="inlineStr">
        <is>
          <t>https://www.pricesmart.com/en-BB/category/Groceries/G10D03</t>
        </is>
      </c>
      <c r="E249" s="13" t="inlineStr">
        <is>
          <t>TIER_2</t>
        </is>
      </c>
      <c r="F249" s="13" t="inlineStr">
        <is>
          <t>medium</t>
        </is>
      </c>
      <c r="G249" s="13" t="inlineStr">
        <is>
          <t>Wave 5</t>
        </is>
      </c>
      <c r="H249" s="13" t="inlineStr">
        <is>
          <t>spider</t>
        </is>
      </c>
      <c r="I249" s="13" t="inlineStr">
        <is>
          <t>Playwright DISCOVERY pass first - find the internal JSON endpoint, then scrape it over plain HTTP</t>
        </is>
      </c>
      <c r="J249" s="13" t="inlineStr">
        <is>
          <t>Z_bespoke</t>
        </is>
      </c>
      <c r="K249" s="13" t="inlineStr">
        <is>
          <t>Custom/Nuxt</t>
        </is>
      </c>
      <c r="L249" s="13" t="inlineStr">
        <is>
          <t>retailer_sku</t>
        </is>
      </c>
      <c r="M249" s="13" t="inlineStr">
        <is>
          <t>warehouse_club</t>
        </is>
      </c>
      <c r="N249" s="13" t="inlineStr">
        <is>
          <t>USD (site header shows $, region en-BB; verify BBD vs USD display before scaffolding)</t>
        </is>
      </c>
      <c r="O249" s="13" t="n">
        <v>90</v>
      </c>
      <c r="P249" s="13" t="inlineStr">
        <is>
          <t>POST /api/ct/getCategory (session-gated, Playwright only)</t>
        </is>
      </c>
      <c r="Q249" s="13" t="inlineStr">
        <is>
          <t>curl: 200/383KB but Nuxt SPA shell, zero prices in raw HTML (only account/login form fields). Playwright render (8s wait): prices visible ($49.00-$399.99 range) and product names extracted via a[href*='/product/'] selector: 'Maeva Avocado Oil Spray 2 Units / 200 mL', 'Froot Loops Chocolate Flavored Cereal 878 g'. Internal API is POST https://www.pricesmart.com/api/ct/getCategory (not GET-replayable with curl; needs session state).</t>
        </is>
      </c>
      <c r="R249" s="13" t="b">
        <v>1</v>
      </c>
      <c r="S249" s="13" t="inlineStr">
        <is>
          <t>Warehouse-club pack sizes; needs Playwright render at collection time since API is POST + session-cookie gated.</t>
        </is>
      </c>
      <c r="T249" s="13" t="inlineStr"/>
    </row>
    <row r="250">
      <c r="A250" s="13" t="inlineStr">
        <is>
          <t>eca</t>
        </is>
      </c>
      <c r="B250" s="13" t="inlineStr">
        <is>
          <t>romania</t>
        </is>
      </c>
      <c r="C250" s="13" t="inlineStr">
        <is>
          <t>Monitorul Preturilor (Competition Council)</t>
        </is>
      </c>
      <c r="D250" s="13" t="inlineStr">
        <is>
          <t>https://monitorulpreturilor.info/Home/Monitor</t>
        </is>
      </c>
      <c r="E250" s="13" t="inlineStr">
        <is>
          <t>TIER_2</t>
        </is>
      </c>
      <c r="F250" s="13" t="inlineStr">
        <is>
          <t>medium</t>
        </is>
      </c>
      <c r="G250" s="13" t="inlineStr">
        <is>
          <t>Wave 5</t>
        </is>
      </c>
      <c r="H250" s="13" t="inlineStr">
        <is>
          <t>fetcher</t>
        </is>
      </c>
      <c r="I250" s="13" t="inlineStr">
        <is>
          <t>Playwright DISCOVERY pass first - find the internal JSON endpoint, then scrape it over plain HTTP</t>
        </is>
      </c>
      <c r="J250" s="13" t="inlineStr">
        <is>
          <t>Z_bespoke</t>
        </is>
      </c>
      <c r="K250" s="13" t="inlineStr">
        <is>
          <t>Custom (Kendo UI + Firebase)</t>
        </is>
      </c>
      <c r="L250" s="13" t="inlineStr">
        <is>
          <t>official_avg</t>
        </is>
      </c>
      <c r="M250" s="13" t="inlineStr">
        <is>
          <t>official</t>
        </is>
      </c>
      <c r="N250" s="13" t="inlineStr">
        <is>
          <t>RON</t>
        </is>
      </c>
      <c r="O250" s="13" t="n">
        <v>41</v>
      </c>
      <c r="P250" s="13" t="inlineStr">
        <is>
          <t>unresolved - needs interactive location-selection flow</t>
        </is>
      </c>
      <c r="Q250" s="13" t="inlineStr">
        <is>
          <t>curl 200, 11.8KB Kendo-UI shell (no inline data). Playwright 7s network capture triggered zero XHR to a data endpoint -&gt; page likely gates behind a location/county selector (site references '/Settings/Location') before the grid loads.</t>
        </is>
      </c>
      <c r="R250" s="13" t="b">
        <v>1</v>
      </c>
      <c r="S250" s="13" t="inlineStr">
        <is>
          <t>Official Competition Council feed, 7 participating chains (Mega Image, Lidl, Kaufland, Selgros, Carrefour, Penny, Profi) with a dedicated capped-commercial-margin section (41 products: bread, milk, telemea, yoghurt, flour, eggs, oil, chicken, pork, tomatoes, onions, sugar, potatoes). High value but needs one more probing session to find the grid's data endpoint.</t>
        </is>
      </c>
      <c r="T250" s="13" t="inlineStr"/>
    </row>
    <row r="251">
      <c r="A251" s="13" t="inlineStr">
        <is>
          <t>eca</t>
        </is>
      </c>
      <c r="B251" s="13" t="inlineStr">
        <is>
          <t>germany</t>
        </is>
      </c>
      <c r="C251" s="13" t="inlineStr">
        <is>
          <t>mytime.de</t>
        </is>
      </c>
      <c r="D251" s="13" t="inlineStr">
        <is>
          <t>https://www.mytime.de/</t>
        </is>
      </c>
      <c r="E251" s="13" t="inlineStr">
        <is>
          <t>TIER_2</t>
        </is>
      </c>
      <c r="F251" s="13" t="inlineStr">
        <is>
          <t>medium</t>
        </is>
      </c>
      <c r="G251" s="13" t="inlineStr">
        <is>
          <t>Wave 5</t>
        </is>
      </c>
      <c r="H251" s="13" t="inlineStr">
        <is>
          <t>spider</t>
        </is>
      </c>
      <c r="I251" s="13" t="inlineStr">
        <is>
          <t>Playwright DISCOVERY pass first - find the internal JSON endpoint, then scrape it over plain HTTP</t>
        </is>
      </c>
      <c r="J251" s="13" t="inlineStr">
        <is>
          <t>Z_bespoke</t>
        </is>
      </c>
      <c r="K251" s="13" t="inlineStr">
        <is>
          <t>Custom</t>
        </is>
      </c>
      <c r="L251" s="13" t="inlineStr">
        <is>
          <t>retailer_sku</t>
        </is>
      </c>
      <c r="M251" s="13" t="inlineStr">
        <is>
          <t>supermarket</t>
        </is>
      </c>
      <c r="N251" s="13" t="inlineStr">
        <is>
          <t>EUR</t>
        </is>
      </c>
      <c r="O251" s="13" t="n">
        <v>40</v>
      </c>
      <c r="P251" s="13" t="inlineStr">
        <is>
          <t>not fully isolated</t>
        </is>
      </c>
      <c r="Q251" s="13" t="inlineStr">
        <is>
          <t>curl 200, 300KB, some real prices found in raw HTML: '2,49 €', '3,49 €' mixed with '0,00 €' cart placeholders</t>
        </is>
      </c>
      <c r="R251" s="13" t="b">
        <v>1</v>
      </c>
      <c r="S251" s="13" t="inlineStr">
        <is>
          <t>Full-assortment nationwide per CSV; partial price evidence found, category page would confirm depth.</t>
        </is>
      </c>
      <c r="T251" s="13" t="inlineStr"/>
    </row>
    <row r="252">
      <c r="A252" s="13" t="inlineStr">
        <is>
          <t>ssa</t>
        </is>
      </c>
      <c r="B252" s="13" t="inlineStr">
        <is>
          <t>senegal</t>
        </is>
      </c>
      <c r="C252" s="13" t="inlineStr">
        <is>
          <t>DiborMarket</t>
        </is>
      </c>
      <c r="D252" s="13" t="inlineStr">
        <is>
          <t>https://lafermededibor.com/</t>
        </is>
      </c>
      <c r="E252" s="13" t="inlineStr">
        <is>
          <t>TIER_2</t>
        </is>
      </c>
      <c r="F252" s="13" t="inlineStr">
        <is>
          <t>medium</t>
        </is>
      </c>
      <c r="G252" s="13" t="inlineStr">
        <is>
          <t>Wave 5</t>
        </is>
      </c>
      <c r="H252" s="13" t="inlineStr">
        <is>
          <t>spider</t>
        </is>
      </c>
      <c r="I252" s="13" t="inlineStr">
        <is>
          <t>Playwright DISCOVERY pass first - find the internal JSON endpoint, then scrape it over plain HTTP</t>
        </is>
      </c>
      <c r="J252" s="13" t="inlineStr">
        <is>
          <t>Z_bespoke</t>
        </is>
      </c>
      <c r="K252" s="13" t="inlineStr">
        <is>
          <t>Custom</t>
        </is>
      </c>
      <c r="L252" s="13" t="inlineStr">
        <is>
          <t>retailer_sku</t>
        </is>
      </c>
      <c r="M252" s="13" t="inlineStr">
        <is>
          <t>supermarket</t>
        </is>
      </c>
      <c r="N252" s="13" t="inlineStr">
        <is>
          <t>XOF</t>
        </is>
      </c>
      <c r="O252" s="13" t="n">
        <v>25</v>
      </c>
      <c r="P252" s="13" t="inlineStr">
        <is>
          <t>unresolved -- homepage only</t>
        </is>
      </c>
      <c r="Q252" s="13" t="inlineStr">
        <is>
          <t>GET / -&gt; 200, 15.8KB HTML, no SPA markers (no id=app/root, no ng-version), but no price class or FCFA pattern matched in the homepage HTML either -- catalogue likely lives on a /shop or category path not probed this pass.</t>
        </is>
      </c>
      <c r="R252" s="13" t="b">
        <v>1</v>
      </c>
      <c r="S252" s="13" t="inlineStr">
        <is>
          <t>Prior research is specific enough to trust directionally (feuille de manioc, madd, gombo, diakhatou aubergine, graded 5/10/25kg onion and potato sacks) -- this is the only source in the shard reaching those local-item leaves, but I could not independently re-verify a live price this pass.</t>
        </is>
      </c>
      <c r="T252" s="13" t="inlineStr"/>
    </row>
    <row r="253">
      <c r="A253" s="13" t="inlineStr">
        <is>
          <t>eca</t>
        </is>
      </c>
      <c r="B253" s="13" t="inlineStr">
        <is>
          <t>serbia</t>
        </is>
      </c>
      <c r="C253" s="13" t="inlineStr">
        <is>
          <t>Maxi</t>
        </is>
      </c>
      <c r="D253" s="13" t="inlineStr">
        <is>
          <t>https://www.maxi.rs/</t>
        </is>
      </c>
      <c r="E253" s="13" t="inlineStr">
        <is>
          <t>TIER_2</t>
        </is>
      </c>
      <c r="F253" s="13" t="inlineStr">
        <is>
          <t>medium</t>
        </is>
      </c>
      <c r="G253" s="13" t="inlineStr">
        <is>
          <t>Wave 5</t>
        </is>
      </c>
      <c r="H253" s="13" t="inlineStr">
        <is>
          <t>spider</t>
        </is>
      </c>
      <c r="I253" s="13" t="inlineStr">
        <is>
          <t>Playwright DISCOVERY pass first - find the internal JSON endpoint, then scrape it over plain HTTP</t>
        </is>
      </c>
      <c r="J253" s="13" t="inlineStr">
        <is>
          <t>Z_bespoke</t>
        </is>
      </c>
      <c r="K253" s="13" t="inlineStr">
        <is>
          <t>Next.js</t>
        </is>
      </c>
      <c r="L253" s="13" t="inlineStr">
        <is>
          <t>retailer_sku</t>
        </is>
      </c>
      <c r="M253" s="13" t="inlineStr">
        <is>
          <t>supermarket</t>
        </is>
      </c>
      <c r="N253" s="13" t="inlineStr">
        <is>
          <t>RSD</t>
        </is>
      </c>
      <c r="O253" s="13" t="n">
        <v>20</v>
      </c>
      <c r="P253" s="13" t="inlineStr">
        <is>
          <t>category tree confirmed, product/price endpoint not isolated</t>
        </is>
      </c>
      <c r="Q253" s="13" t="inlineStr">
        <is>
          <t>curl 200, 1.14MB, Next.js + GraphQL detected. Real top-level category tile confirmed in raw HTML: data-testid='category-tile' aria-label='Mlecni proizvodi i jaja' (Dairy products and eggs) linking to /Mlechni-proizvodi-i-jaja/c/02 - category structure confirmed but per-product prices not yet isolated</t>
        </is>
      </c>
      <c r="R253" s="13" t="b">
        <v>1</v>
      </c>
      <c r="S253" s="13" t="inlineStr">
        <is>
          <t>Delhaize-group national leader; also on Wolt/Glovo in 14 cities per CSV. Small partial credit given confirmed dairy category.</t>
        </is>
      </c>
      <c r="T253" s="13" t="inlineStr"/>
    </row>
    <row r="254">
      <c r="A254" s="13" t="inlineStr">
        <is>
          <t>sar</t>
        </is>
      </c>
      <c r="B254" s="13" t="inlineStr">
        <is>
          <t>sri_lanka</t>
        </is>
      </c>
      <c r="C254" s="13" t="inlineStr">
        <is>
          <t>HARTI -- Daily &amp; Weekly Food Commodities Bulletin</t>
        </is>
      </c>
      <c r="D254" s="13" t="inlineStr">
        <is>
          <t>http://www.harti.gov.lk/daily-price.php</t>
        </is>
      </c>
      <c r="E254" s="13" t="inlineStr">
        <is>
          <t>TIER_2</t>
        </is>
      </c>
      <c r="F254" s="13" t="inlineStr">
        <is>
          <t>medium</t>
        </is>
      </c>
      <c r="G254" s="13" t="inlineStr">
        <is>
          <t>Wave 5</t>
        </is>
      </c>
      <c r="H254" s="13" t="inlineStr">
        <is>
          <t>fetcher</t>
        </is>
      </c>
      <c r="I254" s="13" t="inlineStr">
        <is>
          <t>Playwright DISCOVERY pass first - find the internal JSON endpoint, then scrape it over plain HTTP</t>
        </is>
      </c>
      <c r="J254" s="13" t="inlineStr">
        <is>
          <t>Z_bespoke</t>
        </is>
      </c>
      <c r="K254" s="13" t="inlineStr">
        <is>
          <t>PDF bulletin archive (no auth)</t>
        </is>
      </c>
      <c r="L254" s="13" t="inlineStr">
        <is>
          <t>official_avg</t>
        </is>
      </c>
      <c r="M254" s="13" t="inlineStr">
        <is>
          <t>official_avg</t>
        </is>
      </c>
      <c r="N254" s="13" t="inlineStr">
        <is>
          <t>LKR</t>
        </is>
      </c>
      <c r="O254" s="13" t="n">
        <v>10</v>
      </c>
      <c r="P254" s="13" t="inlineStr">
        <is>
          <t>assets/pdf/food_price/{daily,weekly}/{eng,sin}/{year}/[month/]{file}.pdf</t>
        </is>
      </c>
      <c r="Q254" s="13" t="inlineStr">
        <is>
          <t>GET /daily-price.php -&gt; 200, listing daily PDF bulletins back to 2015 at a predictable path (assets/pdf/food_price/daily/eng/{year}/{month}/daily_{DD-MM-YYYY}.pdf). Sampled 2015-08-03 PDF (200/99KB) via pdftotext: 'Wholesale Prices of Rice &amp; Subsidiary Food Crops', Pettah market, item/range/average/change columns for Nadu/Samba/Kekulu rice grades, Dried Chillies, Onions (Sinnan/Vedalan/imported), Potatoes. Weekly bulletin also exists in English (assets/pdf/food_price/weekly/eng/2026/weekly_10_2026_Eng.pdf, confirmed link present) and Sinhala; sampled Sinhala weekly PDF (2.97MB) shows broader coverage: rice, onions, potatoes, imported dried chillies, vegetables (carrots, cabbage), fish (mackerel).</t>
        </is>
      </c>
      <c r="R254" s="13" t="b">
        <v>0</v>
      </c>
      <c r="S254" s="13" t="inlineStr">
        <is>
          <t>Wholesale (Pettah market) rice + subsidiary-crop feed, PDF-only (needs a table-extraction step, e.g. pdftotext/camelot, not a JSON walk). fnb_leaves_est is the INCREMENTAL contribution over DCS's retail feed -- most of what HARTI covers (rice grades, onions, chilies, potatoes) already overlaps DCS. Kept mainly for the wholesale/retail cross-check it enables, and because the weekly bulletin's vegetable/fish mentions suggest slightly broader coverage than the daily one -- would need a full PDF parse to confirm exact leaf count.</t>
        </is>
      </c>
      <c r="T254" s="13" t="inlineStr"/>
    </row>
    <row r="255">
      <c r="A255" s="13" t="inlineStr">
        <is>
          <t>eca</t>
        </is>
      </c>
      <c r="B255" s="13" t="inlineStr">
        <is>
          <t>norway</t>
        </is>
      </c>
      <c r="C255" s="13" t="inlineStr">
        <is>
          <t>Vinmonopolet</t>
        </is>
      </c>
      <c r="D255" s="13" t="inlineStr">
        <is>
          <t>https://www.vinmonopolet.no/</t>
        </is>
      </c>
      <c r="E255" s="13" t="inlineStr">
        <is>
          <t>TIER_2</t>
        </is>
      </c>
      <c r="F255" s="13" t="inlineStr">
        <is>
          <t>medium</t>
        </is>
      </c>
      <c r="G255" s="13" t="inlineStr">
        <is>
          <t>Wave 5</t>
        </is>
      </c>
      <c r="H255" s="13" t="inlineStr">
        <is>
          <t>fetcher</t>
        </is>
      </c>
      <c r="I255" s="13" t="inlineStr">
        <is>
          <t>Playwright DISCOVERY pass first - find the internal JSON endpoint, then scrape it over plain HTTP</t>
        </is>
      </c>
      <c r="J255" s="13" t="inlineStr">
        <is>
          <t>Z_bespoke</t>
        </is>
      </c>
      <c r="K255" s="13" t="inlineStr">
        <is>
          <t>Custom</t>
        </is>
      </c>
      <c r="L255" s="13" t="inlineStr">
        <is>
          <t>official_avg</t>
        </is>
      </c>
      <c r="M255" s="13" t="inlineStr">
        <is>
          <t>official</t>
        </is>
      </c>
      <c r="N255" s="13" t="inlineStr">
        <is>
          <t>NOK</t>
        </is>
      </c>
      <c r="O255" s="13" t="n">
        <v>9</v>
      </c>
      <c r="P255" s="13" t="inlineStr">
        <is>
          <t>not found (search guess 404'd)</t>
        </is>
      </c>
      <c r="Q255" s="13" t="inlineStr">
        <is>
          <t>curl 200, 38.2KB homepage; nav grep confirms real alcohol-category names: 'Alkoholfritt' (non-alcoholic), 'Aromatisert vin' (aromatized wine), 'Brennevin' (spirits), 'Fruktvin' (fruit wine), 'Alle varer' (all products) - a guessed /sok?q= search path 404'd</t>
        </is>
      </c>
      <c r="R255" s="13" t="b">
        <v>1</v>
      </c>
      <c r="S255" s="13" t="inlineStr">
        <is>
          <t>State alcohol monopoly - administered prices per CSV. Category evidence confirms full COICOP 02.1 alcohol range; complete national catalogue once the product/search endpoint is found.</t>
        </is>
      </c>
      <c r="T255" s="13" t="inlineStr"/>
    </row>
    <row r="256">
      <c r="A256" s="13" t="inlineStr">
        <is>
          <t>eca</t>
        </is>
      </c>
      <c r="B256" s="13" t="inlineStr">
        <is>
          <t>romania</t>
        </is>
      </c>
      <c r="C256" s="13" t="inlineStr">
        <is>
          <t>Mega Image</t>
        </is>
      </c>
      <c r="D256" s="13" t="inlineStr">
        <is>
          <t>https://www.mega-image.ro/</t>
        </is>
      </c>
      <c r="E256" s="13" t="inlineStr">
        <is>
          <t>TIER_2</t>
        </is>
      </c>
      <c r="F256" s="13" t="inlineStr">
        <is>
          <t>medium</t>
        </is>
      </c>
      <c r="G256" s="13" t="inlineStr">
        <is>
          <t>Wave 5</t>
        </is>
      </c>
      <c r="H256" s="13" t="inlineStr">
        <is>
          <t>spider</t>
        </is>
      </c>
      <c r="I256" s="13" t="inlineStr">
        <is>
          <t>Playwright DISCOVERY pass first - find the internal JSON endpoint, then scrape it over plain HTTP</t>
        </is>
      </c>
      <c r="J256" s="13" t="inlineStr">
        <is>
          <t>Z_bespoke</t>
        </is>
      </c>
      <c r="K256" s="13" t="inlineStr">
        <is>
          <t>Next.js</t>
        </is>
      </c>
      <c r="L256" s="13" t="inlineStr">
        <is>
          <t>retailer_sku</t>
        </is>
      </c>
      <c r="M256" s="13" t="inlineStr">
        <is>
          <t>supermarket</t>
        </is>
      </c>
      <c r="N256" s="13" t="inlineStr">
        <is>
          <t>RON</t>
        </is>
      </c>
      <c r="O256" s="13" t="n">
        <v>0</v>
      </c>
      <c r="P256" s="13" t="inlineStr">
        <is>
          <t>not found</t>
        </is>
      </c>
      <c r="Q256" s="13" t="inlineStr">
        <is>
          <t>curl 200, 1.29MB, Next.js + GraphQL detected; only match on homepage was a '0,00 Lei' basket-total placeholder, no product prices confirmed yet</t>
        </is>
      </c>
      <c r="R256" s="13" t="b">
        <v>1</v>
      </c>
      <c r="S256" s="13" t="inlineStr">
        <is>
          <t>CSV flags CONNECT loyalty price vs standard price as a distinct field worth capturing once the category page is probed.</t>
        </is>
      </c>
      <c r="T256" s="13" t="inlineStr"/>
    </row>
    <row r="257">
      <c r="A257" s="13" t="inlineStr">
        <is>
          <t>eca</t>
        </is>
      </c>
      <c r="B257" s="13" t="inlineStr">
        <is>
          <t>romania</t>
        </is>
      </c>
      <c r="C257" s="13" t="inlineStr">
        <is>
          <t>Kaufland Romania</t>
        </is>
      </c>
      <c r="D257" s="13" t="inlineStr">
        <is>
          <t>https://www.kaufland.ro/</t>
        </is>
      </c>
      <c r="E257" s="13" t="inlineStr">
        <is>
          <t>TIER_2</t>
        </is>
      </c>
      <c r="F257" s="13" t="inlineStr">
        <is>
          <t>medium</t>
        </is>
      </c>
      <c r="G257" s="13" t="inlineStr">
        <is>
          <t>Wave 5</t>
        </is>
      </c>
      <c r="H257" s="13" t="inlineStr">
        <is>
          <t>spider</t>
        </is>
      </c>
      <c r="I257" s="13" t="inlineStr">
        <is>
          <t>Playwright DISCOVERY pass first - find the internal JSON endpoint, then scrape it over plain HTTP</t>
        </is>
      </c>
      <c r="J257" s="13" t="inlineStr">
        <is>
          <t>Z_bespoke</t>
        </is>
      </c>
      <c r="K257" s="13" t="inlineStr">
        <is>
          <t>Custom/Enterprise</t>
        </is>
      </c>
      <c r="L257" s="13" t="inlineStr">
        <is>
          <t>retailer_sku</t>
        </is>
      </c>
      <c r="M257" s="13" t="inlineStr">
        <is>
          <t>supermarket</t>
        </is>
      </c>
      <c r="N257" s="13" t="inlineStr">
        <is>
          <t>RON</t>
        </is>
      </c>
      <c r="O257" s="13" t="n">
        <v>0</v>
      </c>
      <c r="P257" s="13" t="inlineStr">
        <is>
          <t>not found</t>
        </is>
      </c>
      <c r="Q257" s="13" t="inlineStr">
        <is>
          <t>curl 200, 323KB (NOT blocked, unlike kaufland.de which shows an explicit 'Zugriff blockiert' page) - only match was a loyalty-copy '0,01 lei' placeholder, no product prices confirmed</t>
        </is>
      </c>
      <c r="R257" s="13" t="b">
        <v>1</v>
      </c>
      <c r="S257" s="13" t="inlineStr">
        <is>
          <t>WAF posture differs by country/TLD from the German tenant - worth a follow-up category probe.</t>
        </is>
      </c>
      <c r="T257" s="13" t="inlineStr"/>
    </row>
    <row r="258">
      <c r="A258" s="13" t="inlineStr">
        <is>
          <t>eca</t>
        </is>
      </c>
      <c r="B258" s="13" t="inlineStr">
        <is>
          <t>romania</t>
        </is>
      </c>
      <c r="C258" s="13" t="inlineStr">
        <is>
          <t>Auchan Romania</t>
        </is>
      </c>
      <c r="D258" s="13" t="inlineStr">
        <is>
          <t>https://www.auchan.ro/</t>
        </is>
      </c>
      <c r="E258" s="13" t="inlineStr">
        <is>
          <t>TIER_2</t>
        </is>
      </c>
      <c r="F258" s="13" t="inlineStr">
        <is>
          <t>medium</t>
        </is>
      </c>
      <c r="G258" s="13" t="inlineStr">
        <is>
          <t>Wave 5</t>
        </is>
      </c>
      <c r="H258" s="13" t="inlineStr">
        <is>
          <t>spider</t>
        </is>
      </c>
      <c r="I258" s="13" t="inlineStr">
        <is>
          <t>Playwright DISCOVERY pass first - find the internal JSON endpoint, then scrape it over plain HTTP</t>
        </is>
      </c>
      <c r="J258" s="13" t="inlineStr">
        <is>
          <t>Z_bespoke</t>
        </is>
      </c>
      <c r="K258" s="13" t="inlineStr">
        <is>
          <t>Custom/Enterprise</t>
        </is>
      </c>
      <c r="L258" s="13" t="inlineStr">
        <is>
          <t>retailer_sku</t>
        </is>
      </c>
      <c r="M258" s="13" t="inlineStr">
        <is>
          <t>supermarket</t>
        </is>
      </c>
      <c r="N258" s="13" t="inlineStr">
        <is>
          <t>RON</t>
        </is>
      </c>
      <c r="O258" s="13" t="n">
        <v>0</v>
      </c>
      <c r="P258" s="13" t="inlineStr">
        <is>
          <t>not found</t>
        </is>
      </c>
      <c r="Q258" s="13" t="inlineStr">
        <is>
          <t>curl 200, 4.0MB page, GraphQL detected, no price pattern matched in raw regex sweep (page too large/complex for a quick grep to be conclusive)</t>
        </is>
      </c>
      <c r="R258" s="13" t="b">
        <v>1</v>
      </c>
      <c r="S258" s="13" t="inlineStr">
        <is>
          <t>MyCLUB loyalty tier per CSV; not blocked, just not confirmed within budget.</t>
        </is>
      </c>
      <c r="T258" s="13" t="inlineStr"/>
    </row>
    <row r="259">
      <c r="A259" s="13" t="inlineStr">
        <is>
          <t>eca</t>
        </is>
      </c>
      <c r="B259" s="13" t="inlineStr">
        <is>
          <t>romania</t>
        </is>
      </c>
      <c r="C259" s="13" t="inlineStr">
        <is>
          <t>AlimentaraOnline</t>
        </is>
      </c>
      <c r="D259" s="13" t="inlineStr">
        <is>
          <t>https://www.alimentaraonline.com/</t>
        </is>
      </c>
      <c r="E259" s="13" t="inlineStr">
        <is>
          <t>TIER_2</t>
        </is>
      </c>
      <c r="F259" s="13" t="inlineStr">
        <is>
          <t>medium</t>
        </is>
      </c>
      <c r="G259" s="13" t="inlineStr">
        <is>
          <t>Wave 5</t>
        </is>
      </c>
      <c r="H259" s="13" t="inlineStr">
        <is>
          <t>spider</t>
        </is>
      </c>
      <c r="I259" s="13" t="inlineStr">
        <is>
          <t>Playwright DISCOVERY pass first - find the internal JSON endpoint, then scrape it over plain HTTP</t>
        </is>
      </c>
      <c r="J259" s="13" t="inlineStr">
        <is>
          <t>Z_bespoke</t>
        </is>
      </c>
      <c r="K259" s="13" t="inlineStr">
        <is>
          <t>Custom</t>
        </is>
      </c>
      <c r="L259" s="13" t="inlineStr">
        <is>
          <t>retailer_sku</t>
        </is>
      </c>
      <c r="M259" s="13" t="inlineStr">
        <is>
          <t>supermarket</t>
        </is>
      </c>
      <c r="N259" s="13" t="inlineStr">
        <is>
          <t>RON</t>
        </is>
      </c>
      <c r="O259" s="13" t="n">
        <v>0</v>
      </c>
      <c r="P259" s="13" t="inlineStr">
        <is>
          <t>not found</t>
        </is>
      </c>
      <c r="Q259" s="13" t="inlineStr">
        <is>
          <t>curl 200, 1.38MB, no price pattern matched on homepage</t>
        </is>
      </c>
      <c r="R259" s="13" t="b">
        <v>1</v>
      </c>
      <c r="S259" s="13" t="inlineStr">
        <is>
          <t>Romanian-products and plant-based verticals per CSV.</t>
        </is>
      </c>
      <c r="T259" s="13" t="inlineStr"/>
    </row>
    <row r="260">
      <c r="A260" s="13" t="inlineStr">
        <is>
          <t>eca</t>
        </is>
      </c>
      <c r="B260" s="13" t="inlineStr">
        <is>
          <t>malta</t>
        </is>
      </c>
      <c r="C260" s="13" t="inlineStr">
        <is>
          <t>Welbee's</t>
        </is>
      </c>
      <c r="D260" s="13" t="inlineStr">
        <is>
          <t>https://welbees.mt/</t>
        </is>
      </c>
      <c r="E260" s="13" t="inlineStr">
        <is>
          <t>TIER_2</t>
        </is>
      </c>
      <c r="F260" s="13" t="inlineStr">
        <is>
          <t>medium</t>
        </is>
      </c>
      <c r="G260" s="13" t="inlineStr">
        <is>
          <t>Wave 5</t>
        </is>
      </c>
      <c r="H260" s="13" t="inlineStr">
        <is>
          <t>spider</t>
        </is>
      </c>
      <c r="I260" s="13" t="inlineStr">
        <is>
          <t>Playwright DISCOVERY pass first - find the internal JSON endpoint, then scrape it over plain HTTP</t>
        </is>
      </c>
      <c r="J260" s="13" t="inlineStr">
        <is>
          <t>Z_bespoke</t>
        </is>
      </c>
      <c r="K260" s="13" t="inlineStr">
        <is>
          <t>Custom</t>
        </is>
      </c>
      <c r="L260" s="13" t="inlineStr">
        <is>
          <t>retailer_sku</t>
        </is>
      </c>
      <c r="M260" s="13" t="inlineStr">
        <is>
          <t>supermarket</t>
        </is>
      </c>
      <c r="N260" s="13" t="inlineStr">
        <is>
          <t>EUR</t>
        </is>
      </c>
      <c r="O260" s="13" t="n">
        <v>0</v>
      </c>
      <c r="P260" s="13" t="inlineStr">
        <is>
          <t>not isolated yet - needs a longer/targeted network trace</t>
        </is>
      </c>
      <c r="Q260" s="13" t="inlineStr">
        <is>
          <t>curl 200 on root but static HTML shows only EUR0.00 cart-total placeholders; Playwright-hydrated render of /shop/category/D-5431/bakery shows real prices (EUR0.80, EUR0.92 strikethrough, EUR0.25, EUR5.50, EUR6.25) but network-response capture found no internal JSON API in the 15s window - prices likely arrive via an inline data blob or a call outside the API/JSON content-type filter used</t>
        </is>
      </c>
      <c r="R260" s="13" t="b">
        <v>1</v>
      </c>
      <c r="S260" s="13" t="inlineStr">
        <is>
          <t>CSV URL (welbees.com.mt) had ZERO DNS records (NXDOMAIN, no A/AAAA/MX). Correct current domain found via WebSearch: welbees.mt. Deep category tree confirmed in nav: baby, bakery, butcher-counter, chilled-food, delicatessen, drinks, food-cupboard, frozen-food - a genuine full-line grocer once the endpoint is isolated.</t>
        </is>
      </c>
      <c r="T260" s="13" t="inlineStr"/>
    </row>
    <row r="261">
      <c r="A261" s="13" t="inlineStr">
        <is>
          <t>eca</t>
        </is>
      </c>
      <c r="B261" s="13" t="inlineStr">
        <is>
          <t>austria</t>
        </is>
      </c>
      <c r="C261" s="13" t="inlineStr">
        <is>
          <t>Unimarkt</t>
        </is>
      </c>
      <c r="D261" s="13" t="inlineStr">
        <is>
          <t>https://www.unimarkt.at/</t>
        </is>
      </c>
      <c r="E261" s="13" t="inlineStr">
        <is>
          <t>TIER_2</t>
        </is>
      </c>
      <c r="F261" s="13" t="inlineStr">
        <is>
          <t>medium</t>
        </is>
      </c>
      <c r="G261" s="13" t="inlineStr">
        <is>
          <t>Wave 5</t>
        </is>
      </c>
      <c r="H261" s="13" t="inlineStr">
        <is>
          <t>spider</t>
        </is>
      </c>
      <c r="I261" s="13" t="inlineStr">
        <is>
          <t>Playwright DISCOVERY pass first - find the internal JSON endpoint, then scrape it over plain HTTP</t>
        </is>
      </c>
      <c r="J261" s="13" t="inlineStr">
        <is>
          <t>Z_bespoke</t>
        </is>
      </c>
      <c r="K261" s="13" t="inlineStr">
        <is>
          <t>Custom/WordPress-hybrid</t>
        </is>
      </c>
      <c r="L261" s="13" t="inlineStr">
        <is>
          <t>retailer_sku</t>
        </is>
      </c>
      <c r="M261" s="13" t="inlineStr">
        <is>
          <t>supermarket</t>
        </is>
      </c>
      <c r="N261" s="13" t="inlineStr">
        <is>
          <t>EUR</t>
        </is>
      </c>
      <c r="O261" s="13" t="n">
        <v>0</v>
      </c>
      <c r="P261" s="13" t="inlineStr">
        <is>
          <t>not found</t>
        </is>
      </c>
      <c r="Q261" s="13" t="inlineStr">
        <is>
          <t>curl 200, 82.7KB, wp-content string found (likely a WP blog section, not necessarily the shop), no prices confirmed on homepage</t>
        </is>
      </c>
      <c r="R261" s="13" t="b">
        <v>0</v>
      </c>
      <c r="S261" s="13" t="inlineStr">
        <is>
          <t>Net-new discovery; upper-Austria regional chain.</t>
        </is>
      </c>
      <c r="T261" s="13" t="inlineStr"/>
    </row>
    <row r="262">
      <c r="A262" s="13" t="inlineStr">
        <is>
          <t>eca</t>
        </is>
      </c>
      <c r="B262" s="13" t="inlineStr">
        <is>
          <t>austria</t>
        </is>
      </c>
      <c r="C262" s="13" t="inlineStr">
        <is>
          <t>ADEG</t>
        </is>
      </c>
      <c r="D262" s="13" t="inlineStr">
        <is>
          <t>https://www.adeg.at/</t>
        </is>
      </c>
      <c r="E262" s="13" t="inlineStr">
        <is>
          <t>TIER_2</t>
        </is>
      </c>
      <c r="F262" s="13" t="inlineStr">
        <is>
          <t>medium</t>
        </is>
      </c>
      <c r="G262" s="13" t="inlineStr">
        <is>
          <t>Wave 5</t>
        </is>
      </c>
      <c r="H262" s="13" t="inlineStr">
        <is>
          <t>spider</t>
        </is>
      </c>
      <c r="I262" s="13" t="inlineStr">
        <is>
          <t>Playwright DISCOVERY pass first - find the internal JSON endpoint, then scrape it over plain HTTP</t>
        </is>
      </c>
      <c r="J262" s="13" t="inlineStr">
        <is>
          <t>Z_bespoke</t>
        </is>
      </c>
      <c r="K262" s="13" t="inlineStr">
        <is>
          <t>Custom</t>
        </is>
      </c>
      <c r="L262" s="13" t="inlineStr">
        <is>
          <t>retailer_sku</t>
        </is>
      </c>
      <c r="M262" s="13" t="inlineStr">
        <is>
          <t>supermarket</t>
        </is>
      </c>
      <c r="N262" s="13" t="inlineStr">
        <is>
          <t>EUR</t>
        </is>
      </c>
      <c r="O262" s="13" t="n">
        <v>0</v>
      </c>
      <c r="P262" s="13" t="inlineStr">
        <is>
          <t>not found</t>
        </is>
      </c>
      <c r="Q262" s="13" t="inlineStr">
        <is>
          <t>curl 200, 53.2KB, no prices confirmed on homepage</t>
        </is>
      </c>
      <c r="R262" s="13" t="b">
        <v>0</v>
      </c>
      <c r="S262" s="13" t="inlineStr">
        <is>
          <t>Net-new discovery; REWE-Austria-owned convenience/rural chain.</t>
        </is>
      </c>
      <c r="T262" s="13" t="inlineStr"/>
    </row>
    <row r="263">
      <c r="A263" s="13" t="inlineStr">
        <is>
          <t>eca</t>
        </is>
      </c>
      <c r="B263" s="13" t="inlineStr">
        <is>
          <t>germany</t>
        </is>
      </c>
      <c r="C263" s="13" t="inlineStr">
        <is>
          <t>Flaschenpost</t>
        </is>
      </c>
      <c r="D263" s="13" t="inlineStr">
        <is>
          <t>https://www.flaschenpost.de/</t>
        </is>
      </c>
      <c r="E263" s="13" t="inlineStr">
        <is>
          <t>TIER_2</t>
        </is>
      </c>
      <c r="F263" s="13" t="inlineStr">
        <is>
          <t>medium</t>
        </is>
      </c>
      <c r="G263" s="13" t="inlineStr">
        <is>
          <t>Wave 5</t>
        </is>
      </c>
      <c r="H263" s="13" t="inlineStr">
        <is>
          <t>spider</t>
        </is>
      </c>
      <c r="I263" s="13" t="inlineStr">
        <is>
          <t>Playwright DISCOVERY pass first - find the internal JSON endpoint, then scrape it over plain HTTP</t>
        </is>
      </c>
      <c r="J263" s="13" t="inlineStr">
        <is>
          <t>Z_bespoke</t>
        </is>
      </c>
      <c r="K263" s="13" t="inlineStr">
        <is>
          <t>Custom</t>
        </is>
      </c>
      <c r="L263" s="13" t="inlineStr">
        <is>
          <t>retailer_sku</t>
        </is>
      </c>
      <c r="M263" s="13" t="inlineStr">
        <is>
          <t>supermarket</t>
        </is>
      </c>
      <c r="N263" s="13" t="inlineStr">
        <is>
          <t>EUR</t>
        </is>
      </c>
      <c r="O263" s="13" t="n">
        <v>0</v>
      </c>
      <c r="P263" s="13" t="inlineStr">
        <is>
          <t>not found</t>
        </is>
      </c>
      <c r="Q263" s="13" t="inlineStr">
        <is>
          <t>curl 200, 2.5MB, no price pattern matched on homepage</t>
        </is>
      </c>
      <c r="R263" s="13" t="b">
        <v>1</v>
      </c>
      <c r="S263" s="13" t="inlineStr">
        <is>
          <t>Beverage specialist per CSV - narrow scope even if resolved, mostly COICOP 02 alcohol/beverage leaves.</t>
        </is>
      </c>
      <c r="T263" s="13" t="inlineStr"/>
    </row>
    <row r="264">
      <c r="A264" s="13" t="inlineStr">
        <is>
          <t>eca</t>
        </is>
      </c>
      <c r="B264" s="13" t="inlineStr">
        <is>
          <t>germany</t>
        </is>
      </c>
      <c r="C264" s="13" t="inlineStr">
        <is>
          <t>Picnic Germany</t>
        </is>
      </c>
      <c r="D264" s="13" t="inlineStr">
        <is>
          <t>https://picnic.app/de/</t>
        </is>
      </c>
      <c r="E264" s="13" t="inlineStr">
        <is>
          <t>TIER_2</t>
        </is>
      </c>
      <c r="F264" s="13" t="inlineStr">
        <is>
          <t>medium</t>
        </is>
      </c>
      <c r="G264" s="13" t="inlineStr">
        <is>
          <t>Wave 5</t>
        </is>
      </c>
      <c r="H264" s="13" t="inlineStr">
        <is>
          <t>spider</t>
        </is>
      </c>
      <c r="I264" s="13" t="inlineStr">
        <is>
          <t>Playwright DISCOVERY pass first - find the internal JSON endpoint, then scrape it over plain HTTP</t>
        </is>
      </c>
      <c r="J264" s="13" t="inlineStr">
        <is>
          <t>Z_bespoke</t>
        </is>
      </c>
      <c r="K264" s="13" t="inlineStr">
        <is>
          <t>Custom</t>
        </is>
      </c>
      <c r="L264" s="13" t="inlineStr">
        <is>
          <t>retailer_sku</t>
        </is>
      </c>
      <c r="M264" s="13" t="inlineStr">
        <is>
          <t>supermarket</t>
        </is>
      </c>
      <c r="N264" s="13" t="inlineStr">
        <is>
          <t>EUR</t>
        </is>
      </c>
      <c r="O264" s="13" t="n">
        <v>0</v>
      </c>
      <c r="P264" s="13" t="inlineStr">
        <is>
          <t>not checked</t>
        </is>
      </c>
      <c r="Q264" s="13" t="inlineStr">
        <is>
          <t>curl 200, 57KB, real supermarket landing page (not blocked), prices not checked within budget</t>
        </is>
      </c>
      <c r="R264" s="13" t="b">
        <v>1</v>
      </c>
      <c r="S264" s="13" t="inlineStr">
        <is>
          <t>-</t>
        </is>
      </c>
      <c r="T264" s="13" t="inlineStr"/>
    </row>
    <row r="265">
      <c r="A265" s="13" t="inlineStr">
        <is>
          <t>eca</t>
        </is>
      </c>
      <c r="B265" s="13" t="inlineStr">
        <is>
          <t>germany</t>
        </is>
      </c>
      <c r="C265" s="13" t="inlineStr">
        <is>
          <t>getnow.de</t>
        </is>
      </c>
      <c r="D265" s="13" t="inlineStr">
        <is>
          <t>https://www.getnow.de/</t>
        </is>
      </c>
      <c r="E265" s="13" t="inlineStr">
        <is>
          <t>TIER_2</t>
        </is>
      </c>
      <c r="F265" s="13" t="inlineStr">
        <is>
          <t>medium</t>
        </is>
      </c>
      <c r="G265" s="13" t="inlineStr">
        <is>
          <t>Wave 5</t>
        </is>
      </c>
      <c r="H265" s="13" t="inlineStr">
        <is>
          <t>spider</t>
        </is>
      </c>
      <c r="I265" s="13" t="inlineStr">
        <is>
          <t>Playwright DISCOVERY pass first - find the internal JSON endpoint, then scrape it over plain HTTP</t>
        </is>
      </c>
      <c r="J265" s="13" t="inlineStr">
        <is>
          <t>Z_bespoke</t>
        </is>
      </c>
      <c r="K265" s="13" t="inlineStr">
        <is>
          <t>Custom</t>
        </is>
      </c>
      <c r="L265" s="13" t="inlineStr">
        <is>
          <t>retailer_sku</t>
        </is>
      </c>
      <c r="M265" s="13" t="inlineStr">
        <is>
          <t>supermarket</t>
        </is>
      </c>
      <c r="N265" s="13" t="inlineStr">
        <is>
          <t>EUR</t>
        </is>
      </c>
      <c r="O265" s="13" t="n">
        <v>0</v>
      </c>
      <c r="P265" s="13" t="inlineStr">
        <is>
          <t>not resolved</t>
        </is>
      </c>
      <c r="Q265" s="13" t="inlineStr">
        <is>
          <t>curl 301 redirect, not fully resolved within budget</t>
        </is>
      </c>
      <c r="R265" s="13" t="b">
        <v>1</v>
      </c>
      <c r="S265" s="13" t="inlineStr">
        <is>
          <t>METRO-supplied online supermarket per CSV.</t>
        </is>
      </c>
      <c r="T265" s="13" t="inlineStr"/>
    </row>
    <row r="266">
      <c r="A266" s="13" t="inlineStr">
        <is>
          <t>eca</t>
        </is>
      </c>
      <c r="B266" s="13" t="inlineStr">
        <is>
          <t>kazakhstan</t>
        </is>
      </c>
      <c r="C266" s="13" t="inlineStr">
        <is>
          <t>Arbuz.kz</t>
        </is>
      </c>
      <c r="D266" s="13" t="inlineStr">
        <is>
          <t>https://arbuz.kz/</t>
        </is>
      </c>
      <c r="E266" s="13" t="inlineStr">
        <is>
          <t>TIER_2</t>
        </is>
      </c>
      <c r="F266" s="13" t="inlineStr">
        <is>
          <t>medium</t>
        </is>
      </c>
      <c r="G266" s="13" t="inlineStr">
        <is>
          <t>Wave 5</t>
        </is>
      </c>
      <c r="H266" s="13" t="inlineStr">
        <is>
          <t>spider</t>
        </is>
      </c>
      <c r="I266" s="13" t="inlineStr">
        <is>
          <t>Playwright DISCOVERY pass first - find the internal JSON endpoint, then scrape it over plain HTTP</t>
        </is>
      </c>
      <c r="J266" s="13" t="inlineStr">
        <is>
          <t>Z_bespoke</t>
        </is>
      </c>
      <c r="K266" s="13" t="inlineStr">
        <is>
          <t>Custom</t>
        </is>
      </c>
      <c r="L266" s="13" t="inlineStr">
        <is>
          <t>retailer_sku</t>
        </is>
      </c>
      <c r="M266" s="13" t="inlineStr">
        <is>
          <t>supermarket</t>
        </is>
      </c>
      <c r="N266" s="13" t="inlineStr">
        <is>
          <t>KZT</t>
        </is>
      </c>
      <c r="O266" s="13" t="n">
        <v>0</v>
      </c>
      <c r="P266" s="13" t="inlineStr">
        <is>
          <t>not found</t>
        </is>
      </c>
      <c r="Q266" s="13" t="inlineStr">
        <is>
          <t>curl 200, 1.03MB homepage, no catalog links or price pattern matched</t>
        </is>
      </c>
      <c r="R266" s="13" t="b">
        <v>1</v>
      </c>
      <c r="S266" s="13" t="inlineStr">
        <is>
          <t>Major national online grocer per CSV; needs a category-page probe.</t>
        </is>
      </c>
      <c r="T266" s="13" t="inlineStr"/>
    </row>
    <row r="267">
      <c r="A267" s="13" t="inlineStr">
        <is>
          <t>eca</t>
        </is>
      </c>
      <c r="B267" s="13" t="inlineStr">
        <is>
          <t>kazakhstan</t>
        </is>
      </c>
      <c r="C267" s="13" t="inlineStr">
        <is>
          <t>Instashop.kz</t>
        </is>
      </c>
      <c r="D267" s="13" t="inlineStr">
        <is>
          <t>https://instashop.kz/en/almaty/stores</t>
        </is>
      </c>
      <c r="E267" s="13" t="inlineStr">
        <is>
          <t>TIER_2</t>
        </is>
      </c>
      <c r="F267" s="13" t="inlineStr">
        <is>
          <t>medium</t>
        </is>
      </c>
      <c r="G267" s="13" t="inlineStr">
        <is>
          <t>Wave 5</t>
        </is>
      </c>
      <c r="H267" s="13" t="inlineStr">
        <is>
          <t>fetcher</t>
        </is>
      </c>
      <c r="I267" s="13" t="inlineStr">
        <is>
          <t>Playwright DISCOVERY pass first - find the internal JSON endpoint, then scrape it over plain HTTP</t>
        </is>
      </c>
      <c r="J267" s="13" t="inlineStr">
        <is>
          <t>Z_bespoke</t>
        </is>
      </c>
      <c r="K267" s="13" t="inlineStr">
        <is>
          <t>Custom</t>
        </is>
      </c>
      <c r="L267" s="13" t="inlineStr">
        <is>
          <t>aggregate_proxy</t>
        </is>
      </c>
      <c r="M267" s="13" t="inlineStr">
        <is>
          <t>aggregator</t>
        </is>
      </c>
      <c r="N267" s="13" t="inlineStr">
        <is>
          <t>KZT</t>
        </is>
      </c>
      <c r="O267" s="13" t="n">
        <v>0</v>
      </c>
      <c r="P267" s="13" t="inlineStr">
        <is>
          <t>not found (store list only)</t>
        </is>
      </c>
      <c r="Q267" s="13" t="inlineStr">
        <is>
          <t>curl 200, 60KB - this is the store directory page (by design, no product prices here); need a per-store product listing URL</t>
        </is>
      </c>
      <c r="R267" s="13" t="b">
        <v>1</v>
      </c>
      <c r="S267" s="13" t="inlineStr">
        <is>
          <t>51+ Almaty stores incl. traditional bazaar verticals (Green bazar, Turksib) alongside supermarkets - formal/informal price-gap potential once a store's product page is found.</t>
        </is>
      </c>
      <c r="T267" s="13" t="inlineStr"/>
    </row>
    <row r="268">
      <c r="A268" s="13" t="inlineStr">
        <is>
          <t>eca</t>
        </is>
      </c>
      <c r="B268" s="13" t="inlineStr">
        <is>
          <t>kazakhstan</t>
        </is>
      </c>
      <c r="C268" s="13" t="inlineStr">
        <is>
          <t>Magnum</t>
        </is>
      </c>
      <c r="D268" s="13" t="inlineStr">
        <is>
          <t>https://magnum.kz/</t>
        </is>
      </c>
      <c r="E268" s="13" t="inlineStr">
        <is>
          <t>TIER_2</t>
        </is>
      </c>
      <c r="F268" s="13" t="inlineStr">
        <is>
          <t>medium</t>
        </is>
      </c>
      <c r="G268" s="13" t="inlineStr">
        <is>
          <t>Wave 5</t>
        </is>
      </c>
      <c r="H268" s="13" t="inlineStr">
        <is>
          <t>spider</t>
        </is>
      </c>
      <c r="I268" s="13" t="inlineStr">
        <is>
          <t>Playwright DISCOVERY pass first - find the internal JSON endpoint, then scrape it over plain HTTP</t>
        </is>
      </c>
      <c r="J268" s="13" t="inlineStr">
        <is>
          <t>Z_bespoke</t>
        </is>
      </c>
      <c r="K268" s="13" t="inlineStr">
        <is>
          <t>Nuxt</t>
        </is>
      </c>
      <c r="L268" s="13" t="inlineStr">
        <is>
          <t>retailer_sku</t>
        </is>
      </c>
      <c r="M268" s="13" t="inlineStr">
        <is>
          <t>supermarket</t>
        </is>
      </c>
      <c r="N268" s="13" t="inlineStr">
        <is>
          <t>KZT</t>
        </is>
      </c>
      <c r="O268" s="13" t="n">
        <v>0</v>
      </c>
      <c r="P268" s="13" t="inlineStr">
        <is>
          <t>not found</t>
        </is>
      </c>
      <c r="Q268" s="13" t="inlineStr">
        <is>
          <t>curl 200, 748KB, Nuxt detected, no price pattern matched on homepage</t>
        </is>
      </c>
      <c r="R268" s="13" t="b">
        <v>1</v>
      </c>
      <c r="S268" s="13" t="inlineStr">
        <is>
          <t>Largest Kazakh chain per CSV, 200+ branches; Kazakh/Russian bilingual names.</t>
        </is>
      </c>
      <c r="T268" s="13" t="inlineStr"/>
    </row>
    <row r="269">
      <c r="A269" s="13" t="inlineStr">
        <is>
          <t>eca</t>
        </is>
      </c>
      <c r="B269" s="13" t="inlineStr">
        <is>
          <t>kazakhstan</t>
        </is>
      </c>
      <c r="C269" s="13" t="inlineStr">
        <is>
          <t>MagnumOpt (wholesale)</t>
        </is>
      </c>
      <c r="D269" s="13" t="inlineStr">
        <is>
          <t>https://magnumopt.kz/</t>
        </is>
      </c>
      <c r="E269" s="13" t="inlineStr">
        <is>
          <t>TIER_2</t>
        </is>
      </c>
      <c r="F269" s="13" t="inlineStr">
        <is>
          <t>medium</t>
        </is>
      </c>
      <c r="G269" s="13" t="inlineStr">
        <is>
          <t>Wave 5</t>
        </is>
      </c>
      <c r="H269" s="13" t="inlineStr">
        <is>
          <t>fetcher</t>
        </is>
      </c>
      <c r="I269" s="13" t="inlineStr">
        <is>
          <t>Playwright DISCOVERY pass first - find the internal JSON endpoint, then scrape it over plain HTTP</t>
        </is>
      </c>
      <c r="J269" s="13" t="inlineStr">
        <is>
          <t>Z_bespoke</t>
        </is>
      </c>
      <c r="K269" s="13" t="inlineStr">
        <is>
          <t>Custom</t>
        </is>
      </c>
      <c r="L269" s="13" t="inlineStr">
        <is>
          <t>wholesale_avg</t>
        </is>
      </c>
      <c r="M269" s="13" t="inlineStr">
        <is>
          <t>wholesale</t>
        </is>
      </c>
      <c r="N269" s="13" t="inlineStr">
        <is>
          <t>KZT</t>
        </is>
      </c>
      <c r="O269" s="13" t="n">
        <v>0</v>
      </c>
      <c r="P269" s="13" t="inlineStr">
        <is>
          <t>not found</t>
        </is>
      </c>
      <c r="Q269" s="13" t="inlineStr">
        <is>
          <t>curl 200, 466KB homepage, no price pattern matched</t>
        </is>
      </c>
      <c r="R269" s="13" t="b">
        <v>1</v>
      </c>
      <c r="S269" s="13" t="inlineStr">
        <is>
          <t>Magnum's wholesale arm; CSV notes some pricing may need registration.</t>
        </is>
      </c>
      <c r="T269" s="13" t="inlineStr"/>
    </row>
    <row r="270">
      <c r="A270" s="13" t="inlineStr">
        <is>
          <t>eca</t>
        </is>
      </c>
      <c r="B270" s="13" t="inlineStr">
        <is>
          <t>kazakhstan</t>
        </is>
      </c>
      <c r="C270" s="13" t="inlineStr">
        <is>
          <t>Wolt Kazakhstan</t>
        </is>
      </c>
      <c r="D270" s="13" t="inlineStr">
        <is>
          <t>https://wolt.com/en/kaz/almaty/category/supermarkets</t>
        </is>
      </c>
      <c r="E270" s="13" t="inlineStr">
        <is>
          <t>TIER_2</t>
        </is>
      </c>
      <c r="F270" s="13" t="inlineStr">
        <is>
          <t>medium</t>
        </is>
      </c>
      <c r="G270" s="13" t="inlineStr">
        <is>
          <t>Wave 5</t>
        </is>
      </c>
      <c r="H270" s="13" t="inlineStr">
        <is>
          <t>fetcher</t>
        </is>
      </c>
      <c r="I270" s="13" t="inlineStr">
        <is>
          <t>Playwright DISCOVERY pass first - find the internal JSON endpoint, then scrape it over plain HTTP</t>
        </is>
      </c>
      <c r="J270" s="13" t="inlineStr">
        <is>
          <t>Z_bespoke</t>
        </is>
      </c>
      <c r="K270" s="13" t="inlineStr">
        <is>
          <t>React SPA</t>
        </is>
      </c>
      <c r="L270" s="13" t="inlineStr">
        <is>
          <t>aggregate_proxy</t>
        </is>
      </c>
      <c r="M270" s="13" t="inlineStr">
        <is>
          <t>aggregator</t>
        </is>
      </c>
      <c r="N270" s="13" t="inlineStr">
        <is>
          <t>KZT</t>
        </is>
      </c>
      <c r="O270" s="13" t="n">
        <v>0</v>
      </c>
      <c r="P270" s="13" t="inlineStr">
        <is>
          <t>SPA - needs Playwright render</t>
        </is>
      </c>
      <c r="Q270" s="13" t="inlineStr">
        <is>
          <t>curl 200, 1.79MB SPA shell; prices render as 'KZT0' placeholder pre-hydration - needs Playwright</t>
        </is>
      </c>
      <c r="R270" s="13" t="b">
        <v>1</v>
      </c>
      <c r="S270" s="13" t="inlineStr">
        <is>
          <t>Enumerates SMALL, TOIMART, Kulikov, damdala, M-Mart, A-Store, Birge Mart, Ruby Market, VkusVill, Eurospar, FlaminGo per CSV.</t>
        </is>
      </c>
      <c r="T270" s="13" t="inlineStr"/>
    </row>
    <row r="271">
      <c r="A271" s="13" t="inlineStr">
        <is>
          <t>eca</t>
        </is>
      </c>
      <c r="B271" s="13" t="inlineStr">
        <is>
          <t>serbia</t>
        </is>
      </c>
      <c r="C271" s="13" t="inlineStr">
        <is>
          <t>IDEA online</t>
        </is>
      </c>
      <c r="D271" s="13" t="inlineStr">
        <is>
          <t>https://online.idea.rs/</t>
        </is>
      </c>
      <c r="E271" s="13" t="inlineStr">
        <is>
          <t>TIER_2</t>
        </is>
      </c>
      <c r="F271" s="13" t="inlineStr">
        <is>
          <t>medium</t>
        </is>
      </c>
      <c r="G271" s="13" t="inlineStr">
        <is>
          <t>Wave 5</t>
        </is>
      </c>
      <c r="H271" s="13" t="inlineStr">
        <is>
          <t>spider</t>
        </is>
      </c>
      <c r="I271" s="13" t="inlineStr">
        <is>
          <t>Playwright DISCOVERY pass first - find the internal JSON endpoint, then scrape it over plain HTTP</t>
        </is>
      </c>
      <c r="J271" s="13" t="inlineStr">
        <is>
          <t>Z_bespoke</t>
        </is>
      </c>
      <c r="K271" s="13" t="inlineStr">
        <is>
          <t>AngularJS</t>
        </is>
      </c>
      <c r="L271" s="13" t="inlineStr">
        <is>
          <t>retailer_sku</t>
        </is>
      </c>
      <c r="M271" s="13" t="inlineStr">
        <is>
          <t>supermarket</t>
        </is>
      </c>
      <c r="N271" s="13" t="inlineStr">
        <is>
          <t>RSD</t>
        </is>
      </c>
      <c r="O271" s="13" t="n">
        <v>0</v>
      </c>
      <c r="P271" s="13" t="inlineStr">
        <is>
          <t>SPA, needs render</t>
        </is>
      </c>
      <c r="Q271" s="13" t="inlineStr">
        <is>
          <t>curl 200, only 5.5KB (AngularJS app shell, ng-app='im.webshop.ideaRsWsm') - needs Playwright render</t>
        </is>
      </c>
      <c r="R271" s="13" t="b">
        <v>1</v>
      </c>
      <c r="S271" s="13" t="inlineStr">
        <is>
          <t>-</t>
        </is>
      </c>
      <c r="T271" s="13" t="inlineStr"/>
    </row>
    <row r="272">
      <c r="A272" s="13" t="inlineStr">
        <is>
          <t>eca</t>
        </is>
      </c>
      <c r="B272" s="13" t="inlineStr">
        <is>
          <t>serbia</t>
        </is>
      </c>
      <c r="C272" s="13" t="inlineStr">
        <is>
          <t>Roda</t>
        </is>
      </c>
      <c r="D272" s="13" t="inlineStr">
        <is>
          <t>https://roda.rs/</t>
        </is>
      </c>
      <c r="E272" s="13" t="inlineStr">
        <is>
          <t>TIER_2</t>
        </is>
      </c>
      <c r="F272" s="13" t="inlineStr">
        <is>
          <t>medium</t>
        </is>
      </c>
      <c r="G272" s="13" t="inlineStr">
        <is>
          <t>Wave 5</t>
        </is>
      </c>
      <c r="H272" s="13" t="inlineStr">
        <is>
          <t>spider</t>
        </is>
      </c>
      <c r="I272" s="13" t="inlineStr">
        <is>
          <t>Playwright DISCOVERY pass first - find the internal JSON endpoint, then scrape it over plain HTTP</t>
        </is>
      </c>
      <c r="J272" s="13" t="inlineStr">
        <is>
          <t>Z_bespoke</t>
        </is>
      </c>
      <c r="K272" s="13" t="inlineStr">
        <is>
          <t>Next.js</t>
        </is>
      </c>
      <c r="L272" s="13" t="inlineStr">
        <is>
          <t>retailer_sku</t>
        </is>
      </c>
      <c r="M272" s="13" t="inlineStr">
        <is>
          <t>supermarket</t>
        </is>
      </c>
      <c r="N272" s="13" t="inlineStr">
        <is>
          <t>RSD</t>
        </is>
      </c>
      <c r="O272" s="13" t="n">
        <v>0</v>
      </c>
      <c r="P272" s="13" t="inlineStr">
        <is>
          <t>not found</t>
        </is>
      </c>
      <c r="Q272" s="13" t="inlineStr">
        <is>
          <t>curl 200, 237KB, __NEXT_DATA__ + wp-content mixed signals; regex matches on homepage were installment-plan copy ('Minimalni iznos rate: 1.000 RSD'), not product prices</t>
        </is>
      </c>
      <c r="R272" s="13" t="b">
        <v>1</v>
      </c>
      <c r="S272" s="13" t="inlineStr">
        <is>
          <t>IDEA-group banner with dated weekly catalogues per CSV.</t>
        </is>
      </c>
      <c r="T272" s="13" t="inlineStr"/>
    </row>
    <row r="273">
      <c r="A273" s="13" t="inlineStr">
        <is>
          <t>eca</t>
        </is>
      </c>
      <c r="B273" s="13" t="inlineStr">
        <is>
          <t>serbia</t>
        </is>
      </c>
      <c r="C273" s="13" t="inlineStr">
        <is>
          <t>eLakolije (Univerexport)</t>
        </is>
      </c>
      <c r="D273" s="13" t="inlineStr">
        <is>
          <t>https://elakolije.rs/</t>
        </is>
      </c>
      <c r="E273" s="13" t="inlineStr">
        <is>
          <t>TIER_2</t>
        </is>
      </c>
      <c r="F273" s="13" t="inlineStr">
        <is>
          <t>medium</t>
        </is>
      </c>
      <c r="G273" s="13" t="inlineStr">
        <is>
          <t>Wave 5</t>
        </is>
      </c>
      <c r="H273" s="13" t="inlineStr">
        <is>
          <t>spider</t>
        </is>
      </c>
      <c r="I273" s="13" t="inlineStr">
        <is>
          <t>Playwright DISCOVERY pass first - find the internal JSON endpoint, then scrape it over plain HTTP</t>
        </is>
      </c>
      <c r="J273" s="13" t="inlineStr">
        <is>
          <t>Z_bespoke</t>
        </is>
      </c>
      <c r="K273" s="13" t="inlineStr">
        <is>
          <t>Custom</t>
        </is>
      </c>
      <c r="L273" s="13" t="inlineStr">
        <is>
          <t>retailer_sku</t>
        </is>
      </c>
      <c r="M273" s="13" t="inlineStr">
        <is>
          <t>supermarket</t>
        </is>
      </c>
      <c r="N273" s="13" t="inlineStr">
        <is>
          <t>RSD</t>
        </is>
      </c>
      <c r="O273" s="13" t="n">
        <v>0</v>
      </c>
      <c r="P273" s="13" t="inlineStr">
        <is>
          <t>not found</t>
        </is>
      </c>
      <c r="Q273" s="13" t="inlineStr">
        <is>
          <t>curl 200, 151KB, no price pattern or category names matched</t>
        </is>
      </c>
      <c r="R273" s="13" t="b">
        <v>1</v>
      </c>
      <c r="S273" s="13" t="inlineStr">
        <is>
          <t>Largest domestic Serbian chain per CSV (190+ stores), owns its own meat/organic farm - would be a strong get if resolved.</t>
        </is>
      </c>
      <c r="T273" s="13" t="inlineStr"/>
    </row>
    <row r="274">
      <c r="A274" s="13" t="inlineStr">
        <is>
          <t>eca</t>
        </is>
      </c>
      <c r="B274" s="13" t="inlineStr">
        <is>
          <t>serbia</t>
        </is>
      </c>
      <c r="C274" s="13" t="inlineStr">
        <is>
          <t>Mercator Serbia</t>
        </is>
      </c>
      <c r="D274" s="13" t="inlineStr">
        <is>
          <t>https://www.mercator.rs/</t>
        </is>
      </c>
      <c r="E274" s="13" t="inlineStr">
        <is>
          <t>TIER_2</t>
        </is>
      </c>
      <c r="F274" s="13" t="inlineStr">
        <is>
          <t>medium</t>
        </is>
      </c>
      <c r="G274" s="13" t="inlineStr">
        <is>
          <t>Wave 5</t>
        </is>
      </c>
      <c r="H274" s="13" t="inlineStr">
        <is>
          <t>spider</t>
        </is>
      </c>
      <c r="I274" s="13" t="inlineStr">
        <is>
          <t>Playwright DISCOVERY pass first - find the internal JSON endpoint, then scrape it over plain HTTP</t>
        </is>
      </c>
      <c r="J274" s="13" t="inlineStr">
        <is>
          <t>Z_bespoke</t>
        </is>
      </c>
      <c r="K274" s="13" t="inlineStr">
        <is>
          <t>Custom</t>
        </is>
      </c>
      <c r="L274" s="13" t="inlineStr">
        <is>
          <t>retailer_sku</t>
        </is>
      </c>
      <c r="M274" s="13" t="inlineStr">
        <is>
          <t>supermarket</t>
        </is>
      </c>
      <c r="N274" s="13" t="inlineStr">
        <is>
          <t>RSD</t>
        </is>
      </c>
      <c r="O274" s="13" t="n">
        <v>0</v>
      </c>
      <c r="P274" s="13" t="inlineStr">
        <is>
          <t>not found</t>
        </is>
      </c>
      <c r="Q274" s="13" t="inlineStr">
        <is>
          <t>curl 200, 44.4KB (small - likely corporate landing, not the shop)</t>
        </is>
      </c>
      <c r="R274" s="13" t="b">
        <v>1</v>
      </c>
      <c r="S274" s="13" t="inlineStr">
        <is>
          <t>CSV itself flags 'may redirect to IDEA; confirm independence' - probe suggests this may indeed just be a corporate/brand page.</t>
        </is>
      </c>
      <c r="T274" s="13" t="inlineStr"/>
    </row>
    <row r="275">
      <c r="A275" s="13" t="inlineStr">
        <is>
          <t>eca</t>
        </is>
      </c>
      <c r="B275" s="13" t="inlineStr">
        <is>
          <t>serbia</t>
        </is>
      </c>
      <c r="C275" s="13" t="inlineStr">
        <is>
          <t>Lidl Serbia</t>
        </is>
      </c>
      <c r="D275" s="13" t="inlineStr">
        <is>
          <t>https://www.lidl.rs/</t>
        </is>
      </c>
      <c r="E275" s="13" t="inlineStr">
        <is>
          <t>TIER_2</t>
        </is>
      </c>
      <c r="F275" s="13" t="inlineStr">
        <is>
          <t>medium</t>
        </is>
      </c>
      <c r="G275" s="13" t="inlineStr">
        <is>
          <t>Wave 5</t>
        </is>
      </c>
      <c r="H275" s="13" t="inlineStr">
        <is>
          <t>spider</t>
        </is>
      </c>
      <c r="I275" s="13" t="inlineStr">
        <is>
          <t>Playwright DISCOVERY pass first - find the internal JSON endpoint, then scrape it over plain HTTP</t>
        </is>
      </c>
      <c r="J275" s="13" t="inlineStr">
        <is>
          <t>Z_bespoke</t>
        </is>
      </c>
      <c r="K275" s="13" t="inlineStr">
        <is>
          <t>Nuxt</t>
        </is>
      </c>
      <c r="L275" s="13" t="inlineStr">
        <is>
          <t>retailer_sku</t>
        </is>
      </c>
      <c r="M275" s="13" t="inlineStr">
        <is>
          <t>supermarket</t>
        </is>
      </c>
      <c r="N275" s="13" t="inlineStr">
        <is>
          <t>RSD</t>
        </is>
      </c>
      <c r="O275" s="13" t="n">
        <v>0</v>
      </c>
      <c r="P275" s="13" t="inlineStr">
        <is>
          <t>not found</t>
        </is>
      </c>
      <c r="Q275" s="13" t="inlineStr">
        <is>
          <t>curl 200, 368KB, Nuxt detected, only non-food category names matched in nav grep (auto, garden, DIY) - no F&amp;B categories visible without render</t>
        </is>
      </c>
      <c r="R275" s="13" t="b">
        <v>1</v>
      </c>
      <c r="S275" s="13" t="inlineStr">
        <is>
          <t>Leaflet-led promo pattern per CSV.</t>
        </is>
      </c>
      <c r="T275" s="13" t="inlineStr"/>
    </row>
    <row r="276">
      <c r="A276" s="13" t="inlineStr">
        <is>
          <t>eca</t>
        </is>
      </c>
      <c r="B276" s="13" t="inlineStr">
        <is>
          <t>serbia</t>
        </is>
      </c>
      <c r="C276" s="13" t="inlineStr">
        <is>
          <t>Wolt Serbia</t>
        </is>
      </c>
      <c r="D276" s="13" t="inlineStr">
        <is>
          <t>https://wolt.com/en/srb/belgrade/category/grocery</t>
        </is>
      </c>
      <c r="E276" s="13" t="inlineStr">
        <is>
          <t>TIER_2</t>
        </is>
      </c>
      <c r="F276" s="13" t="inlineStr">
        <is>
          <t>medium</t>
        </is>
      </c>
      <c r="G276" s="13" t="inlineStr">
        <is>
          <t>Wave 5</t>
        </is>
      </c>
      <c r="H276" s="13" t="inlineStr">
        <is>
          <t>fetcher</t>
        </is>
      </c>
      <c r="I276" s="13" t="inlineStr">
        <is>
          <t>Playwright DISCOVERY pass first - find the internal JSON endpoint, then scrape it over plain HTTP</t>
        </is>
      </c>
      <c r="J276" s="13" t="inlineStr">
        <is>
          <t>Z_bespoke</t>
        </is>
      </c>
      <c r="K276" s="13" t="inlineStr">
        <is>
          <t>React SPA</t>
        </is>
      </c>
      <c r="L276" s="13" t="inlineStr">
        <is>
          <t>aggregate_proxy</t>
        </is>
      </c>
      <c r="M276" s="13" t="inlineStr">
        <is>
          <t>aggregator</t>
        </is>
      </c>
      <c r="N276" s="13" t="inlineStr">
        <is>
          <t>RSD</t>
        </is>
      </c>
      <c r="O276" s="13" t="n">
        <v>0</v>
      </c>
      <c r="P276" s="13" t="inlineStr">
        <is>
          <t>SPA - needs Playwright render</t>
        </is>
      </c>
      <c r="Q276" s="13" t="inlineStr">
        <is>
          <t>curl 200, 1.79MB SPA, prices did not resolve to real values in raw regex (placeholder pattern)</t>
        </is>
      </c>
      <c r="R276" s="13" t="b">
        <v>1</v>
      </c>
      <c r="S276" s="13" t="inlineStr">
        <is>
          <t>Enumerates Maxi and partners across 14 Serbian cities per CSV.</t>
        </is>
      </c>
      <c r="T276" s="13" t="inlineStr"/>
    </row>
    <row r="277">
      <c r="A277" s="13" t="inlineStr">
        <is>
          <t>eca</t>
        </is>
      </c>
      <c r="B277" s="13" t="inlineStr">
        <is>
          <t>slovenia</t>
        </is>
      </c>
      <c r="C277" s="13" t="inlineStr">
        <is>
          <t>Spar Slovenia</t>
        </is>
      </c>
      <c r="D277" s="13" t="inlineStr">
        <is>
          <t>https://www.spar.si/online</t>
        </is>
      </c>
      <c r="E277" s="13" t="inlineStr">
        <is>
          <t>TIER_2</t>
        </is>
      </c>
      <c r="F277" s="13" t="inlineStr">
        <is>
          <t>medium</t>
        </is>
      </c>
      <c r="G277" s="13" t="inlineStr">
        <is>
          <t>Wave 5</t>
        </is>
      </c>
      <c r="H277" s="13" t="inlineStr">
        <is>
          <t>spider</t>
        </is>
      </c>
      <c r="I277" s="13" t="inlineStr">
        <is>
          <t>Playwright DISCOVERY pass first - find the internal JSON endpoint, then scrape it over plain HTTP</t>
        </is>
      </c>
      <c r="J277" s="13" t="inlineStr">
        <is>
          <t>Z_bespoke</t>
        </is>
      </c>
      <c r="K277" s="13" t="inlineStr">
        <is>
          <t>Custom</t>
        </is>
      </c>
      <c r="L277" s="13" t="inlineStr">
        <is>
          <t>retailer_sku</t>
        </is>
      </c>
      <c r="M277" s="13" t="inlineStr">
        <is>
          <t>supermarket</t>
        </is>
      </c>
      <c r="N277" s="13" t="inlineStr">
        <is>
          <t>EUR</t>
        </is>
      </c>
      <c r="O277" s="13" t="n">
        <v>0</v>
      </c>
      <c r="P277" s="13" t="inlineStr">
        <is>
          <t>not found</t>
        </is>
      </c>
      <c r="Q277" s="13" t="inlineStr">
        <is>
          <t>curl 200, 1.33MB homepage, no price pattern matched</t>
        </is>
      </c>
      <c r="R277" s="13" t="b">
        <v>1</v>
      </c>
      <c r="S277" s="13" t="inlineStr">
        <is>
          <t>-</t>
        </is>
      </c>
      <c r="T277" s="13" t="inlineStr"/>
    </row>
    <row r="278">
      <c r="A278" s="13" t="inlineStr">
        <is>
          <t>eca</t>
        </is>
      </c>
      <c r="B278" s="13" t="inlineStr">
        <is>
          <t>switzerland</t>
        </is>
      </c>
      <c r="C278" s="13" t="inlineStr">
        <is>
          <t>Rappn (aggregator)</t>
        </is>
      </c>
      <c r="D278" s="13" t="inlineStr">
        <is>
          <t>https://rappn.ch/</t>
        </is>
      </c>
      <c r="E278" s="13" t="inlineStr">
        <is>
          <t>TIER_2</t>
        </is>
      </c>
      <c r="F278" s="13" t="inlineStr">
        <is>
          <t>medium</t>
        </is>
      </c>
      <c r="G278" s="13" t="inlineStr">
        <is>
          <t>Wave 5</t>
        </is>
      </c>
      <c r="H278" s="13" t="inlineStr">
        <is>
          <t>fetcher</t>
        </is>
      </c>
      <c r="I278" s="13" t="inlineStr">
        <is>
          <t>Playwright DISCOVERY pass first - find the internal JSON endpoint, then scrape it over plain HTTP</t>
        </is>
      </c>
      <c r="J278" s="13" t="inlineStr">
        <is>
          <t>Z_bespoke</t>
        </is>
      </c>
      <c r="K278" s="13" t="inlineStr">
        <is>
          <t>Custom</t>
        </is>
      </c>
      <c r="L278" s="13" t="inlineStr">
        <is>
          <t>aggregate_proxy</t>
        </is>
      </c>
      <c r="M278" s="13" t="inlineStr">
        <is>
          <t>aggregator</t>
        </is>
      </c>
      <c r="N278" s="13" t="inlineStr">
        <is>
          <t>CHF</t>
        </is>
      </c>
      <c r="O278" s="13" t="n">
        <v>0</v>
      </c>
      <c r="P278" s="13" t="inlineStr">
        <is>
          <t>not isolated to per-SKU level</t>
        </is>
      </c>
      <c r="Q278" s="13" t="inlineStr">
        <is>
          <t>curl 200, 525KB, real basket-comparison prices in raw HTML: 'CHF 2,00', 'CHF 609.28', 'CHF 230.94' - these read as basket totals/comparison figures, not confirmed as individual per-SKU prices</t>
        </is>
      </c>
      <c r="R278" s="13" t="b">
        <v>1</v>
      </c>
      <c r="S278" s="13" t="inlineStr">
        <is>
          <t>Neutral Swiss grocery comparator per CSV, no retailer commercial ties - would need per-SKU breakdown, not just basket totals.</t>
        </is>
      </c>
      <c r="T278" s="13" t="inlineStr"/>
    </row>
    <row r="279">
      <c r="A279" s="13" t="inlineStr">
        <is>
          <t>eca</t>
        </is>
      </c>
      <c r="B279" s="13" t="inlineStr">
        <is>
          <t>switzerland</t>
        </is>
      </c>
      <c r="C279" s="13" t="inlineStr">
        <is>
          <t>Aldi now</t>
        </is>
      </c>
      <c r="D279" s="13" t="inlineStr">
        <is>
          <t>https://www.aldi-now.ch/</t>
        </is>
      </c>
      <c r="E279" s="13" t="inlineStr">
        <is>
          <t>TIER_2</t>
        </is>
      </c>
      <c r="F279" s="13" t="inlineStr">
        <is>
          <t>medium</t>
        </is>
      </c>
      <c r="G279" s="13" t="inlineStr">
        <is>
          <t>Wave 5</t>
        </is>
      </c>
      <c r="H279" s="13" t="inlineStr">
        <is>
          <t>spider</t>
        </is>
      </c>
      <c r="I279" s="13" t="inlineStr">
        <is>
          <t>Playwright DISCOVERY pass first - find the internal JSON endpoint, then scrape it over plain HTTP</t>
        </is>
      </c>
      <c r="J279" s="13" t="inlineStr">
        <is>
          <t>Z_bespoke</t>
        </is>
      </c>
      <c r="K279" s="13" t="inlineStr">
        <is>
          <t>Custom</t>
        </is>
      </c>
      <c r="L279" s="13" t="inlineStr">
        <is>
          <t>retailer_sku</t>
        </is>
      </c>
      <c r="M279" s="13" t="inlineStr">
        <is>
          <t>supermarket</t>
        </is>
      </c>
      <c r="N279" s="13" t="inlineStr">
        <is>
          <t>CHF</t>
        </is>
      </c>
      <c r="O279" s="13" t="n">
        <v>0</v>
      </c>
      <c r="P279" s="13" t="inlineStr">
        <is>
          <t>not found</t>
        </is>
      </c>
      <c r="Q279" s="13" t="inlineStr">
        <is>
          <t>curl 200, 1.0MB, only price-like match was 'CHF 50.00' minimum-order-value copy, not a product price</t>
        </is>
      </c>
      <c r="R279" s="13" t="b">
        <v>1</v>
      </c>
      <c r="S279" s="13" t="inlineStr">
        <is>
          <t>-</t>
        </is>
      </c>
      <c r="T279" s="13" t="inlineStr"/>
    </row>
    <row r="280">
      <c r="A280" s="13" t="inlineStr">
        <is>
          <t>eca</t>
        </is>
      </c>
      <c r="B280" s="13" t="inlineStr">
        <is>
          <t>switzerland</t>
        </is>
      </c>
      <c r="C280" s="13" t="inlineStr">
        <is>
          <t>Denner</t>
        </is>
      </c>
      <c r="D280" s="13" t="inlineStr">
        <is>
          <t>https://www.denner.ch/</t>
        </is>
      </c>
      <c r="E280" s="13" t="inlineStr">
        <is>
          <t>TIER_2</t>
        </is>
      </c>
      <c r="F280" s="13" t="inlineStr">
        <is>
          <t>medium</t>
        </is>
      </c>
      <c r="G280" s="13" t="inlineStr">
        <is>
          <t>Wave 5</t>
        </is>
      </c>
      <c r="H280" s="13" t="inlineStr">
        <is>
          <t>spider</t>
        </is>
      </c>
      <c r="I280" s="13" t="inlineStr">
        <is>
          <t>Playwright DISCOVERY pass first - find the internal JSON endpoint, then scrape it over plain HTTP</t>
        </is>
      </c>
      <c r="J280" s="13" t="inlineStr">
        <is>
          <t>Z_bespoke</t>
        </is>
      </c>
      <c r="K280" s="13" t="inlineStr">
        <is>
          <t>Nuxt</t>
        </is>
      </c>
      <c r="L280" s="13" t="inlineStr">
        <is>
          <t>retailer_sku</t>
        </is>
      </c>
      <c r="M280" s="13" t="inlineStr">
        <is>
          <t>supermarket</t>
        </is>
      </c>
      <c r="N280" s="13" t="inlineStr">
        <is>
          <t>CHF</t>
        </is>
      </c>
      <c r="O280" s="13" t="n">
        <v>0</v>
      </c>
      <c r="P280" s="13" t="inlineStr">
        <is>
          <t>not found</t>
        </is>
      </c>
      <c r="Q280" s="13" t="inlineStr">
        <is>
          <t>curl 200, 717KB, Nuxt detected, no price pattern matched on homepage</t>
        </is>
      </c>
      <c r="R280" s="13" t="b">
        <v>1</v>
      </c>
      <c r="S280" s="13" t="inlineStr">
        <is>
          <t>-</t>
        </is>
      </c>
      <c r="T280" s="13" t="inlineStr"/>
    </row>
    <row r="281">
      <c r="A281" s="13" t="inlineStr">
        <is>
          <t>eca</t>
        </is>
      </c>
      <c r="B281" s="13" t="inlineStr">
        <is>
          <t>estonia</t>
        </is>
      </c>
      <c r="C281" s="13" t="inlineStr">
        <is>
          <t>Barbora Estonia</t>
        </is>
      </c>
      <c r="D281" s="13" t="inlineStr">
        <is>
          <t>https://barbora.ee/</t>
        </is>
      </c>
      <c r="E281" s="13" t="inlineStr">
        <is>
          <t>TIER_2</t>
        </is>
      </c>
      <c r="F281" s="13" t="inlineStr">
        <is>
          <t>medium</t>
        </is>
      </c>
      <c r="G281" s="13" t="inlineStr">
        <is>
          <t>Wave 5</t>
        </is>
      </c>
      <c r="H281" s="13" t="inlineStr">
        <is>
          <t>spider</t>
        </is>
      </c>
      <c r="I281" s="13" t="inlineStr">
        <is>
          <t>Playwright DISCOVERY pass first - find the internal JSON endpoint, then scrape it over plain HTTP</t>
        </is>
      </c>
      <c r="J281" s="13" t="inlineStr">
        <is>
          <t>Z_bespoke</t>
        </is>
      </c>
      <c r="K281" s="13" t="inlineStr">
        <is>
          <t>Custom (Maxima group)</t>
        </is>
      </c>
      <c r="L281" s="13" t="inlineStr">
        <is>
          <t>retailer_sku</t>
        </is>
      </c>
      <c r="M281" s="13" t="inlineStr">
        <is>
          <t>supermarket</t>
        </is>
      </c>
      <c r="N281" s="13" t="inlineStr">
        <is>
          <t>EUR</t>
        </is>
      </c>
      <c r="O281" s="13" t="n">
        <v>0</v>
      </c>
      <c r="P281" s="13" t="inlineStr">
        <is>
          <t>not found</t>
        </is>
      </c>
      <c r="Q281" s="13" t="inlineStr">
        <is>
          <t>curl 200, 55KB, no Cloudflare gate (unlike barbora.lt) but no price pattern matched on homepage</t>
        </is>
      </c>
      <c r="R281" s="13" t="b">
        <v>1</v>
      </c>
      <c r="S281" s="13" t="inlineStr">
        <is>
          <t>CSV flags COVERAGE WITHDRAWN to Tallinn+Tartu only from 1 Nov 2025 - geographic staleness to track separately. Different WAF posture from barbora.lt (this TLD is open).</t>
        </is>
      </c>
      <c r="T281" s="13" t="inlineStr"/>
    </row>
    <row r="282">
      <c r="A282" s="13" t="inlineStr">
        <is>
          <t>eca</t>
        </is>
      </c>
      <c r="B282" s="13" t="inlineStr">
        <is>
          <t>estonia</t>
        </is>
      </c>
      <c r="C282" s="13" t="inlineStr">
        <is>
          <t>Coop Estonia</t>
        </is>
      </c>
      <c r="D282" s="13" t="inlineStr">
        <is>
          <t>https://ecoop.ee/</t>
        </is>
      </c>
      <c r="E282" s="13" t="inlineStr">
        <is>
          <t>TIER_2</t>
        </is>
      </c>
      <c r="F282" s="13" t="inlineStr">
        <is>
          <t>medium</t>
        </is>
      </c>
      <c r="G282" s="13" t="inlineStr">
        <is>
          <t>Wave 5</t>
        </is>
      </c>
      <c r="H282" s="13" t="inlineStr">
        <is>
          <t>spider</t>
        </is>
      </c>
      <c r="I282" s="13" t="inlineStr">
        <is>
          <t>Playwright DISCOVERY pass first - find the internal JSON endpoint, then scrape it over plain HTTP</t>
        </is>
      </c>
      <c r="J282" s="13" t="inlineStr">
        <is>
          <t>Z_bespoke</t>
        </is>
      </c>
      <c r="K282" s="13" t="inlineStr">
        <is>
          <t>Custom</t>
        </is>
      </c>
      <c r="L282" s="13" t="inlineStr">
        <is>
          <t>retailer_sku</t>
        </is>
      </c>
      <c r="M282" s="13" t="inlineStr">
        <is>
          <t>supermarket</t>
        </is>
      </c>
      <c r="N282" s="13" t="inlineStr">
        <is>
          <t>EUR</t>
        </is>
      </c>
      <c r="O282" s="13" t="n">
        <v>0</v>
      </c>
      <c r="P282" s="13" t="inlineStr">
        <is>
          <t>not found</t>
        </is>
      </c>
      <c r="Q282" s="13" t="inlineStr">
        <is>
          <t>curl 200, 53KB, no price pattern matched on homepage</t>
        </is>
      </c>
      <c r="R282" s="13" t="b">
        <v>1</v>
      </c>
      <c r="S282" s="13" t="inlineStr">
        <is>
          <t>Widest rural network in Estonia per CSV.</t>
        </is>
      </c>
      <c r="T282" s="13" t="inlineStr"/>
    </row>
    <row r="283">
      <c r="A283" s="13" t="inlineStr">
        <is>
          <t>eca</t>
        </is>
      </c>
      <c r="B283" s="13" t="inlineStr">
        <is>
          <t>estonia</t>
        </is>
      </c>
      <c r="C283" s="13" t="inlineStr">
        <is>
          <t>Rimi Estonia</t>
        </is>
      </c>
      <c r="D283" s="13" t="inlineStr">
        <is>
          <t>https://www.rimi.ee/epood/en</t>
        </is>
      </c>
      <c r="E283" s="13" t="inlineStr">
        <is>
          <t>TIER_2</t>
        </is>
      </c>
      <c r="F283" s="13" t="inlineStr">
        <is>
          <t>medium</t>
        </is>
      </c>
      <c r="G283" s="13" t="inlineStr">
        <is>
          <t>Wave 5</t>
        </is>
      </c>
      <c r="H283" s="13" t="inlineStr">
        <is>
          <t>spider</t>
        </is>
      </c>
      <c r="I283" s="13" t="inlineStr">
        <is>
          <t>Playwright DISCOVERY pass first - find the internal JSON endpoint, then scrape it over plain HTTP</t>
        </is>
      </c>
      <c r="J283" s="13" t="inlineStr">
        <is>
          <t>Z_bespoke</t>
        </is>
      </c>
      <c r="K283" s="13" t="inlineStr">
        <is>
          <t>Custom</t>
        </is>
      </c>
      <c r="L283" s="13" t="inlineStr">
        <is>
          <t>retailer_sku</t>
        </is>
      </c>
      <c r="M283" s="13" t="inlineStr">
        <is>
          <t>supermarket</t>
        </is>
      </c>
      <c r="N283" s="13" t="inlineStr">
        <is>
          <t>EUR</t>
        </is>
      </c>
      <c r="O283" s="13" t="n">
        <v>0</v>
      </c>
      <c r="P283" s="13" t="inlineStr">
        <is>
          <t>not found (wrong guess)</t>
        </is>
      </c>
      <c r="Q283" s="13" t="inlineStr">
        <is>
          <t>curl 200, 125KB homepage; guessed category URL /epood/en/products/food -&gt; 404</t>
        </is>
      </c>
      <c r="R283" s="13" t="b">
        <v>1</v>
      </c>
      <c r="S283" s="13" t="inlineStr">
        <is>
          <t>Same Rimi platform as Rimi Latvia/Lithuania, explicit 30-day-lowest field per CSV.</t>
        </is>
      </c>
      <c r="T283" s="13" t="inlineStr"/>
    </row>
    <row r="284">
      <c r="A284" s="13" t="inlineStr">
        <is>
          <t>eca</t>
        </is>
      </c>
      <c r="B284" s="13" t="inlineStr">
        <is>
          <t>lithuania</t>
        </is>
      </c>
      <c r="C284" s="13" t="inlineStr">
        <is>
          <t>Barbora Lithuania</t>
        </is>
      </c>
      <c r="D284" s="13" t="inlineStr">
        <is>
          <t>https://barbora.lt/</t>
        </is>
      </c>
      <c r="E284" s="13" t="inlineStr">
        <is>
          <t>TIER_2</t>
        </is>
      </c>
      <c r="F284" s="13" t="inlineStr">
        <is>
          <t>medium</t>
        </is>
      </c>
      <c r="G284" s="13" t="inlineStr">
        <is>
          <t>Wave 5</t>
        </is>
      </c>
      <c r="H284" s="13" t="inlineStr">
        <is>
          <t>spider</t>
        </is>
      </c>
      <c r="I284" s="13" t="inlineStr">
        <is>
          <t>Playwright DISCOVERY pass first - find the internal JSON endpoint, then scrape it over plain HTTP</t>
        </is>
      </c>
      <c r="J284" s="13" t="inlineStr">
        <is>
          <t>Z_bespoke</t>
        </is>
      </c>
      <c r="K284" s="13" t="inlineStr">
        <is>
          <t>Custom (Maxima group)</t>
        </is>
      </c>
      <c r="L284" s="13" t="inlineStr">
        <is>
          <t>retailer_sku</t>
        </is>
      </c>
      <c r="M284" s="13" t="inlineStr">
        <is>
          <t>supermarket</t>
        </is>
      </c>
      <c r="N284" s="13" t="inlineStr">
        <is>
          <t>EUR</t>
        </is>
      </c>
      <c r="O284" s="13" t="n">
        <v>0</v>
      </c>
      <c r="P284" s="13" t="inlineStr">
        <is>
          <t>/api/eshop/v1/category/offertree etc. - CF-gated even for the API, needs a cleared session</t>
        </is>
      </c>
      <c r="Q284" s="13" t="inlineStr">
        <is>
          <t>curl 403 title 'Just a moment...' (Cloudflare); Playwright CLEARS the challenge (status 200, title 'BARBORA internetine parduotuve'). Network sniff during the cleared session found internal APIs: /api/eshop/v1/category/offertree (427KB JSON), production-elb.barbora.lt/api/cache/v1/country/LT/categories (214KB), /api/eshop/v1/recommendations/GetHomeRecommendationsInventories (65.7KB) - but a direct plain-curl retest of GetHomeRecommendationsInventories with Origin/Referer still returned 403, meaning the API sits behind the SAME Cloudflare gate and only clears with a real browser session/cf_clearance cookie</t>
        </is>
      </c>
      <c r="R284" s="13" t="b">
        <v>1</v>
      </c>
      <c r="S284" s="13" t="inlineStr">
        <is>
          <t>Same Maxima-group platform as Barbora Estonia/Latvia. Rich 427KB category tree confirms a genuine full assortment once a Playwright-cleared session (or cf_clearance reuse) is wired into the collector; did not inspect category names within budget so no leaf credit taken yet.</t>
        </is>
      </c>
      <c r="T284" s="13" t="inlineStr"/>
    </row>
    <row r="285">
      <c r="A285" s="13" t="inlineStr">
        <is>
          <t>eca</t>
        </is>
      </c>
      <c r="B285" s="13" t="inlineStr">
        <is>
          <t>lithuania</t>
        </is>
      </c>
      <c r="C285" s="13" t="inlineStr">
        <is>
          <t>Rimi Lithuania</t>
        </is>
      </c>
      <c r="D285" s="13" t="inlineStr">
        <is>
          <t>https://www.rimi.lt/e-parduotuve/en</t>
        </is>
      </c>
      <c r="E285" s="13" t="inlineStr">
        <is>
          <t>TIER_2</t>
        </is>
      </c>
      <c r="F285" s="13" t="inlineStr">
        <is>
          <t>medium</t>
        </is>
      </c>
      <c r="G285" s="13" t="inlineStr">
        <is>
          <t>Wave 5</t>
        </is>
      </c>
      <c r="H285" s="13" t="inlineStr">
        <is>
          <t>spider</t>
        </is>
      </c>
      <c r="I285" s="13" t="inlineStr">
        <is>
          <t>Playwright DISCOVERY pass first - find the internal JSON endpoint, then scrape it over plain HTTP</t>
        </is>
      </c>
      <c r="J285" s="13" t="inlineStr">
        <is>
          <t>Z_bespoke</t>
        </is>
      </c>
      <c r="K285" s="13" t="inlineStr">
        <is>
          <t>Custom</t>
        </is>
      </c>
      <c r="L285" s="13" t="inlineStr">
        <is>
          <t>retailer_sku</t>
        </is>
      </c>
      <c r="M285" s="13" t="inlineStr">
        <is>
          <t>supermarket</t>
        </is>
      </c>
      <c r="N285" s="13" t="inlineStr">
        <is>
          <t>EUR</t>
        </is>
      </c>
      <c r="O285" s="13" t="n">
        <v>0</v>
      </c>
      <c r="P285" s="13" t="inlineStr">
        <is>
          <t>not found</t>
        </is>
      </c>
      <c r="Q285" s="13" t="inlineStr">
        <is>
          <t>curl 200, 112KB homepage, no price pattern matched</t>
        </is>
      </c>
      <c r="R285" s="13" t="b">
        <v>1</v>
      </c>
      <c r="S285" s="13" t="inlineStr">
        <is>
          <t>Same Rimi platform as Estonia/Latvia, explicit 30-day-lowest field per CSV.</t>
        </is>
      </c>
      <c r="T285" s="13" t="inlineStr"/>
    </row>
    <row r="286">
      <c r="A286" s="13" t="inlineStr">
        <is>
          <t>eca</t>
        </is>
      </c>
      <c r="B286" s="13" t="inlineStr">
        <is>
          <t>france</t>
        </is>
      </c>
      <c r="C286" s="13" t="inlineStr">
        <is>
          <t>Auchan Drive</t>
        </is>
      </c>
      <c r="D286" s="13" t="inlineStr">
        <is>
          <t>https://www.auchan.fr/</t>
        </is>
      </c>
      <c r="E286" s="13" t="inlineStr">
        <is>
          <t>TIER_2</t>
        </is>
      </c>
      <c r="F286" s="13" t="inlineStr">
        <is>
          <t>medium</t>
        </is>
      </c>
      <c r="G286" s="13" t="inlineStr">
        <is>
          <t>Wave 5</t>
        </is>
      </c>
      <c r="H286" s="13" t="inlineStr">
        <is>
          <t>spider</t>
        </is>
      </c>
      <c r="I286" s="13" t="inlineStr">
        <is>
          <t>Playwright DISCOVERY pass first - find the internal JSON endpoint, then scrape it over plain HTTP</t>
        </is>
      </c>
      <c r="J286" s="13" t="inlineStr">
        <is>
          <t>Z_bespoke</t>
        </is>
      </c>
      <c r="K286" s="13" t="inlineStr">
        <is>
          <t>Custom/Enterprise</t>
        </is>
      </c>
      <c r="L286" s="13" t="inlineStr">
        <is>
          <t>retailer_sku</t>
        </is>
      </c>
      <c r="M286" s="13" t="inlineStr">
        <is>
          <t>supermarket</t>
        </is>
      </c>
      <c r="N286" s="13" t="inlineStr">
        <is>
          <t>EUR</t>
        </is>
      </c>
      <c r="O286" s="13" t="n">
        <v>0</v>
      </c>
      <c r="P286" s="13" t="inlineStr">
        <is>
          <t>not found</t>
        </is>
      </c>
      <c r="Q286" s="13" t="inlineStr">
        <is>
          <t>curl 200, 172KB - NOT blocked despite CSV's SUSPECT/D-tier label; no price pattern matched on homepage within budget</t>
        </is>
      </c>
      <c r="R286" s="13" t="b">
        <v>1</v>
      </c>
      <c r="S286" s="13" t="inlineStr">
        <is>
          <t>Worth a priority re-test given curl succeeded cleanly where CSV expected a WAF.</t>
        </is>
      </c>
      <c r="T286" s="13" t="inlineStr"/>
    </row>
    <row r="287">
      <c r="A287" s="13" t="inlineStr">
        <is>
          <t>eca</t>
        </is>
      </c>
      <c r="B287" s="13" t="inlineStr">
        <is>
          <t>france</t>
        </is>
      </c>
      <c r="C287" s="13" t="inlineStr">
        <is>
          <t>Casino / CasinoMax</t>
        </is>
      </c>
      <c r="D287" s="13" t="inlineStr">
        <is>
          <t>https://www.casino.fr/</t>
        </is>
      </c>
      <c r="E287" s="13" t="inlineStr">
        <is>
          <t>TIER_2</t>
        </is>
      </c>
      <c r="F287" s="13" t="inlineStr">
        <is>
          <t>medium</t>
        </is>
      </c>
      <c r="G287" s="13" t="inlineStr">
        <is>
          <t>Wave 5</t>
        </is>
      </c>
      <c r="H287" s="13" t="inlineStr">
        <is>
          <t>spider</t>
        </is>
      </c>
      <c r="I287" s="13" t="inlineStr">
        <is>
          <t>Playwright DISCOVERY pass first - find the internal JSON endpoint, then scrape it over plain HTTP</t>
        </is>
      </c>
      <c r="J287" s="13" t="inlineStr">
        <is>
          <t>Z_bespoke</t>
        </is>
      </c>
      <c r="K287" s="13" t="inlineStr">
        <is>
          <t>Custom (Vue SSR)</t>
        </is>
      </c>
      <c r="L287" s="13" t="inlineStr">
        <is>
          <t>retailer_sku</t>
        </is>
      </c>
      <c r="M287" s="13" t="inlineStr">
        <is>
          <t>supermarket</t>
        </is>
      </c>
      <c r="N287" s="13" t="inlineStr">
        <is>
          <t>EUR</t>
        </is>
      </c>
      <c r="O287" s="13" t="n">
        <v>0</v>
      </c>
      <c r="P287" s="13" t="inlineStr">
        <is>
          <t>not found</t>
        </is>
      </c>
      <c r="Q287" s="13" t="inlineStr">
        <is>
          <t>curl HTTP 403 status but body is real Vue-SSR content (vue-ssr-id attrs, meta refresh to /prehome/courses-en-ligne/accueil), not a WAF challenge template - ambiguous, no product data found within budget</t>
        </is>
      </c>
      <c r="R287" s="13" t="b">
        <v>1</v>
      </c>
      <c r="S287" s="13" t="inlineStr">
        <is>
          <t>Status code and content disagree - needs a follow-up probe rather than a confident verdict either way.</t>
        </is>
      </c>
      <c r="T287" s="13" t="inlineStr"/>
    </row>
    <row r="288">
      <c r="A288" s="13" t="inlineStr">
        <is>
          <t>eca</t>
        </is>
      </c>
      <c r="B288" s="13" t="inlineStr">
        <is>
          <t>belgium</t>
        </is>
      </c>
      <c r="C288" s="13" t="inlineStr">
        <is>
          <t>Spar Colruyt Group (mijnspar.be)</t>
        </is>
      </c>
      <c r="D288" s="13" t="inlineStr">
        <is>
          <t>https://www.mijnspar.be/</t>
        </is>
      </c>
      <c r="E288" s="13" t="inlineStr">
        <is>
          <t>TIER_2</t>
        </is>
      </c>
      <c r="F288" s="13" t="inlineStr">
        <is>
          <t>medium</t>
        </is>
      </c>
      <c r="G288" s="13" t="inlineStr">
        <is>
          <t>Wave 5</t>
        </is>
      </c>
      <c r="H288" s="13" t="inlineStr">
        <is>
          <t>spider</t>
        </is>
      </c>
      <c r="I288" s="13" t="inlineStr">
        <is>
          <t>Playwright DISCOVERY pass first - find the internal JSON endpoint, then scrape it over plain HTTP</t>
        </is>
      </c>
      <c r="J288" s="13" t="inlineStr">
        <is>
          <t>Z_bespoke</t>
        </is>
      </c>
      <c r="K288" s="13" t="inlineStr">
        <is>
          <t>Custom</t>
        </is>
      </c>
      <c r="L288" s="13" t="inlineStr">
        <is>
          <t>retailer_sku</t>
        </is>
      </c>
      <c r="M288" s="13" t="inlineStr">
        <is>
          <t>supermarket</t>
        </is>
      </c>
      <c r="N288" s="13" t="inlineStr">
        <is>
          <t>EUR</t>
        </is>
      </c>
      <c r="O288" s="13" t="n">
        <v>0</v>
      </c>
      <c r="P288" s="13" t="inlineStr">
        <is>
          <t>not found</t>
        </is>
      </c>
      <c r="Q288" s="13" t="inlineStr">
        <is>
          <t>curl 200, 337KB, no price pattern matched (CSV itself notes prices require store selection)</t>
        </is>
      </c>
      <c r="R288" s="13" t="b">
        <v>1</v>
      </c>
      <c r="S288" s="13" t="inlineStr">
        <is>
          <t>-</t>
        </is>
      </c>
      <c r="T288" s="13" t="inlineStr"/>
    </row>
    <row r="289">
      <c r="A289" s="13" t="inlineStr">
        <is>
          <t>eca</t>
        </is>
      </c>
      <c r="B289" s="13" t="inlineStr">
        <is>
          <t>belgium</t>
        </is>
      </c>
      <c r="C289" s="13" t="inlineStr">
        <is>
          <t>Colruyt.be</t>
        </is>
      </c>
      <c r="D289" s="13" t="inlineStr">
        <is>
          <t>https://www.colruyt.be/</t>
        </is>
      </c>
      <c r="E289" s="13" t="inlineStr">
        <is>
          <t>TIER_2</t>
        </is>
      </c>
      <c r="F289" s="13" t="inlineStr">
        <is>
          <t>medium</t>
        </is>
      </c>
      <c r="G289" s="13" t="inlineStr">
        <is>
          <t>Wave 5</t>
        </is>
      </c>
      <c r="H289" s="13" t="inlineStr">
        <is>
          <t>spider</t>
        </is>
      </c>
      <c r="I289" s="13" t="inlineStr">
        <is>
          <t>Playwright DISCOVERY pass first - find the internal JSON endpoint, then scrape it over plain HTTP</t>
        </is>
      </c>
      <c r="J289" s="13" t="inlineStr">
        <is>
          <t>Z_bespoke</t>
        </is>
      </c>
      <c r="K289" s="13" t="inlineStr">
        <is>
          <t>Custom/Enterprise</t>
        </is>
      </c>
      <c r="L289" s="13" t="inlineStr">
        <is>
          <t>retailer_sku</t>
        </is>
      </c>
      <c r="M289" s="13" t="inlineStr">
        <is>
          <t>supermarket</t>
        </is>
      </c>
      <c r="N289" s="13" t="inlineStr">
        <is>
          <t>EUR</t>
        </is>
      </c>
      <c r="O289" s="13" t="n">
        <v>0</v>
      </c>
      <c r="P289" s="13" t="inlineStr">
        <is>
          <t>not found</t>
        </is>
      </c>
      <c r="Q289" s="13" t="inlineStr">
        <is>
          <t>curl 200, 399KB, no price pattern matched on homepage</t>
        </is>
      </c>
      <c r="R289" s="13" t="b">
        <v>1</v>
      </c>
      <c r="S289" s="13" t="inlineStr">
        <is>
          <t>Belgium's price leader with a lowest-price guarantee per CSV - not blocked, just not yet confirmed for prices.</t>
        </is>
      </c>
      <c r="T289" s="13" t="inlineStr"/>
    </row>
    <row r="290">
      <c r="A290" s="13" t="inlineStr">
        <is>
          <t>eca</t>
        </is>
      </c>
      <c r="B290" s="13" t="inlineStr">
        <is>
          <t>denmark</t>
        </is>
      </c>
      <c r="C290" s="13" t="inlineStr">
        <is>
          <t>Bilka ToGo</t>
        </is>
      </c>
      <c r="D290" s="13" t="inlineStr">
        <is>
          <t>https://www.bilkatogo.dk/</t>
        </is>
      </c>
      <c r="E290" s="13" t="inlineStr">
        <is>
          <t>TIER_2</t>
        </is>
      </c>
      <c r="F290" s="13" t="inlineStr">
        <is>
          <t>medium</t>
        </is>
      </c>
      <c r="G290" s="13" t="inlineStr">
        <is>
          <t>Wave 5</t>
        </is>
      </c>
      <c r="H290" s="13" t="inlineStr">
        <is>
          <t>spider</t>
        </is>
      </c>
      <c r="I290" s="13" t="inlineStr">
        <is>
          <t>Playwright DISCOVERY pass first - find the internal JSON endpoint, then scrape it over plain HTTP</t>
        </is>
      </c>
      <c r="J290" s="13" t="inlineStr">
        <is>
          <t>Z_bespoke</t>
        </is>
      </c>
      <c r="K290" s="13" t="inlineStr">
        <is>
          <t>Nuxt + Algolia</t>
        </is>
      </c>
      <c r="L290" s="13" t="inlineStr">
        <is>
          <t>retailer_sku</t>
        </is>
      </c>
      <c r="M290" s="13" t="inlineStr">
        <is>
          <t>supermarket</t>
        </is>
      </c>
      <c r="N290" s="13" t="inlineStr">
        <is>
          <t>DKK</t>
        </is>
      </c>
      <c r="O290" s="13" t="n">
        <v>0</v>
      </c>
      <c r="P290" s="13" t="inlineStr">
        <is>
          <t>not found (Algolia key not extracted)</t>
        </is>
      </c>
      <c r="Q290" s="13" t="inlineStr">
        <is>
          <t>curl 200, 88KB, Nuxt + Algolia detected on homepage; no Algolia app-id/key found in this pass, no category evidence captured</t>
        </is>
      </c>
      <c r="R290" s="13" t="b">
        <v>1</v>
      </c>
      <c r="S290" s="13" t="inlineStr">
        <is>
          <t>Salling Group (same family as Foetex below).</t>
        </is>
      </c>
      <c r="T290" s="13" t="inlineStr"/>
    </row>
    <row r="291">
      <c r="A291" s="13" t="inlineStr">
        <is>
          <t>eca</t>
        </is>
      </c>
      <c r="B291" s="13" t="inlineStr">
        <is>
          <t>denmark</t>
        </is>
      </c>
      <c r="C291" s="13" t="inlineStr">
        <is>
          <t>Coop.dk MAD</t>
        </is>
      </c>
      <c r="D291" s="13" t="inlineStr">
        <is>
          <t>https://mad.coop.dk/</t>
        </is>
      </c>
      <c r="E291" s="13" t="inlineStr">
        <is>
          <t>TIER_2</t>
        </is>
      </c>
      <c r="F291" s="13" t="inlineStr">
        <is>
          <t>medium</t>
        </is>
      </c>
      <c r="G291" s="13" t="inlineStr">
        <is>
          <t>Wave 5</t>
        </is>
      </c>
      <c r="H291" s="13" t="inlineStr">
        <is>
          <t>spider</t>
        </is>
      </c>
      <c r="I291" s="13" t="inlineStr">
        <is>
          <t>Playwright DISCOVERY pass first - find the internal JSON endpoint, then scrape it over plain HTTP</t>
        </is>
      </c>
      <c r="J291" s="13" t="inlineStr">
        <is>
          <t>Z_bespoke</t>
        </is>
      </c>
      <c r="K291" s="13" t="inlineStr">
        <is>
          <t>Custom</t>
        </is>
      </c>
      <c r="L291" s="13" t="inlineStr">
        <is>
          <t>retailer_sku</t>
        </is>
      </c>
      <c r="M291" s="13" t="inlineStr">
        <is>
          <t>supermarket</t>
        </is>
      </c>
      <c r="N291" s="13" t="inlineStr">
        <is>
          <t>DKK</t>
        </is>
      </c>
      <c r="O291" s="13" t="n">
        <v>0</v>
      </c>
      <c r="P291" s="13" t="inlineStr">
        <is>
          <t>not found</t>
        </is>
      </c>
      <c r="Q291" s="13" t="inlineStr">
        <is>
          <t>curl 301 -&gt; follows to https://coop.dk/mad/, 135KB, no F&amp;B category or price evidence found in nav grep (only corporate/careers menu items)</t>
        </is>
      </c>
      <c r="R291" s="13" t="b">
        <v>1</v>
      </c>
      <c r="S291" s="13" t="inlineStr">
        <is>
          <t>-</t>
        </is>
      </c>
      <c r="T291" s="13" t="inlineStr"/>
    </row>
    <row r="292">
      <c r="A292" s="13" t="inlineStr">
        <is>
          <t>eca</t>
        </is>
      </c>
      <c r="B292" s="13" t="inlineStr">
        <is>
          <t>denmark</t>
        </is>
      </c>
      <c r="C292" s="13" t="inlineStr">
        <is>
          <t>Foetex</t>
        </is>
      </c>
      <c r="D292" s="13" t="inlineStr">
        <is>
          <t>https://www.foetex.dk/</t>
        </is>
      </c>
      <c r="E292" s="13" t="inlineStr">
        <is>
          <t>TIER_2</t>
        </is>
      </c>
      <c r="F292" s="13" t="inlineStr">
        <is>
          <t>medium</t>
        </is>
      </c>
      <c r="G292" s="13" t="inlineStr">
        <is>
          <t>Wave 5</t>
        </is>
      </c>
      <c r="H292" s="13" t="inlineStr">
        <is>
          <t>spider</t>
        </is>
      </c>
      <c r="I292" s="13" t="inlineStr">
        <is>
          <t>Playwright DISCOVERY pass first - find the internal JSON endpoint, then scrape it over plain HTTP</t>
        </is>
      </c>
      <c r="J292" s="13" t="inlineStr">
        <is>
          <t>Z_bespoke</t>
        </is>
      </c>
      <c r="K292" s="13" t="inlineStr">
        <is>
          <t>Nuxt</t>
        </is>
      </c>
      <c r="L292" s="13" t="inlineStr">
        <is>
          <t>retailer_sku</t>
        </is>
      </c>
      <c r="M292" s="13" t="inlineStr">
        <is>
          <t>supermarket</t>
        </is>
      </c>
      <c r="N292" s="13" t="inlineStr">
        <is>
          <t>DKK</t>
        </is>
      </c>
      <c r="O292" s="13" t="n">
        <v>0</v>
      </c>
      <c r="P292" s="13" t="inlineStr">
        <is>
          <t>not found (guess 404'd)</t>
        </is>
      </c>
      <c r="Q292" s="13" t="inlineStr">
        <is>
          <t>curl 200, 174KB, Nuxt detected; nav grep found mostly non-food category names (yarn/sewing, lamps, gift categories) with no F&amp;B categories visible pre-render; a guessed category URL 404'd</t>
        </is>
      </c>
      <c r="R292" s="13" t="b">
        <v>1</v>
      </c>
      <c r="S292" s="13" t="inlineStr">
        <is>
          <t>Same Salling Group platform family as Bilka.</t>
        </is>
      </c>
      <c r="T292" s="13" t="inlineStr"/>
    </row>
    <row r="293">
      <c r="A293" s="13" t="inlineStr">
        <is>
          <t>eca</t>
        </is>
      </c>
      <c r="B293" s="13" t="inlineStr">
        <is>
          <t>norway</t>
        </is>
      </c>
      <c r="C293" s="13" t="inlineStr">
        <is>
          <t>Coop Norge</t>
        </is>
      </c>
      <c r="D293" s="13" t="inlineStr">
        <is>
          <t>https://coop.no/</t>
        </is>
      </c>
      <c r="E293" s="13" t="inlineStr">
        <is>
          <t>TIER_2</t>
        </is>
      </c>
      <c r="F293" s="13" t="inlineStr">
        <is>
          <t>medium</t>
        </is>
      </c>
      <c r="G293" s="13" t="inlineStr">
        <is>
          <t>Wave 5</t>
        </is>
      </c>
      <c r="H293" s="13" t="inlineStr">
        <is>
          <t>spider</t>
        </is>
      </c>
      <c r="I293" s="13" t="inlineStr">
        <is>
          <t>Playwright DISCOVERY pass first - find the internal JSON endpoint, then scrape it over plain HTTP</t>
        </is>
      </c>
      <c r="J293" s="13" t="inlineStr">
        <is>
          <t>Z_bespoke</t>
        </is>
      </c>
      <c r="K293" s="13" t="inlineStr">
        <is>
          <t>Custom</t>
        </is>
      </c>
      <c r="L293" s="13" t="inlineStr">
        <is>
          <t>retailer_sku</t>
        </is>
      </c>
      <c r="M293" s="13" t="inlineStr">
        <is>
          <t>supermarket</t>
        </is>
      </c>
      <c r="N293" s="13" t="inlineStr">
        <is>
          <t>NOK</t>
        </is>
      </c>
      <c r="O293" s="13" t="n">
        <v>0</v>
      </c>
      <c r="P293" s="13" t="inlineStr">
        <is>
          <t>not found</t>
        </is>
      </c>
      <c r="Q293" s="13" t="inlineStr">
        <is>
          <t>curl 200, 104KB, no product/category evidence in nav grep - only corporate/membership menu items ('Bli medlem', 'Butikkoversikt', 'Kundeservice')</t>
        </is>
      </c>
      <c r="R293" s="13" t="b">
        <v>1</v>
      </c>
      <c r="S293" s="13" t="inlineStr">
        <is>
          <t>Guessed /varer path 404'd. Real national chain, no block signal - just no category evidence captured within budget.</t>
        </is>
      </c>
      <c r="T293" s="13" t="inlineStr"/>
    </row>
    <row r="294">
      <c r="A294" s="13" t="inlineStr">
        <is>
          <t>eca</t>
        </is>
      </c>
      <c r="B294" s="13" t="inlineStr">
        <is>
          <t>norway</t>
        </is>
      </c>
      <c r="C294" s="13" t="inlineStr">
        <is>
          <t>Spar NO</t>
        </is>
      </c>
      <c r="D294" s="13" t="inlineStr">
        <is>
          <t>https://spar.no/</t>
        </is>
      </c>
      <c r="E294" s="13" t="inlineStr">
        <is>
          <t>TIER_2</t>
        </is>
      </c>
      <c r="F294" s="13" t="inlineStr">
        <is>
          <t>medium</t>
        </is>
      </c>
      <c r="G294" s="13" t="inlineStr">
        <is>
          <t>Wave 5</t>
        </is>
      </c>
      <c r="H294" s="13" t="inlineStr">
        <is>
          <t>spider</t>
        </is>
      </c>
      <c r="I294" s="13" t="inlineStr">
        <is>
          <t>Playwright DISCOVERY pass first - find the internal JSON endpoint, then scrape it over plain HTTP</t>
        </is>
      </c>
      <c r="J294" s="13" t="inlineStr">
        <is>
          <t>Z_bespoke</t>
        </is>
      </c>
      <c r="K294" s="13" t="inlineStr">
        <is>
          <t>Custom</t>
        </is>
      </c>
      <c r="L294" s="13" t="inlineStr">
        <is>
          <t>retailer_sku</t>
        </is>
      </c>
      <c r="M294" s="13" t="inlineStr">
        <is>
          <t>supermarket</t>
        </is>
      </c>
      <c r="N294" s="13" t="inlineStr">
        <is>
          <t>NOK</t>
        </is>
      </c>
      <c r="O294" s="13" t="n">
        <v>0</v>
      </c>
      <c r="P294" s="13" t="inlineStr">
        <is>
          <t>not found</t>
        </is>
      </c>
      <c r="Q294" s="13" t="inlineStr">
        <is>
          <t>curl 200, 184KB, no F&amp;B category evidence in nav grep (menu items only). Guessed /handlelister path 404'd</t>
        </is>
      </c>
      <c r="R294" s="13" t="b">
        <v>1</v>
      </c>
      <c r="S294" s="13" t="inlineStr">
        <is>
          <t>-</t>
        </is>
      </c>
      <c r="T294" s="13" t="inlineStr"/>
    </row>
    <row r="295">
      <c r="A295" s="13" t="inlineStr">
        <is>
          <t>eca</t>
        </is>
      </c>
      <c r="B295" s="13" t="inlineStr">
        <is>
          <t>norway</t>
        </is>
      </c>
      <c r="C295" s="13" t="inlineStr">
        <is>
          <t>Meny</t>
        </is>
      </c>
      <c r="D295" s="13" t="inlineStr">
        <is>
          <t>https://meny.no/</t>
        </is>
      </c>
      <c r="E295" s="13" t="inlineStr">
        <is>
          <t>TIER_2</t>
        </is>
      </c>
      <c r="F295" s="13" t="inlineStr">
        <is>
          <t>medium</t>
        </is>
      </c>
      <c r="G295" s="13" t="inlineStr">
        <is>
          <t>Wave 5</t>
        </is>
      </c>
      <c r="H295" s="13" t="inlineStr">
        <is>
          <t>spider</t>
        </is>
      </c>
      <c r="I295" s="13" t="inlineStr">
        <is>
          <t>Playwright DISCOVERY pass first - find the internal JSON endpoint, then scrape it over plain HTTP</t>
        </is>
      </c>
      <c r="J295" s="13" t="inlineStr">
        <is>
          <t>Z_bespoke</t>
        </is>
      </c>
      <c r="K295" s="13" t="inlineStr">
        <is>
          <t>Custom</t>
        </is>
      </c>
      <c r="L295" s="13" t="inlineStr">
        <is>
          <t>retailer_sku</t>
        </is>
      </c>
      <c r="M295" s="13" t="inlineStr">
        <is>
          <t>supermarket</t>
        </is>
      </c>
      <c r="N295" s="13" t="inlineStr">
        <is>
          <t>NOK</t>
        </is>
      </c>
      <c r="O295" s="13" t="n">
        <v>0</v>
      </c>
      <c r="P295" s="13" t="inlineStr">
        <is>
          <t>not found</t>
        </is>
      </c>
      <c r="Q295" s="13" t="inlineStr">
        <is>
          <t>curl 200, 316KB homepage; /varer path returns 200/227KB but no price pattern or F&amp;B category names matched in nav grep (menu/corporate items only, one recipe name 'Pastagrateng med kjottdeig')</t>
        </is>
      </c>
      <c r="R295" s="13" t="b">
        <v>1</v>
      </c>
      <c r="S295" s="13" t="inlineStr">
        <is>
          <t>The /varer route exists (not 404) but reads as a category hub, not a product listing.</t>
        </is>
      </c>
      <c r="T295" s="13" t="inlineStr"/>
    </row>
    <row r="296">
      <c r="A296" s="13" t="inlineStr">
        <is>
          <t>eca</t>
        </is>
      </c>
      <c r="B296" s="13" t="inlineStr">
        <is>
          <t>croatia</t>
        </is>
      </c>
      <c r="C296" s="13" t="inlineStr">
        <is>
          <t>Tommy / Cjenoteka / Eurospin Croatia / Lidl Croatia</t>
        </is>
      </c>
      <c r="D296" s="13" t="inlineStr">
        <is>
          <t>https://www.tommy.hr/naruci-i-pokupi ; https://cjenoteka.hr/ ; https://www.eurospin.hr/ ; https://www.lidl.hr/</t>
        </is>
      </c>
      <c r="E296" s="13" t="inlineStr">
        <is>
          <t>TIER_2</t>
        </is>
      </c>
      <c r="F296" s="13" t="inlineStr">
        <is>
          <t>medium</t>
        </is>
      </c>
      <c r="G296" s="13" t="inlineStr">
        <is>
          <t>Wave 5</t>
        </is>
      </c>
      <c r="H296" s="13" t="inlineStr">
        <is>
          <t>spider</t>
        </is>
      </c>
      <c r="I296" s="13" t="inlineStr">
        <is>
          <t>Playwright DISCOVERY pass first - find the internal JSON endpoint, then scrape it over plain HTTP</t>
        </is>
      </c>
      <c r="J296" s="13" t="inlineStr">
        <is>
          <t>Z_bespoke</t>
        </is>
      </c>
      <c r="K296" s="13" t="inlineStr">
        <is>
          <t>Next.js/React</t>
        </is>
      </c>
      <c r="L296" s="13" t="inlineStr">
        <is>
          <t>retailer_sku</t>
        </is>
      </c>
      <c r="M296" s="13" t="inlineStr">
        <is>
          <t>supermarket/aggregator</t>
        </is>
      </c>
      <c r="N296" s="13" t="inlineStr">
        <is>
          <t>EUR</t>
        </is>
      </c>
      <c r="O296" s="13" t="n">
        <v>0</v>
      </c>
      <c r="P296" s="13" t="inlineStr"/>
      <c r="Q296" s="13" t="inlineStr">
        <is>
          <t>All 4 returned curl 200 (109KB/671KB/76KB/373KB) with Next.js/React markers present, but a quick grep for price patterns on the homepage/guessed-category found none -- likely needs the correct category URL or Playwright render, not a WAF block.</t>
        </is>
      </c>
      <c r="R296" s="13" t="b">
        <v>1</v>
      </c>
      <c r="S296" s="13" t="inlineStr">
        <is>
          <t>Sampled, not fully verified given time budget -- none of these 403'd, so worth a follow-up probe with a real category URL before writing off. Lidl and Eurospin prices are indirectly recoverable via CroCart in the meantime.</t>
        </is>
      </c>
      <c r="T296" s="13" t="inlineStr"/>
    </row>
    <row r="297">
      <c r="A297" s="13" t="inlineStr">
        <is>
          <t>eca</t>
        </is>
      </c>
      <c r="B297" s="13" t="inlineStr">
        <is>
          <t>czech_republic</t>
        </is>
      </c>
      <c r="C297" s="13" t="inlineStr">
        <is>
          <t>Kosik.cz</t>
        </is>
      </c>
      <c r="D297" s="13" t="inlineStr">
        <is>
          <t>https://www.kosik.cz/</t>
        </is>
      </c>
      <c r="E297" s="13" t="inlineStr">
        <is>
          <t>TIER_2</t>
        </is>
      </c>
      <c r="F297" s="13" t="inlineStr">
        <is>
          <t>medium</t>
        </is>
      </c>
      <c r="G297" s="13" t="inlineStr">
        <is>
          <t>Wave 5</t>
        </is>
      </c>
      <c r="H297" s="13" t="inlineStr">
        <is>
          <t>spider</t>
        </is>
      </c>
      <c r="I297" s="13" t="inlineStr">
        <is>
          <t>Playwright DISCOVERY pass first - find the internal JSON endpoint, then scrape it over plain HTTP</t>
        </is>
      </c>
      <c r="J297" s="13" t="inlineStr">
        <is>
          <t>Z_bespoke</t>
        </is>
      </c>
      <c r="K297" s="13" t="inlineStr">
        <is>
          <t>Vue SPA</t>
        </is>
      </c>
      <c r="L297" s="13" t="inlineStr"/>
      <c r="M297" s="13" t="inlineStr">
        <is>
          <t>supermarket</t>
        </is>
      </c>
      <c r="N297" s="13" t="inlineStr">
        <is>
          <t>CZK</t>
        </is>
      </c>
      <c r="O297" s="13" t="n">
        <v>0</v>
      </c>
      <c r="P297" s="13" t="inlineStr"/>
      <c r="Q297" s="13" t="inlineStr">
        <is>
          <t>GET -&gt; 200 but only 11.2KB, a Vue SPA shell with class='beforeVueInit' and no SSR content.</t>
        </is>
      </c>
      <c r="R297" s="13" t="b">
        <v>1</v>
      </c>
      <c r="S297" s="13" t="inlineStr">
        <is>
          <t>Not a WAF block -- needs a Playwright network-trace to find the internal API, not attempted given time budget.</t>
        </is>
      </c>
      <c r="T297" s="13" t="inlineStr"/>
    </row>
    <row r="298">
      <c r="A298" s="13" t="inlineStr">
        <is>
          <t>eca</t>
        </is>
      </c>
      <c r="B298" s="13" t="inlineStr">
        <is>
          <t>czech_republic</t>
        </is>
      </c>
      <c r="C298" s="13" t="inlineStr">
        <is>
          <t>Albert CZ</t>
        </is>
      </c>
      <c r="D298" s="13" t="inlineStr">
        <is>
          <t>https://www.albert.cz/</t>
        </is>
      </c>
      <c r="E298" s="13" t="inlineStr">
        <is>
          <t>TIER_2</t>
        </is>
      </c>
      <c r="F298" s="13" t="inlineStr">
        <is>
          <t>medium</t>
        </is>
      </c>
      <c r="G298" s="13" t="inlineStr">
        <is>
          <t>Wave 5</t>
        </is>
      </c>
      <c r="H298" s="13" t="inlineStr">
        <is>
          <t>spider</t>
        </is>
      </c>
      <c r="I298" s="13" t="inlineStr">
        <is>
          <t>Playwright DISCOVERY pass first - find the internal JSON endpoint, then scrape it over plain HTTP</t>
        </is>
      </c>
      <c r="J298" s="13" t="inlineStr">
        <is>
          <t>Z_bespoke</t>
        </is>
      </c>
      <c r="K298" s="13" t="inlineStr">
        <is>
          <t>Next.js</t>
        </is>
      </c>
      <c r="L298" s="13" t="inlineStr"/>
      <c r="M298" s="13" t="inlineStr">
        <is>
          <t>supermarket</t>
        </is>
      </c>
      <c r="N298" s="13" t="inlineStr">
        <is>
          <t>CZK</t>
        </is>
      </c>
      <c r="O298" s="13" t="n">
        <v>0</v>
      </c>
      <c r="P298" s="13" t="inlineStr"/>
      <c r="Q298" s="13" t="inlineStr">
        <is>
          <t>GET -&gt; 200, 1.2MB, Next.js markers present, but only placeholder '0,00 Kč' found on homepage. Not blocked (no WAF page).</t>
        </is>
      </c>
      <c r="R298" s="13" t="b">
        <v>1</v>
      </c>
      <c r="S298" s="13" t="inlineStr">
        <is>
          <t>Sampled, inconclusive -- needs a real category URL, not confirmed blocked.</t>
        </is>
      </c>
      <c r="T298" s="13" t="inlineStr"/>
    </row>
    <row r="299">
      <c r="A299" s="13" t="inlineStr">
        <is>
          <t>eca</t>
        </is>
      </c>
      <c r="B299" s="13" t="inlineStr">
        <is>
          <t>latvia</t>
        </is>
      </c>
      <c r="C299" s="13" t="inlineStr">
        <is>
          <t>Rimi Latvia e-veikals</t>
        </is>
      </c>
      <c r="D299" s="13" t="inlineStr">
        <is>
          <t>https://www.rimi.lv/e-veikals/en</t>
        </is>
      </c>
      <c r="E299" s="13" t="inlineStr">
        <is>
          <t>TIER_2</t>
        </is>
      </c>
      <c r="F299" s="13" t="inlineStr">
        <is>
          <t>medium</t>
        </is>
      </c>
      <c r="G299" s="13" t="inlineStr">
        <is>
          <t>Wave 5</t>
        </is>
      </c>
      <c r="H299" s="13" t="inlineStr">
        <is>
          <t>spider</t>
        </is>
      </c>
      <c r="I299" s="13" t="inlineStr">
        <is>
          <t>Playwright DISCOVERY pass first - find the internal JSON endpoint, then scrape it over plain HTTP</t>
        </is>
      </c>
      <c r="J299" s="13" t="inlineStr">
        <is>
          <t>Z_bespoke</t>
        </is>
      </c>
      <c r="K299" s="13" t="inlineStr">
        <is>
          <t>Next/React</t>
        </is>
      </c>
      <c r="L299" s="13" t="inlineStr">
        <is>
          <t>retailer_sku</t>
        </is>
      </c>
      <c r="M299" s="13" t="inlineStr">
        <is>
          <t>supermarket</t>
        </is>
      </c>
      <c r="N299" s="13" t="inlineStr">
        <is>
          <t>EUR</t>
        </is>
      </c>
      <c r="O299" s="13" t="n">
        <v>0</v>
      </c>
      <c r="P299" s="13" t="inlineStr"/>
      <c r="Q299" s="13" t="inlineStr">
        <is>
          <t>GET -&gt; 200, 119KB, Next/React markers present. Guessed category URL /products/f/pieno-produkti-kiausiniai 404'd with 0,00€ placeholders. Not blocked.</t>
        </is>
      </c>
      <c r="R299" s="13" t="b">
        <v>1</v>
      </c>
      <c r="S299" s="13" t="inlineStr">
        <is>
          <t>Per shard, explicit Omnibus 30-day-lowest-price field + separate beverage deposit fee -- high value if the right category URL is found. Not confirmed blocked, just wrong slug guessed.</t>
        </is>
      </c>
      <c r="T299" s="13" t="inlineStr"/>
    </row>
    <row r="300">
      <c r="A300" s="13" t="inlineStr">
        <is>
          <t>eca</t>
        </is>
      </c>
      <c r="B300" s="13" t="inlineStr">
        <is>
          <t>latvia</t>
        </is>
      </c>
      <c r="C300" s="13" t="inlineStr">
        <is>
          <t>Barbora Latvia</t>
        </is>
      </c>
      <c r="D300" s="13" t="inlineStr">
        <is>
          <t>https://barbora.lv/</t>
        </is>
      </c>
      <c r="E300" s="13" t="inlineStr">
        <is>
          <t>TIER_2</t>
        </is>
      </c>
      <c r="F300" s="13" t="inlineStr">
        <is>
          <t>medium</t>
        </is>
      </c>
      <c r="G300" s="13" t="inlineStr">
        <is>
          <t>Wave 5</t>
        </is>
      </c>
      <c r="H300" s="13" t="inlineStr">
        <is>
          <t>spider</t>
        </is>
      </c>
      <c r="I300" s="13" t="inlineStr">
        <is>
          <t>Playwright DISCOVERY pass first - find the internal JSON endpoint, then scrape it over plain HTTP</t>
        </is>
      </c>
      <c r="J300" s="13" t="inlineStr">
        <is>
          <t>Z_bespoke</t>
        </is>
      </c>
      <c r="K300" s="13" t="inlineStr">
        <is>
          <t>Next/React</t>
        </is>
      </c>
      <c r="L300" s="13" t="inlineStr">
        <is>
          <t>retailer_sku</t>
        </is>
      </c>
      <c r="M300" s="13" t="inlineStr">
        <is>
          <t>supermarket</t>
        </is>
      </c>
      <c r="N300" s="13" t="inlineStr">
        <is>
          <t>EUR</t>
        </is>
      </c>
      <c r="O300" s="13" t="n">
        <v>0</v>
      </c>
      <c r="P300" s="13" t="inlineStr"/>
      <c r="Q300" s="13" t="inlineStr">
        <is>
          <t>GET -&gt; 200, 55KB, Next/React markers present, no direct price on homepage.</t>
        </is>
      </c>
      <c r="R300" s="13" t="b">
        <v>1</v>
      </c>
      <c r="S300" s="13" t="inlineStr">
        <is>
          <t>8,000+ goods per shard. Coverage withdrawn from Daugavpils/Liepaja/several regions Nov 2025 -- Riga-area only now.</t>
        </is>
      </c>
      <c r="T300" s="13" t="inlineStr"/>
    </row>
    <row r="301">
      <c r="A301" s="13" t="inlineStr">
        <is>
          <t>eca</t>
        </is>
      </c>
      <c r="B301" s="13" t="inlineStr">
        <is>
          <t>poland</t>
        </is>
      </c>
      <c r="C301" s="13" t="inlineStr">
        <is>
          <t>Biedronka (zakupy.biedronka.pl)</t>
        </is>
      </c>
      <c r="D301" s="13" t="inlineStr">
        <is>
          <t>https://zakupy.biedronka.pl/</t>
        </is>
      </c>
      <c r="E301" s="13" t="inlineStr">
        <is>
          <t>TIER_2</t>
        </is>
      </c>
      <c r="F301" s="13" t="inlineStr">
        <is>
          <t>medium</t>
        </is>
      </c>
      <c r="G301" s="13" t="inlineStr">
        <is>
          <t>Wave 5</t>
        </is>
      </c>
      <c r="H301" s="13" t="inlineStr">
        <is>
          <t>spider</t>
        </is>
      </c>
      <c r="I301" s="13" t="inlineStr">
        <is>
          <t>Playwright DISCOVERY pass first - find the internal JSON endpoint, then scrape it over plain HTTP</t>
        </is>
      </c>
      <c r="J301" s="13" t="inlineStr">
        <is>
          <t>Z_bespoke</t>
        </is>
      </c>
      <c r="K301" s="13" t="inlineStr">
        <is>
          <t>Custom</t>
        </is>
      </c>
      <c r="L301" s="13" t="inlineStr">
        <is>
          <t>retailer_sku</t>
        </is>
      </c>
      <c r="M301" s="13" t="inlineStr">
        <is>
          <t>supermarket</t>
        </is>
      </c>
      <c r="N301" s="13" t="inlineStr">
        <is>
          <t>PLN</t>
        </is>
      </c>
      <c r="O301" s="13" t="n">
        <v>0</v>
      </c>
      <c r="P301" s="13" t="inlineStr"/>
      <c r="Q301" s="13" t="inlineStr">
        <is>
          <t>GET / -&gt; 200, 324KB, only '0,00 zł' placeholder found (empty-cart state). Guessed category /c/nabial -&gt; 410 Gone. Not WAF-blocked.</t>
        </is>
      </c>
      <c r="R301" s="13" t="b">
        <v>1</v>
      </c>
      <c r="S301" s="13" t="inlineStr">
        <is>
          <t>Per shard, per-category item counts are published throughout the tree (Nabiał 140, Słodycze 134, Artykuły spożywcze 577) confirming a rich catalog exists once the right category URL is found. Poland's largest discounter; home delivery currently Warsaw-only per shard note.</t>
        </is>
      </c>
      <c r="T301" s="13" t="inlineStr"/>
    </row>
    <row r="302">
      <c r="A302" s="13" t="inlineStr">
        <is>
          <t>eca</t>
        </is>
      </c>
      <c r="B302" s="13" t="inlineStr">
        <is>
          <t>portugal</t>
        </is>
      </c>
      <c r="C302" s="13" t="inlineStr">
        <is>
          <t>Continente</t>
        </is>
      </c>
      <c r="D302" s="13" t="inlineStr">
        <is>
          <t>https://www.continente.pt/</t>
        </is>
      </c>
      <c r="E302" s="13" t="inlineStr">
        <is>
          <t>TIER_2</t>
        </is>
      </c>
      <c r="F302" s="13" t="inlineStr">
        <is>
          <t>medium</t>
        </is>
      </c>
      <c r="G302" s="13" t="inlineStr">
        <is>
          <t>Wave 5</t>
        </is>
      </c>
      <c r="H302" s="13" t="inlineStr">
        <is>
          <t>spider</t>
        </is>
      </c>
      <c r="I302" s="13" t="inlineStr">
        <is>
          <t>Playwright DISCOVERY pass first - find the internal JSON endpoint, then scrape it over plain HTTP</t>
        </is>
      </c>
      <c r="J302" s="13" t="inlineStr">
        <is>
          <t>Z_bespoke</t>
        </is>
      </c>
      <c r="K302" s="13" t="inlineStr">
        <is>
          <t>Salesforce Commerce Cloud</t>
        </is>
      </c>
      <c r="L302" s="13" t="inlineStr">
        <is>
          <t>retailer_sku</t>
        </is>
      </c>
      <c r="M302" s="13" t="inlineStr">
        <is>
          <t>supermarket</t>
        </is>
      </c>
      <c r="N302" s="13" t="inlineStr">
        <is>
          <t>EUR</t>
        </is>
      </c>
      <c r="O302" s="13" t="n">
        <v>0</v>
      </c>
      <c r="P302" s="13" t="inlineStr"/>
      <c r="Q302" s="13" t="inlineStr">
        <is>
          <t>GET /mercearia/ -&gt; 200, 2.2MB. Confirmed Salesforce-Commerce-Cloud product-tile classes ('ct-product-tile-badge-value--superprice') present in HTML, but exact price text not isolated within the time budget.</t>
        </is>
      </c>
      <c r="R302" s="13" t="b">
        <v>1</v>
      </c>
      <c r="S302" s="13" t="inlineStr">
        <is>
          <t>Not WAF-blocked, real catalog markup confirmed -- needs one more selector pass to pull the price span. Largest PT chain (Sonae), delivers to all mainland + Madeira + S. Miguel.</t>
        </is>
      </c>
      <c r="T302" s="13" t="inlineStr"/>
    </row>
    <row r="303">
      <c r="A303" s="13" t="inlineStr">
        <is>
          <t>eca</t>
        </is>
      </c>
      <c r="B303" s="13" t="inlineStr">
        <is>
          <t>portugal</t>
        </is>
      </c>
      <c r="C303" s="13" t="inlineStr">
        <is>
          <t>Auchan Portugal / Super Save</t>
        </is>
      </c>
      <c r="D303" s="13" t="inlineStr">
        <is>
          <t>https://www.auchan.pt/ ; https://supersave.pt/web/</t>
        </is>
      </c>
      <c r="E303" s="13" t="inlineStr">
        <is>
          <t>TIER_2</t>
        </is>
      </c>
      <c r="F303" s="13" t="inlineStr">
        <is>
          <t>medium</t>
        </is>
      </c>
      <c r="G303" s="13" t="inlineStr">
        <is>
          <t>Wave 5</t>
        </is>
      </c>
      <c r="H303" s="13" t="inlineStr">
        <is>
          <t>spider</t>
        </is>
      </c>
      <c r="I303" s="13" t="inlineStr">
        <is>
          <t>Playwright DISCOVERY pass first - find the internal JSON endpoint, then scrape it over plain HTTP</t>
        </is>
      </c>
      <c r="J303" s="13" t="inlineStr">
        <is>
          <t>Z_bespoke</t>
        </is>
      </c>
      <c r="K303" s="13" t="inlineStr">
        <is>
          <t>mixed</t>
        </is>
      </c>
      <c r="L303" s="13" t="inlineStr">
        <is>
          <t>retailer_sku</t>
        </is>
      </c>
      <c r="M303" s="13" t="inlineStr">
        <is>
          <t>supermarket/aggregator</t>
        </is>
      </c>
      <c r="N303" s="13" t="inlineStr">
        <is>
          <t>EUR</t>
        </is>
      </c>
      <c r="O303" s="13" t="n">
        <v>0</v>
      </c>
      <c r="P303" s="13" t="inlineStr"/>
      <c r="Q303" s="13" t="inlineStr">
        <is>
          <t>Auchan.pt GET / -&gt; 200 (635KB); guessed category 404'd, no price found. Supersave.pt/web/ GET -&gt; 200 (1.06MB), Nuxt/Next/Vue/React markers all present but no price pattern matched.</t>
        </is>
      </c>
      <c r="R303" s="13" t="b">
        <v>1</v>
      </c>
      <c r="S303" s="13" t="inlineStr">
        <is>
          <t>Neither confirmed blocked nor confirmed working -- sampled only, would need a real category URL or Playwright render. Super Save is high-value if unlocked: 7-chain daily comparison per kg/L/unit.</t>
        </is>
      </c>
      <c r="T303" s="13" t="inlineStr"/>
    </row>
    <row r="304">
      <c r="A304" s="13" t="inlineStr">
        <is>
          <t>eca</t>
        </is>
      </c>
      <c r="B304" s="13" t="inlineStr">
        <is>
          <t>spain</t>
        </is>
      </c>
      <c r="C304" s="13" t="inlineStr">
        <is>
          <t>Comparaloo.es / losmejoresproductos.es / Alcampo.es / Lidl Spain</t>
        </is>
      </c>
      <c r="D304" s="13" t="inlineStr">
        <is>
          <t>https://comparaloo.es/ ; https://losmejoresproductos.es/comparativas/ ; https://www.alcampo.es/ ; https://www.lidl.es/</t>
        </is>
      </c>
      <c r="E304" s="13" t="inlineStr">
        <is>
          <t>TIER_2</t>
        </is>
      </c>
      <c r="F304" s="13" t="inlineStr">
        <is>
          <t>medium</t>
        </is>
      </c>
      <c r="G304" s="13" t="inlineStr">
        <is>
          <t>Wave 5</t>
        </is>
      </c>
      <c r="H304" s="13" t="inlineStr">
        <is>
          <t>spider</t>
        </is>
      </c>
      <c r="I304" s="13" t="inlineStr">
        <is>
          <t>Playwright DISCOVERY pass first - find the internal JSON endpoint, then scrape it over plain HTTP</t>
        </is>
      </c>
      <c r="J304" s="13" t="inlineStr">
        <is>
          <t>Z_bespoke</t>
        </is>
      </c>
      <c r="K304" s="13" t="inlineStr">
        <is>
          <t>mixed</t>
        </is>
      </c>
      <c r="L304" s="13" t="inlineStr">
        <is>
          <t>retailer_sku</t>
        </is>
      </c>
      <c r="M304" s="13" t="inlineStr">
        <is>
          <t>aggregator/supermarket</t>
        </is>
      </c>
      <c r="N304" s="13" t="inlineStr">
        <is>
          <t>EUR</t>
        </is>
      </c>
      <c r="O304" s="13" t="n">
        <v>0</v>
      </c>
      <c r="P304" s="13" t="inlineStr"/>
      <c r="Q304" s="13" t="inlineStr">
        <is>
          <t>All 4 GET -&gt; 200 (382KB / 31KB / 688KB / 197KB), none WAF-blocked, but Alcampo showed only '0,00€' placeholders and the other 3 had no price pattern match on the fetched page.</t>
        </is>
      </c>
      <c r="R304" s="13" t="b">
        <v>1</v>
      </c>
      <c r="S304" s="13" t="inlineStr">
        <is>
          <t>Sampled only given time budget -- worth a follow-up with real category/product URLs. Comparaloo has an explicit false-discount detector per shard notes, worth prioritizing if revisited.</t>
        </is>
      </c>
      <c r="T304" s="13" t="inlineStr"/>
    </row>
    <row r="305">
      <c r="A305" s="13" t="inlineStr">
        <is>
          <t>eca</t>
        </is>
      </c>
      <c r="B305" s="13" t="inlineStr">
        <is>
          <t>sweden</t>
        </is>
      </c>
      <c r="C305" s="13" t="inlineStr">
        <is>
          <t>Coop Sweden / ICA (handla.ica.se)</t>
        </is>
      </c>
      <c r="D305" s="13" t="inlineStr">
        <is>
          <t>https://www.coop.se/ ; https://handla.ica.se/</t>
        </is>
      </c>
      <c r="E305" s="13" t="inlineStr">
        <is>
          <t>TIER_2</t>
        </is>
      </c>
      <c r="F305" s="13" t="inlineStr">
        <is>
          <t>medium</t>
        </is>
      </c>
      <c r="G305" s="13" t="inlineStr">
        <is>
          <t>Wave 5</t>
        </is>
      </c>
      <c r="H305" s="13" t="inlineStr">
        <is>
          <t>spider</t>
        </is>
      </c>
      <c r="I305" s="13" t="inlineStr">
        <is>
          <t>Playwright DISCOVERY pass first - find the internal JSON endpoint, then scrape it over plain HTTP</t>
        </is>
      </c>
      <c r="J305" s="13" t="inlineStr">
        <is>
          <t>Z_bespoke</t>
        </is>
      </c>
      <c r="K305" s="13" t="inlineStr">
        <is>
          <t>React/Next</t>
        </is>
      </c>
      <c r="L305" s="13" t="inlineStr">
        <is>
          <t>retailer_sku</t>
        </is>
      </c>
      <c r="M305" s="13" t="inlineStr">
        <is>
          <t>supermarket</t>
        </is>
      </c>
      <c r="N305" s="13" t="inlineStr">
        <is>
          <t>SEK</t>
        </is>
      </c>
      <c r="O305" s="13" t="n">
        <v>0</v>
      </c>
      <c r="P305" s="13" t="inlineStr"/>
      <c r="Q305" s="13" t="inlineStr">
        <is>
          <t>Both GET -&gt; 200 (126KB / 102KB), React/Next markers present, no direct 'kr'/SEK price pattern matched on the homepage.</t>
        </is>
      </c>
      <c r="R305" s="13" t="b">
        <v>1</v>
      </c>
      <c r="S305" s="13" t="inlineStr">
        <is>
          <t>Not confirmed blocked, just no catalog reachable from a bare homepage fetch. ICA per shard requires store selection first ('Välj butik'), which likely explains the empty homepage.</t>
        </is>
      </c>
      <c r="T305" s="13" t="inlineStr"/>
    </row>
    <row r="306">
      <c r="A306" s="13" t="inlineStr">
        <is>
          <t>eca</t>
        </is>
      </c>
      <c r="B306" s="13" t="inlineStr">
        <is>
          <t>united_kingdom</t>
        </is>
      </c>
      <c r="C306" s="13" t="inlineStr">
        <is>
          <t>Morrisons</t>
        </is>
      </c>
      <c r="D306" s="13" t="inlineStr">
        <is>
          <t>https://groceries.morrisons.com/</t>
        </is>
      </c>
      <c r="E306" s="13" t="inlineStr">
        <is>
          <t>TIER_2</t>
        </is>
      </c>
      <c r="F306" s="13" t="inlineStr">
        <is>
          <t>medium</t>
        </is>
      </c>
      <c r="G306" s="13" t="inlineStr">
        <is>
          <t>Wave 5</t>
        </is>
      </c>
      <c r="H306" s="13" t="inlineStr">
        <is>
          <t>spider</t>
        </is>
      </c>
      <c r="I306" s="13" t="inlineStr">
        <is>
          <t>Playwright DISCOVERY pass first - find the internal JSON endpoint, then scrape it over plain HTTP</t>
        </is>
      </c>
      <c r="J306" s="13" t="inlineStr">
        <is>
          <t>Z_bespoke</t>
        </is>
      </c>
      <c r="K306" s="13" t="inlineStr">
        <is>
          <t>Enterprise</t>
        </is>
      </c>
      <c r="L306" s="13" t="inlineStr"/>
      <c r="M306" s="13" t="inlineStr">
        <is>
          <t>supermarket</t>
        </is>
      </c>
      <c r="N306" s="13" t="inlineStr">
        <is>
          <t>GBP</t>
        </is>
      </c>
      <c r="O306" s="13" t="n">
        <v>0</v>
      </c>
      <c r="P306" s="13" t="inlineStr"/>
      <c r="Q306" s="13" t="inlineStr">
        <is>
          <t>GET / -&gt; 200, 653KB. Guessed category /browse/food-cupboard -&gt; 404 (471KB) but still rendered '£25.00'/'£4.30' widgets -- ambiguous, not clearly product prices vs. page furniture.</t>
        </is>
      </c>
      <c r="R306" s="13" t="b">
        <v>1</v>
      </c>
      <c r="S306" s="13" t="inlineStr">
        <is>
          <t>Not confirmed blocked (only chain in the UK shard that didn't outright 403), but not confirmed working either -- needs the correct category URL.</t>
        </is>
      </c>
      <c r="T306" s="13" t="inlineStr"/>
    </row>
    <row r="307">
      <c r="A307" s="13" t="inlineStr">
        <is>
          <t>menaap</t>
        </is>
      </c>
      <c r="B307" s="13" t="inlineStr">
        <is>
          <t>egypt</t>
        </is>
      </c>
      <c r="C307" s="13" t="inlineStr">
        <is>
          <t>InstaShop Egypt</t>
        </is>
      </c>
      <c r="D307" s="13" t="inlineStr">
        <is>
          <t>https://instashop.com/en-eg/</t>
        </is>
      </c>
      <c r="E307" s="13" t="inlineStr">
        <is>
          <t>TIER_2</t>
        </is>
      </c>
      <c r="F307" s="13" t="inlineStr">
        <is>
          <t>high</t>
        </is>
      </c>
      <c r="G307" s="13" t="inlineStr">
        <is>
          <t>Wave 5</t>
        </is>
      </c>
      <c r="H307" s="13" t="inlineStr">
        <is>
          <t>spider</t>
        </is>
      </c>
      <c r="I307" s="13" t="inlineStr">
        <is>
          <t>Playwright DISCOVERY pass first - find the internal JSON endpoint, then scrape it over plain HTTP</t>
        </is>
      </c>
      <c r="J307" s="13" t="inlineStr">
        <is>
          <t>Z_bespoke</t>
        </is>
      </c>
      <c r="K307" s="13" t="inlineStr">
        <is>
          <t>Custom (Cloudflare-fronted)</t>
        </is>
      </c>
      <c r="L307" s="13" t="inlineStr">
        <is>
          <t>seller_directory</t>
        </is>
      </c>
      <c r="M307" s="13" t="inlineStr">
        <is>
          <t>marketplace</t>
        </is>
      </c>
      <c r="N307" s="13" t="inlineStr">
        <is>
          <t>EGP</t>
        </is>
      </c>
      <c r="O307" s="13" t="n">
        <v>0</v>
      </c>
      <c r="P307" s="13" t="inlineStr">
        <is>
          <t>/eshop/v2/superstore</t>
        </is>
      </c>
      <c r="Q307" s="13" t="inlineStr">
        <is>
          <t>curl -&gt; 403 Cloudflare 'Attention Required'. Playwright renders 200 (366KB) past the challenge and captures internal API https://instashop.com/eshop/v2/superstore (597KB JSON) via network trace -- but that same endpoint hit with bare curl (even with countryCode=EG) still 403s Cloudflare, so it needs a browser-cleared session, not just the URL.</t>
        </is>
      </c>
      <c r="R307" s="13" t="b">
        <v>1</v>
      </c>
      <c r="S307" s="13" t="inlineStr">
        <is>
          <t>Marketplace directory of Egyptian partner supermarkets/minimarkets per CSV. Would need Playwright-session-to-curl cookie relay to be worth building; supermarket coverage already well served by Gourmet/HyperOne/Seoudi/Spinneys direct.</t>
        </is>
      </c>
      <c r="T307" s="13" t="inlineStr"/>
    </row>
    <row r="308">
      <c r="A308" s="13" t="inlineStr">
        <is>
          <t>menaap</t>
        </is>
      </c>
      <c r="B308" s="13" t="inlineStr">
        <is>
          <t>egypt</t>
        </is>
      </c>
      <c r="C308" s="13" t="inlineStr">
        <is>
          <t>talabat mart / tKiosk</t>
        </is>
      </c>
      <c r="D308" s="13" t="inlineStr">
        <is>
          <t>https://www.talabat.com/egypt/groceries</t>
        </is>
      </c>
      <c r="E308" s="13" t="inlineStr">
        <is>
          <t>TIER_2</t>
        </is>
      </c>
      <c r="F308" s="13" t="inlineStr">
        <is>
          <t>medium</t>
        </is>
      </c>
      <c r="G308" s="13" t="inlineStr">
        <is>
          <t>Wave 5</t>
        </is>
      </c>
      <c r="H308" s="13" t="inlineStr">
        <is>
          <t>spider</t>
        </is>
      </c>
      <c r="I308" s="13" t="inlineStr">
        <is>
          <t>Playwright DISCOVERY pass first - find the internal JSON endpoint, then scrape it over plain HTTP</t>
        </is>
      </c>
      <c r="J308" s="13" t="inlineStr">
        <is>
          <t>Z_bespoke</t>
        </is>
      </c>
      <c r="K308" s="13" t="inlineStr">
        <is>
          <t>Custom (Next.js)</t>
        </is>
      </c>
      <c r="L308" s="13" t="inlineStr">
        <is>
          <t>retailer_sku</t>
        </is>
      </c>
      <c r="M308" s="13" t="inlineStr">
        <is>
          <t>dark_store</t>
        </is>
      </c>
      <c r="N308" s="13" t="inlineStr">
        <is>
          <t>EGP</t>
        </is>
      </c>
      <c r="O308" s="13" t="n">
        <v>0</v>
      </c>
      <c r="P308" s="13" t="inlineStr">
        <is>
          <t>/egypt/restaurant/{branchId}/{slug} (menu items API not yet located)</t>
        </is>
      </c>
      <c r="Q308" s="13" t="inlineStr">
        <is>
          <t>Confirmed present in the same vendor list as Talabat Egypt (isDarkstore:true, isTalabatGO:true), with a menuUrl e.g. /egypt/restaurant/725603/tmart-haram-talbiya-2. That menu page returns 200 SSR HTML but __NEXT_DATA__.props.pageProps has no product/price data (only cmsData) -- menu items load via a client-side API call not captured by a 7s Playwright network trace.</t>
        </is>
      </c>
      <c r="R308" s="13" t="b">
        <v>1</v>
      </c>
      <c r="S308" s="13" t="inlineStr">
        <is>
          <t>Own-inventory dark store, platform-set pricing (distinct price-formation process from partner stores per CSV -- must be tagged separately if built). Store-level enumeration is free from the same Talabat vendor-list walk; menu/product-price extraction needs a longer Playwright network trace or interaction (add-to-cart click) to surface the item API.</t>
        </is>
      </c>
      <c r="T308" s="13" t="inlineStr"/>
    </row>
    <row r="309">
      <c r="A309" s="13" t="inlineStr">
        <is>
          <t>menaap</t>
        </is>
      </c>
      <c r="B309" s="13" t="inlineStr">
        <is>
          <t>tunisia</t>
        </is>
      </c>
      <c r="C309" s="13" t="inlineStr">
        <is>
          <t>Magik (Gabès)</t>
        </is>
      </c>
      <c r="D309" s="13" t="inlineStr">
        <is>
          <t>https://magik.tn/</t>
        </is>
      </c>
      <c r="E309" s="13" t="inlineStr">
        <is>
          <t>TIER_2</t>
        </is>
      </c>
      <c r="F309" s="13" t="inlineStr">
        <is>
          <t>medium</t>
        </is>
      </c>
      <c r="G309" s="13" t="inlineStr">
        <is>
          <t>Wave 5</t>
        </is>
      </c>
      <c r="H309" s="13" t="inlineStr">
        <is>
          <t>spider</t>
        </is>
      </c>
      <c r="I309" s="13" t="inlineStr">
        <is>
          <t>Playwright DISCOVERY pass first - find the internal JSON endpoint, then scrape it over plain HTTP</t>
        </is>
      </c>
      <c r="J309" s="13" t="inlineStr">
        <is>
          <t>Z_bespoke</t>
        </is>
      </c>
      <c r="K309" s="13" t="inlineStr">
        <is>
          <t>Custom</t>
        </is>
      </c>
      <c r="L309" s="13" t="inlineStr">
        <is>
          <t>retailer_sku</t>
        </is>
      </c>
      <c r="M309" s="13" t="inlineStr">
        <is>
          <t>supermarket</t>
        </is>
      </c>
      <c r="N309" s="13" t="inlineStr">
        <is>
          <t>TND</t>
        </is>
      </c>
      <c r="O309" s="13" t="n">
        <v>0</v>
      </c>
      <c r="P309" s="13" t="inlineStr">
        <is>
          <t>n/a (client-rendered, no API endpoint found yet)</t>
        </is>
      </c>
      <c r="Q309" s="13" t="inlineStr">
        <is>
          <t>curl homepage -&gt; 200, 1.36MB HTML, product links like /produit/avocado-rsab8h and /produit/ailes-de-poulet-wysc2v (chicken wings) visible in raw HTML -- but PDP prices are NOT in SSR HTML (grep for currency patterns only matched CSS false positives, e.g. '1.95rem'). Playwright render of the PDP surfaces real prices in rendered body text ('7.000 TND', '6.500 TND' etc, product='Avocat') but a passive network-response sniff over 5s found no clean JSON product endpoint -- pricing is likely injected via an inline script tag, not a fetchable API.</t>
        </is>
      </c>
      <c r="R309" s="13" t="b">
        <v>0</v>
      </c>
      <c r="S309" s="13" t="inlineStr">
        <is>
          <t>Title says 'Vente en Ligne de Produits Frais' and product slugs confirm fresh produce + fresh/frozen meat -- exactly the coverage gap Otrity/Carrefour TN leave (regional Gabès chain, smaller footprint). Worth a dedicated follow-up Playwright/selector effort to find the price injection point.</t>
        </is>
      </c>
      <c r="T309" s="13" t="inlineStr"/>
    </row>
    <row r="310">
      <c r="A310" s="13" t="inlineStr">
        <is>
          <t>menaap</t>
        </is>
      </c>
      <c r="B310" s="13" t="inlineStr">
        <is>
          <t>morocco</t>
        </is>
      </c>
      <c r="C310" s="13" t="inlineStr">
        <is>
          <t>Carrefour Maroc (Label'Vie)</t>
        </is>
      </c>
      <c r="D310" s="13" t="inlineStr">
        <is>
          <t>https://carrefour.ma/</t>
        </is>
      </c>
      <c r="E310" s="13" t="inlineStr">
        <is>
          <t>TIER_2</t>
        </is>
      </c>
      <c r="F310" s="13" t="inlineStr">
        <is>
          <t>medium</t>
        </is>
      </c>
      <c r="G310" s="13" t="inlineStr">
        <is>
          <t>Wave 5</t>
        </is>
      </c>
      <c r="H310" s="13" t="inlineStr">
        <is>
          <t>spider</t>
        </is>
      </c>
      <c r="I310" s="13" t="inlineStr">
        <is>
          <t>Playwright DISCOVERY pass first - find the internal JSON endpoint, then scrape it over plain HTTP</t>
        </is>
      </c>
      <c r="J310" s="13" t="inlineStr">
        <is>
          <t>Z_bespoke</t>
        </is>
      </c>
      <c r="K310" s="13" t="inlineStr">
        <is>
          <t>Next.js (custom, confirmed NOT the MAF/Algolia stack per CSV note -- Label'Vie-operated)</t>
        </is>
      </c>
      <c r="L310" s="13" t="inlineStr">
        <is>
          <t>retailer_sku</t>
        </is>
      </c>
      <c r="M310" s="13" t="inlineStr">
        <is>
          <t>supermarket</t>
        </is>
      </c>
      <c r="N310" s="13" t="inlineStr">
        <is>
          <t>MAD</t>
        </is>
      </c>
      <c r="O310" s="13" t="n">
        <v>0</v>
      </c>
      <c r="P310" s="13" t="inlineStr">
        <is>
          <t>unknown -- needs Playwright network trace</t>
        </is>
      </c>
      <c r="Q310" s="13" t="inlineStr">
        <is>
          <t>www.carrefour.ma does not resolve (no A/CNAME for www); apex carrefour.ma -&gt; 200, 55KB, but is a Next.js app-router SPA shell with zero product/price mentions in SSR HTML (grep for product|prix|MAD = 0 hits). Guessed API paths (/api/catalog_system/pub/products/search, /api/products) all 404 to the identical 55KB shell -- Next.js client-side catch-all, not real 404s. Did not run Playwright network capture (budget); the real API is not discoverable from static HTML alone.</t>
        </is>
      </c>
      <c r="R310" s="13" t="b">
        <v>1</v>
      </c>
      <c r="S310" s="13" t="inlineStr">
        <is>
          <t>Genuinely promising (major national chain, not hard-walled by a WAF -- just client-hydrated). Recommended next step: Playwright network trace on a category page to find the JSON endpoint.</t>
        </is>
      </c>
      <c r="T310" s="13" t="inlineStr"/>
    </row>
    <row r="311">
      <c r="A311" s="13" t="inlineStr">
        <is>
          <t>menaap</t>
        </is>
      </c>
      <c r="B311" s="13" t="inlineStr">
        <is>
          <t>morocco</t>
        </is>
      </c>
      <c r="C311" s="13" t="inlineStr">
        <is>
          <t>Marjane Market via Glovo</t>
        </is>
      </c>
      <c r="D311" s="13" t="inlineStr">
        <is>
          <t>https://glovoapp.com/fr/ma/casablanca/stores/marjane</t>
        </is>
      </c>
      <c r="E311" s="13" t="inlineStr">
        <is>
          <t>TIER_2</t>
        </is>
      </c>
      <c r="F311" s="13" t="inlineStr">
        <is>
          <t>medium</t>
        </is>
      </c>
      <c r="G311" s="13" t="inlineStr">
        <is>
          <t>Wave 5</t>
        </is>
      </c>
      <c r="H311" s="13" t="inlineStr">
        <is>
          <t>spider</t>
        </is>
      </c>
      <c r="I311" s="13" t="inlineStr">
        <is>
          <t>Playwright DISCOVERY pass first - find the internal JSON endpoint, then scrape it over plain HTTP</t>
        </is>
      </c>
      <c r="J311" s="13" t="inlineStr">
        <is>
          <t>Z_bespoke</t>
        </is>
      </c>
      <c r="K311" s="13" t="inlineStr">
        <is>
          <t>Custom (Glovo React SPA)</t>
        </is>
      </c>
      <c r="L311" s="13" t="inlineStr">
        <is>
          <t>retailer_sku</t>
        </is>
      </c>
      <c r="M311" s="13" t="inlineStr">
        <is>
          <t>delivery_platform</t>
        </is>
      </c>
      <c r="N311" s="13" t="inlineStr">
        <is>
          <t>MAD</t>
        </is>
      </c>
      <c r="O311" s="13" t="n">
        <v>0</v>
      </c>
      <c r="P311" s="13" t="inlineStr">
        <is>
          <t>unknown -- needs Playwright network trace</t>
        </is>
      </c>
      <c r="Q311" s="13" t="inlineStr">
        <is>
          <t>GET -&gt; 200, 913KB (heavy JS bundle), only 2 product/prix/MAD mentions in raw HTML (SPA, client-hydrated). No embedded API base URL string found via grep for __NEXT_DATA__/apiUrl/glovoapp-api patterns. Did not run Playwright network capture within budget.</t>
        </is>
      </c>
      <c r="R311" s="13" t="b">
        <v>1</v>
      </c>
      <c r="S311" s="13" t="inlineStr">
        <is>
          <t>Not hard-walled (200, no WAF signature) -- just needs a real browser network trace, which the brief flags as the single highest-yield move. Recommended follow-up.</t>
        </is>
      </c>
      <c r="T311" s="13" t="inlineStr"/>
    </row>
    <row r="312">
      <c r="A312" s="13" t="inlineStr">
        <is>
          <t>sar</t>
        </is>
      </c>
      <c r="B312" s="13" t="inlineStr">
        <is>
          <t>india</t>
        </is>
      </c>
      <c r="C312" s="13" t="inlineStr">
        <is>
          <t>JioMart</t>
        </is>
      </c>
      <c r="D312" s="13" t="inlineStr">
        <is>
          <t>https://www.jiomart.com/</t>
        </is>
      </c>
      <c r="E312" s="13" t="inlineStr">
        <is>
          <t>TIER_2</t>
        </is>
      </c>
      <c r="F312" s="13" t="inlineStr">
        <is>
          <t>high</t>
        </is>
      </c>
      <c r="G312" s="13" t="inlineStr">
        <is>
          <t>Wave 5</t>
        </is>
      </c>
      <c r="H312" s="13" t="inlineStr">
        <is>
          <t>spider</t>
        </is>
      </c>
      <c r="I312" s="13" t="inlineStr">
        <is>
          <t>Playwright DISCOVERY pass first - find the internal JSON endpoint, then scrape it over plain HTTP</t>
        </is>
      </c>
      <c r="J312" s="13" t="inlineStr">
        <is>
          <t>Z_bespoke</t>
        </is>
      </c>
      <c r="K312" s="13" t="inlineStr">
        <is>
          <t>Fynd/GoFynd (Reliance white-label)</t>
        </is>
      </c>
      <c r="L312" s="13" t="inlineStr">
        <is>
          <t>retailer_sku</t>
        </is>
      </c>
      <c r="M312" s="13" t="inlineStr">
        <is>
          <t>supermarket</t>
        </is>
      </c>
      <c r="N312" s="13" t="inlineStr">
        <is>
          <t>INR</t>
        </is>
      </c>
      <c r="O312" s="13" t="n">
        <v>0</v>
      </c>
      <c r="P312" s="13" t="inlineStr">
        <is>
          <t>api.jiomartjcp.com/service/application/catalog/v1.0/products (session/pincode-gated)</t>
        </is>
      </c>
      <c r="Q312" s="13" t="inlineStr">
        <is>
          <t>curl homepage -&gt; HTTP 200, 7MB HTML (Fynd/GoFynd 'jio-pd' white-label platform, application_id=685945f46c8c7aee3f3af605, backing API host api.jiomartjcp.com). Direct hits to /api/service/application/catalog/v1.0/products and api.jiomartjcp.com/service/application/catalog/v1.0/products both 302-redirect to an /ext/vertex/... auth-gated route or return 401 'Invalid authorization token'. Playwright network-sniff of /c/groceries surfaced only theme-preview and content/tags JSON (46-310KB), never a populated product_lists payload -- reduxData.catalog.product_lists stayed empty, consistent with the storefront requiring a pincode/location selection before the catalog API returns rows.</t>
        </is>
      </c>
      <c r="R312" s="13" t="b">
        <v>0</v>
      </c>
      <c r="S312" s="13" t="inlineStr">
        <is>
          <t>Reliance's grocery arm, huge national footprint -- highest-value unresolved lead in India. Needs a Playwright session that sets a pincode first, then a network trace of the resulting catalog calls to find the unauthenticated (or session-cookie-only) product endpoint. Not cracked within this probe's budget.</t>
        </is>
      </c>
      <c r="T312" s="13" t="inlineStr"/>
    </row>
    <row r="313">
      <c r="A313" s="13" t="inlineStr">
        <is>
          <t>sar</t>
        </is>
      </c>
      <c r="B313" s="13" t="inlineStr">
        <is>
          <t>india</t>
        </is>
      </c>
      <c r="C313" s="13" t="inlineStr">
        <is>
          <t>Dept. of Consumer Affairs daily retail price monitoring (fcainfoweb.nic.in)</t>
        </is>
      </c>
      <c r="D313" s="13" t="inlineStr">
        <is>
          <t>https://fcainfoweb.nic.in/reports/report_menu_web.aspx</t>
        </is>
      </c>
      <c r="E313" s="13" t="inlineStr">
        <is>
          <t>TIER_2</t>
        </is>
      </c>
      <c r="F313" s="13" t="inlineStr">
        <is>
          <t>medium</t>
        </is>
      </c>
      <c r="G313" s="13" t="inlineStr">
        <is>
          <t>Wave 5</t>
        </is>
      </c>
      <c r="H313" s="13" t="inlineStr">
        <is>
          <t>fetcher</t>
        </is>
      </c>
      <c r="I313" s="13" t="inlineStr">
        <is>
          <t>Playwright DISCOVERY pass first - find the internal JSON endpoint, then scrape it over plain HTTP</t>
        </is>
      </c>
      <c r="J313" s="13" t="inlineStr">
        <is>
          <t>Z_bespoke</t>
        </is>
      </c>
      <c r="K313" s="13" t="inlineStr">
        <is>
          <t>ASP.NET WebForms (NIC)</t>
        </is>
      </c>
      <c r="L313" s="13" t="inlineStr">
        <is>
          <t>official_avg</t>
        </is>
      </c>
      <c r="M313" s="13" t="inlineStr">
        <is>
          <t>official_avg</t>
        </is>
      </c>
      <c r="N313" s="13" t="inlineStr">
        <is>
          <t>INR</t>
        </is>
      </c>
      <c r="O313" s="13" t="n">
        <v>0</v>
      </c>
      <c r="P313" s="13" t="inlineStr">
        <is>
          <t>report_menu_web.aspx (ASPX postback)</t>
        </is>
      </c>
      <c r="Q313" s="13" t="inlineStr">
        <is>
          <t>curl -&gt; HTTP 200, 13.1KB HTML. Classic ASP.NET WebForms page (__VIEWSTATE present) -- the price table is rendered via server-side postback after selecting report type/date/commodity, not a plain GET. No JSON API found; would need __VIEWSTATE/__EVENTVALIDATION replay or Playwright form automation.</t>
        </is>
      </c>
      <c r="R313" s="13" t="b">
        <v>0</v>
      </c>
      <c r="S313" s="13" t="inlineStr">
        <is>
          <t>Publicly known to cover ~22 essential commodities daily (rice, wheat/atta, 5 pulses, 5 edible oils, sugar, gur, milk, tea, salt, potato, onion, tomato) across 100+ price-reporting centres -- would add fresh-produce + pulses + oils depth if cracked, but I could not confirm the actual data payload within budget. Do not count leaves for this until the postback flow is verified.</t>
        </is>
      </c>
      <c r="T313" s="13" t="inlineStr"/>
    </row>
    <row r="314">
      <c r="A314" s="13" t="inlineStr">
        <is>
          <t>sar</t>
        </is>
      </c>
      <c r="B314" s="13" t="inlineStr">
        <is>
          <t>bangladesh</t>
        </is>
      </c>
      <c r="C314" s="13" t="inlineStr">
        <is>
          <t>DAM / Ministry of Agriculture market-price directory</t>
        </is>
      </c>
      <c r="D314" s="13" t="inlineStr">
        <is>
          <t>https://market.dam.gov.bd/market_daily_price_report and https://moa-services.com/market-directory/market-daily-price-report</t>
        </is>
      </c>
      <c r="E314" s="13" t="inlineStr">
        <is>
          <t>TIER_2</t>
        </is>
      </c>
      <c r="F314" s="13" t="inlineStr">
        <is>
          <t>medium</t>
        </is>
      </c>
      <c r="G314" s="13" t="inlineStr">
        <is>
          <t>Wave 5</t>
        </is>
      </c>
      <c r="H314" s="13" t="inlineStr">
        <is>
          <t>fetcher</t>
        </is>
      </c>
      <c r="I314" s="13" t="inlineStr">
        <is>
          <t>Playwright DISCOVERY pass first - find the internal JSON endpoint, then scrape it over plain HTTP</t>
        </is>
      </c>
      <c r="J314" s="13" t="inlineStr">
        <is>
          <t>Z_bespoke</t>
        </is>
      </c>
      <c r="K314" s="13" t="inlineStr">
        <is>
          <t>Vue SPA</t>
        </is>
      </c>
      <c r="L314" s="13" t="inlineStr">
        <is>
          <t>official_avg</t>
        </is>
      </c>
      <c r="M314" s="13" t="inlineStr">
        <is>
          <t>official_avg</t>
        </is>
      </c>
      <c r="N314" s="13" t="inlineStr">
        <is>
          <t>BDT</t>
        </is>
      </c>
      <c r="O314" s="13" t="n">
        <v>0</v>
      </c>
      <c r="P314" s="13" t="inlineStr"/>
      <c r="Q314" s="13" t="inlineStr">
        <is>
          <t>Both curl -&gt; HTTP 200 but 0 &lt;td&gt; elements in raw HTML (Vue SPA shells). Playwright passive network-sniff (8s dwell, no interaction) on both URLs captured zero JSON responses -- the site likely requires a date/market dropdown selection before it fires an XHR. Not resolved within budget.</t>
        </is>
      </c>
      <c r="R314" s="13" t="b">
        <v>0</v>
      </c>
      <c r="S314" s="13" t="inlineStr">
        <is>
          <t>dam.gov.bd's homepage links to several distinct report types (comparative market price, daily price report, market directory report, price graphical report, product-wise market price report) via moa-services.com -- if any one of these has an open XHR behind a form submission, this would be the deep fresh-produce/fish/tuber feed the brief flagged as valuable. Needs an interactive Playwright probe (select date + market, then capture the resulting XHR), not attempted here.</t>
        </is>
      </c>
      <c r="T314" s="13" t="inlineStr"/>
    </row>
    <row r="315">
      <c r="A315" s="13" t="inlineStr">
        <is>
          <t>sar</t>
        </is>
      </c>
      <c r="B315" s="13" t="inlineStr">
        <is>
          <t>bangladesh</t>
        </is>
      </c>
      <c r="C315" s="13" t="inlineStr">
        <is>
          <t>Meena Bazar</t>
        </is>
      </c>
      <c r="D315" s="13" t="inlineStr">
        <is>
          <t>https://meenabazaronline.com/ and https://www.meenabazar.live/</t>
        </is>
      </c>
      <c r="E315" s="13" t="inlineStr">
        <is>
          <t>TIER_2</t>
        </is>
      </c>
      <c r="F315" s="13" t="inlineStr">
        <is>
          <t>medium</t>
        </is>
      </c>
      <c r="G315" s="13" t="inlineStr">
        <is>
          <t>Wave 5</t>
        </is>
      </c>
      <c r="H315" s="13" t="inlineStr">
        <is>
          <t>spider</t>
        </is>
      </c>
      <c r="I315" s="13" t="inlineStr">
        <is>
          <t>Playwright DISCOVERY pass first - find the internal JSON endpoint, then scrape it over plain HTTP</t>
        </is>
      </c>
      <c r="J315" s="13" t="inlineStr">
        <is>
          <t>Z_bespoke</t>
        </is>
      </c>
      <c r="K315" s="13" t="inlineStr">
        <is>
          <t>Angular (meenabazaronline.com) / Next.js (meenabazar.live)</t>
        </is>
      </c>
      <c r="L315" s="13" t="inlineStr">
        <is>
          <t>retailer_sku</t>
        </is>
      </c>
      <c r="M315" s="13" t="inlineStr">
        <is>
          <t>supermarket</t>
        </is>
      </c>
      <c r="N315" s="13" t="inlineStr">
        <is>
          <t>BDT</t>
        </is>
      </c>
      <c r="O315" s="13" t="n">
        <v>0</v>
      </c>
      <c r="P315" s="13" t="inlineStr"/>
      <c r="Q315" s="13" t="inlineStr">
        <is>
          <t>Original guessed domains (meenabazar.com.bd, meenaclick.com.bd) failed to resolve/timed out. WebSearch found the real domains: meenabazaronline.com (Angular SPA shell, HTTP 200/4.4KB) and meenabazar.live (Next.js SPA shell, HTTP 200/10.2KB, no __NEXT_DATA__ or api.meenabazar* string found in the shell HTML). Playwright network-sniff of meenabazar.live returned 0 JSON responses in an 8s dwell -- likely needs a delivery-area/store selection before any catalog call fires.</t>
        </is>
      </c>
      <c r="R315" s="13" t="b">
        <v>0</v>
      </c>
      <c r="S315" s="13" t="inlineStr">
        <is>
          <t>One of Bangladesh's largest chains (8,000-10,000 SKUs per public reporting), Dhaka/Chittagong/Khulna. Worth a follow-up Playwright pass with location/store selection before writing off.</t>
        </is>
      </c>
      <c r="T315" s="13" t="inlineStr"/>
    </row>
    <row r="316">
      <c r="A316" s="13" t="inlineStr">
        <is>
          <t>sar</t>
        </is>
      </c>
      <c r="B316" s="13" t="inlineStr">
        <is>
          <t>pakistan</t>
        </is>
      </c>
      <c r="C316" s="13" t="inlineStr">
        <is>
          <t>Imtiaz</t>
        </is>
      </c>
      <c r="D316" s="13" t="inlineStr">
        <is>
          <t>https://shop.imtiaz.com.pk/ (imtiaz.com.pk is the corporate/blog site, not the store)</t>
        </is>
      </c>
      <c r="E316" s="13" t="inlineStr">
        <is>
          <t>TIER_2</t>
        </is>
      </c>
      <c r="F316" s="13" t="inlineStr">
        <is>
          <t>high</t>
        </is>
      </c>
      <c r="G316" s="13" t="inlineStr">
        <is>
          <t>Wave 5</t>
        </is>
      </c>
      <c r="H316" s="13" t="inlineStr">
        <is>
          <t>spider</t>
        </is>
      </c>
      <c r="I316" s="13" t="inlineStr">
        <is>
          <t>Playwright DISCOVERY pass first - find the internal JSON endpoint, then scrape it over plain HTTP</t>
        </is>
      </c>
      <c r="J316" s="13" t="inlineStr">
        <is>
          <t>Z_bespoke</t>
        </is>
      </c>
      <c r="K316" s="13" t="inlineStr">
        <is>
          <t>Custom SPA (quick-commerce white-label)</t>
        </is>
      </c>
      <c r="L316" s="13" t="inlineStr">
        <is>
          <t>retailer_sku</t>
        </is>
      </c>
      <c r="M316" s="13" t="inlineStr">
        <is>
          <t>supermarket</t>
        </is>
      </c>
      <c r="N316" s="13" t="inlineStr">
        <is>
          <t>PKR</t>
        </is>
      </c>
      <c r="O316" s="13" t="n">
        <v>0</v>
      </c>
      <c r="P316" s="13" t="inlineStr">
        <is>
          <t>/api/geofence?restId=55126 (session-gated)</t>
        </is>
      </c>
      <c r="Q316" s="13" t="inlineStr">
        <is>
          <t>imtiaz.com.pk -&gt; corporate WordPress/blog, no shop links on homepage, /shop/ resolves to a 2019 blog post. Real storefront located via WebSearch at shop.imtiaz.com.pk -&gt; HTTP 200 but empty SPA shell (30.3KB, no product links, no prices, S3 assets under a 'blinkximtiaz' bucket suggesting a Blinkit-style quick-commerce white-label). Playwright network-sniff surfaced GET /api/geofence?restId=55126 -&gt; HTTP 200, 886KB JSON inside a live session; bare curl replay of the same URL -&gt; HTTP 400.</t>
        </is>
      </c>
      <c r="R316" s="13" t="b">
        <v>0</v>
      </c>
      <c r="S316" s="13" t="inlineStr">
        <is>
          <t>Pakistan's No.1 retail chain per their own marketing; second-most-valuable unresolved Pakistan lead after Metro. The geofence response is large (886KB) which suggests it may carry store/catalog metadata -- worth a full Playwright session bootstrap (set delivery location, then trace the resulting catalog calls) in a follow-up pass.</t>
        </is>
      </c>
      <c r="T316" s="13" t="inlineStr"/>
    </row>
    <row r="317">
      <c r="A317" s="13" t="inlineStr">
        <is>
          <t>ssa</t>
        </is>
      </c>
      <c r="B317" s="13" t="inlineStr">
        <is>
          <t>ethiopia</t>
        </is>
      </c>
      <c r="C317" s="13" t="inlineStr">
        <is>
          <t>AradaMart</t>
        </is>
      </c>
      <c r="D317" s="13" t="inlineStr">
        <is>
          <t>https://www.aradamart.net/</t>
        </is>
      </c>
      <c r="E317" s="13" t="inlineStr">
        <is>
          <t>TIER_2</t>
        </is>
      </c>
      <c r="F317" s="13" t="inlineStr">
        <is>
          <t>medium</t>
        </is>
      </c>
      <c r="G317" s="13" t="inlineStr">
        <is>
          <t>Wave 5</t>
        </is>
      </c>
      <c r="H317" s="13" t="inlineStr">
        <is>
          <t>spider</t>
        </is>
      </c>
      <c r="I317" s="13" t="inlineStr">
        <is>
          <t>Playwright DISCOVERY pass first - find the internal JSON endpoint, then scrape it over plain HTTP</t>
        </is>
      </c>
      <c r="J317" s="13" t="inlineStr">
        <is>
          <t>Z_bespoke</t>
        </is>
      </c>
      <c r="K317" s="13" t="inlineStr">
        <is>
          <t>Wix</t>
        </is>
      </c>
      <c r="L317" s="13" t="inlineStr">
        <is>
          <t>retailer_sku</t>
        </is>
      </c>
      <c r="M317" s="13" t="inlineStr">
        <is>
          <t>supermarket</t>
        </is>
      </c>
      <c r="N317" s="13" t="inlineStr">
        <is>
          <t>ETB</t>
        </is>
      </c>
      <c r="O317" s="13" t="n">
        <v>0</v>
      </c>
      <c r="P317" s="13" t="inlineStr">
        <is>
          <t>unresolved -- needs Wix eCommerce Storefront API discovery (not in platform_fingerprints.md) or Playwright network trace</t>
        </is>
      </c>
      <c r="Q317" s="13" t="inlineStr">
        <is>
          <t>GET / -&gt; 200, 2.75MB, but it's a Wix site -- catalog is client-rendered via Wix's own store APIs, not present in raw HTML (only currency='ETB' config strings and SVG icon path data, which is what my first price-pattern grep false-matched on). Confirmed WIX in page markers.</t>
        </is>
      </c>
      <c r="R317" s="13" t="b">
        <v>1</v>
      </c>
      <c r="S317" s="13" t="inlineStr">
        <is>
          <t>Prior research claims deep fresh-produce coverage with bilingual Amharic/English names -- plausible and worth chasing, but I could not verify it live this pass, so it is NOT counted in the country total below. Treat as upside.</t>
        </is>
      </c>
      <c r="T317" s="13" t="inlineStr"/>
    </row>
    <row r="318">
      <c r="A318" s="13" t="inlineStr">
        <is>
          <t>ssa</t>
        </is>
      </c>
      <c r="B318" s="13" t="inlineStr">
        <is>
          <t>gabon</t>
        </is>
      </c>
      <c r="C318" s="13" t="inlineStr">
        <is>
          <t>Chap Chap Gabon</t>
        </is>
      </c>
      <c r="D318" s="13" t="inlineStr">
        <is>
          <t>https://chapchapgabon.com/</t>
        </is>
      </c>
      <c r="E318" s="13" t="inlineStr">
        <is>
          <t>TIER_2</t>
        </is>
      </c>
      <c r="F318" s="13" t="inlineStr">
        <is>
          <t>medium</t>
        </is>
      </c>
      <c r="G318" s="13" t="inlineStr">
        <is>
          <t>Wave 5</t>
        </is>
      </c>
      <c r="H318" s="13" t="inlineStr">
        <is>
          <t>spider</t>
        </is>
      </c>
      <c r="I318" s="13" t="inlineStr">
        <is>
          <t>Playwright DISCOVERY pass first - find the internal JSON endpoint, then scrape it over plain HTTP</t>
        </is>
      </c>
      <c r="J318" s="13" t="inlineStr">
        <is>
          <t>Z_bespoke</t>
        </is>
      </c>
      <c r="K318" s="13" t="inlineStr">
        <is>
          <t>React (SPA, platform undetermined)</t>
        </is>
      </c>
      <c r="L318" s="13" t="inlineStr">
        <is>
          <t>retailer_sku</t>
        </is>
      </c>
      <c r="M318" s="13" t="inlineStr">
        <is>
          <t>supermarket</t>
        </is>
      </c>
      <c r="N318" s="13" t="inlineStr">
        <is>
          <t>XAF</t>
        </is>
      </c>
      <c r="O318" s="13" t="n">
        <v>0</v>
      </c>
      <c r="P318" s="13" t="inlineStr">
        <is>
          <t>unresolved -- needs Playwright network trace</t>
        </is>
      </c>
      <c r="Q318" s="13" t="inlineStr">
        <is>
          <t>GET / -&gt; 200, 345KB, but confirmed React in the bundle and no price class / FCFA pattern in raw HTML. An earlier 'sapo' fingerprint hit was a false positive (a base64-looking string containing the substring 'sapo', not the Sapo platform).</t>
        </is>
      </c>
      <c r="R318" s="13" t="b">
        <v>1</v>
      </c>
      <c r="S318" s="13" t="inlineStr">
        <is>
          <t>Live site, real operation (12 cities per prior research) -- worth a Playwright pass, not counted this round.</t>
        </is>
      </c>
      <c r="T318" s="13" t="inlineStr"/>
    </row>
    <row r="319">
      <c r="A319" s="13" t="inlineStr">
        <is>
          <t>ssa</t>
        </is>
      </c>
      <c r="B319" s="13" t="inlineStr">
        <is>
          <t>malawi</t>
        </is>
      </c>
      <c r="C319" s="13" t="inlineStr">
        <is>
          <t>EasyMart Malawi</t>
        </is>
      </c>
      <c r="D319" s="13" t="inlineStr">
        <is>
          <t>https://easymartmalawi.com/</t>
        </is>
      </c>
      <c r="E319" s="13" t="inlineStr">
        <is>
          <t>TIER_2</t>
        </is>
      </c>
      <c r="F319" s="13" t="inlineStr">
        <is>
          <t>medium</t>
        </is>
      </c>
      <c r="G319" s="13" t="inlineStr">
        <is>
          <t>Wave 5</t>
        </is>
      </c>
      <c r="H319" s="13" t="inlineStr">
        <is>
          <t>spider</t>
        </is>
      </c>
      <c r="I319" s="13" t="inlineStr">
        <is>
          <t>Playwright DISCOVERY pass first - find the internal JSON endpoint, then scrape it over plain HTTP</t>
        </is>
      </c>
      <c r="J319" s="13" t="inlineStr">
        <is>
          <t>Z_bespoke</t>
        </is>
      </c>
      <c r="K319" s="13" t="inlineStr">
        <is>
          <t>React (rebuilt, was Custom/server-rendered)</t>
        </is>
      </c>
      <c r="L319" s="13" t="inlineStr">
        <is>
          <t>retailer_sku</t>
        </is>
      </c>
      <c r="M319" s="13" t="inlineStr">
        <is>
          <t>supermarket</t>
        </is>
      </c>
      <c r="N319" s="13" t="inlineStr">
        <is>
          <t>MWK</t>
        </is>
      </c>
      <c r="O319" s="13" t="n">
        <v>0</v>
      </c>
      <c r="P319" s="13" t="inlineStr">
        <is>
          <t>unresolved -- needs Playwright/API sniff against the new build</t>
        </is>
      </c>
      <c r="Q319" s="13" t="inlineStr">
        <is>
          <t>GET / -&gt; 200, only 562 bytes -- the site has been rebuilt as a Vite/React SPA shell (empty div id='root') since the prior audit, which had verified server-rendered placeholder-like prices with a x1000 units convention. That evidence is now stale.</t>
        </is>
      </c>
      <c r="R319" s="13" t="b">
        <v>1</v>
      </c>
      <c r="S319" s="13" t="inlineStr">
        <is>
          <t>Platform migration invalidates the prior 'thousands-notation' finding -- treat as an unverified new probe, not a re-confirmation.</t>
        </is>
      </c>
      <c r="T319" s="13" t="inlineStr"/>
    </row>
    <row r="320">
      <c r="A320" s="13" t="inlineStr">
        <is>
          <t>ssa</t>
        </is>
      </c>
      <c r="B320" s="13" t="inlineStr">
        <is>
          <t>mauritania</t>
        </is>
      </c>
      <c r="C320" s="13" t="inlineStr">
        <is>
          <t>Maurikilchi</t>
        </is>
      </c>
      <c r="D320" s="13" t="inlineStr">
        <is>
          <t>https://maurikilchi.com/</t>
        </is>
      </c>
      <c r="E320" s="13" t="inlineStr">
        <is>
          <t>TIER_2</t>
        </is>
      </c>
      <c r="F320" s="13" t="inlineStr">
        <is>
          <t>medium</t>
        </is>
      </c>
      <c r="G320" s="13" t="inlineStr">
        <is>
          <t>Wave 5</t>
        </is>
      </c>
      <c r="H320" s="13" t="inlineStr">
        <is>
          <t>spider</t>
        </is>
      </c>
      <c r="I320" s="13" t="inlineStr">
        <is>
          <t>Playwright DISCOVERY pass first - find the internal JSON endpoint, then scrape it over plain HTTP</t>
        </is>
      </c>
      <c r="J320" s="13" t="inlineStr">
        <is>
          <t>Z_bespoke</t>
        </is>
      </c>
      <c r="K320" s="13" t="inlineStr">
        <is>
          <t>Laravel + Inertia.js</t>
        </is>
      </c>
      <c r="L320" s="13" t="inlineStr">
        <is>
          <t>retailer_sku</t>
        </is>
      </c>
      <c r="M320" s="13" t="inlineStr">
        <is>
          <t>supermarket</t>
        </is>
      </c>
      <c r="N320" s="13" t="inlineStr">
        <is>
          <t>MRU</t>
        </is>
      </c>
      <c r="O320" s="13" t="n">
        <v>0</v>
      </c>
      <c r="P320" s="13" t="inlineStr">
        <is>
          <t>unresolved -- needs Playwright/API sniff (Inertia typically proxies a JSON endpoint per-page-visit)</t>
        </is>
      </c>
      <c r="Q320" s="13" t="inlineStr">
        <is>
          <t>GET / -&gt; 200, only 1,024 bytes -- pure Laravel Inertia.js SPA shell (data-page="app" JSON marker, single div#app, no SSR content).</t>
        </is>
      </c>
      <c r="R320" s="13" t="b">
        <v>1</v>
      </c>
      <c r="S320" s="13" t="inlineStr">
        <is>
          <t>Marketplace with a dedicated Supermarche category tree per prior research -- worth a Playwright pass.</t>
        </is>
      </c>
      <c r="T320" s="13" t="inlineStr"/>
    </row>
    <row r="321">
      <c r="A321" s="13" t="inlineStr">
        <is>
          <t>ssa</t>
        </is>
      </c>
      <c r="B321" s="13" t="inlineStr">
        <is>
          <t>mauritania</t>
        </is>
      </c>
      <c r="C321" s="13" t="inlineStr">
        <is>
          <t>Almersoul</t>
        </is>
      </c>
      <c r="D321" s="13" t="inlineStr">
        <is>
          <t>https://www.marsarim.com/fr</t>
        </is>
      </c>
      <c r="E321" s="13" t="inlineStr">
        <is>
          <t>TIER_2</t>
        </is>
      </c>
      <c r="F321" s="13" t="inlineStr">
        <is>
          <t>medium</t>
        </is>
      </c>
      <c r="G321" s="13" t="inlineStr">
        <is>
          <t>Wave 5</t>
        </is>
      </c>
      <c r="H321" s="13" t="inlineStr">
        <is>
          <t>spider</t>
        </is>
      </c>
      <c r="I321" s="13" t="inlineStr">
        <is>
          <t>Playwright DISCOVERY pass first - find the internal JSON endpoint, then scrape it over plain HTTP</t>
        </is>
      </c>
      <c r="J321" s="13" t="inlineStr">
        <is>
          <t>Z_bespoke</t>
        </is>
      </c>
      <c r="K321" s="13" t="inlineStr">
        <is>
          <t>Angular</t>
        </is>
      </c>
      <c r="L321" s="13" t="inlineStr">
        <is>
          <t>retailer_sku</t>
        </is>
      </c>
      <c r="M321" s="13" t="inlineStr">
        <is>
          <t>supermarket</t>
        </is>
      </c>
      <c r="N321" s="13" t="inlineStr">
        <is>
          <t>MRU</t>
        </is>
      </c>
      <c r="O321" s="13" t="n">
        <v>0</v>
      </c>
      <c r="P321" s="13" t="inlineStr">
        <is>
          <t>unresolved -- needs Playwright</t>
        </is>
      </c>
      <c r="Q321" s="13" t="inlineStr">
        <is>
          <t>GET /fr -&gt; 200, 26KB, but is an Angular SPA (&lt;base href="/"&gt;, no SSR content) -- no MRU/product text in raw HTML.</t>
        </is>
      </c>
      <c r="R321" s="13" t="b">
        <v>1</v>
      </c>
      <c r="S321" s="13" t="inlineStr">
        <is>
          <t>Market vertical claimed with Sedad/Bankily/Masrvi mobile-money payments; unconfirmed catalog depth.</t>
        </is>
      </c>
      <c r="T321" s="13" t="inlineStr"/>
    </row>
    <row r="322">
      <c r="A322" s="13" t="inlineStr">
        <is>
          <t>ssa</t>
        </is>
      </c>
      <c r="B322" s="13" t="inlineStr">
        <is>
          <t>tanzania</t>
        </is>
      </c>
      <c r="C322" s="13" t="inlineStr">
        <is>
          <t>Jambo Supermarket</t>
        </is>
      </c>
      <c r="D322" s="13" t="inlineStr">
        <is>
          <t>https://www.jambosupermarket.online/</t>
        </is>
      </c>
      <c r="E322" s="13" t="inlineStr">
        <is>
          <t>TIER_2</t>
        </is>
      </c>
      <c r="F322" s="13" t="inlineStr">
        <is>
          <t>medium</t>
        </is>
      </c>
      <c r="G322" s="13" t="inlineStr">
        <is>
          <t>Wave 5</t>
        </is>
      </c>
      <c r="H322" s="13" t="inlineStr">
        <is>
          <t>spider</t>
        </is>
      </c>
      <c r="I322" s="13" t="inlineStr">
        <is>
          <t>Playwright DISCOVERY pass first - find the internal JSON endpoint, then scrape it over plain HTTP</t>
        </is>
      </c>
      <c r="J322" s="13" t="inlineStr">
        <is>
          <t>Z_bespoke</t>
        </is>
      </c>
      <c r="K322" s="13" t="inlineStr">
        <is>
          <t>React (SPA)</t>
        </is>
      </c>
      <c r="L322" s="13" t="inlineStr">
        <is>
          <t>retailer_sku</t>
        </is>
      </c>
      <c r="M322" s="13" t="inlineStr">
        <is>
          <t>supermarket</t>
        </is>
      </c>
      <c r="N322" s="13" t="inlineStr">
        <is>
          <t>TZS</t>
        </is>
      </c>
      <c r="O322" s="13" t="n">
        <v>0</v>
      </c>
      <c r="P322" s="13" t="inlineStr">
        <is>
          <t>unresolved -- needs Playwright/API sniff</t>
        </is>
      </c>
      <c r="Q322" s="13" t="inlineStr">
        <is>
          <t>GET / -&gt; 200, only 477 bytes -- pure Vite/React SPA shell (empty div id='root').</t>
        </is>
      </c>
      <c r="R322" s="13" t="b">
        <v>1</v>
      </c>
      <c r="S322" s="13" t="inlineStr">
        <is>
          <t>5 named Dar es Salaam branches with a branch selector per prior research (supports within-city comparison) -- worth a Playwright pass, not counted this round.</t>
        </is>
      </c>
      <c r="T322" s="13" t="inlineStr"/>
    </row>
    <row r="323">
      <c r="A323" s="13" t="inlineStr">
        <is>
          <t>ssa</t>
        </is>
      </c>
      <c r="B323" s="13" t="inlineStr">
        <is>
          <t>tanzania</t>
        </is>
      </c>
      <c r="C323" s="13" t="inlineStr">
        <is>
          <t>duka.direct (Selcom)</t>
        </is>
      </c>
      <c r="D323" s="13" t="inlineStr">
        <is>
          <t>https://duka.direct/</t>
        </is>
      </c>
      <c r="E323" s="13" t="inlineStr">
        <is>
          <t>TIER_2</t>
        </is>
      </c>
      <c r="F323" s="13" t="inlineStr">
        <is>
          <t>medium</t>
        </is>
      </c>
      <c r="G323" s="13" t="inlineStr">
        <is>
          <t>Wave 5</t>
        </is>
      </c>
      <c r="H323" s="13" t="inlineStr">
        <is>
          <t>spider</t>
        </is>
      </c>
      <c r="I323" s="13" t="inlineStr">
        <is>
          <t>Playwright DISCOVERY pass first - find the internal JSON endpoint, then scrape it over plain HTTP</t>
        </is>
      </c>
      <c r="J323" s="13" t="inlineStr">
        <is>
          <t>Z_bespoke</t>
        </is>
      </c>
      <c r="K323" s="13" t="inlineStr">
        <is>
          <t>Custom</t>
        </is>
      </c>
      <c r="L323" s="13" t="inlineStr">
        <is>
          <t>retailer_sku</t>
        </is>
      </c>
      <c r="M323" s="13" t="inlineStr">
        <is>
          <t>supermarket</t>
        </is>
      </c>
      <c r="N323" s="13" t="inlineStr">
        <is>
          <t>TZS</t>
        </is>
      </c>
      <c r="O323" s="13" t="n">
        <v>0</v>
      </c>
      <c r="P323" s="13" t="inlineStr">
        <is>
          <t>unresolved</t>
        </is>
      </c>
      <c r="Q323" s="13" t="inlineStr">
        <is>
          <t>GET / -&gt; 200, 155KB SEO/marketing landing page (food delivery + utility payments copy). No SPA shell markers found but also no price class or TSh/TZS pattern in the raw HTML -- catalog likely lives behind app/city-selection flow not reached from the bare domain root.</t>
        </is>
      </c>
      <c r="R323" s="13" t="b">
        <v>1</v>
      </c>
      <c r="S323" s="13" t="inlineStr">
        <is>
          <t>Largest Tanzanian e-commerce platform (Selcom-built) per prior research, with a utility-payment vertical as a bonus for administered-price tracking -- worth a deeper path/Playwright pass later.</t>
        </is>
      </c>
      <c r="T323" s="13" t="inlineStr"/>
    </row>
    <row r="324">
      <c r="A324" s="13" t="inlineStr">
        <is>
          <t>ssa</t>
        </is>
      </c>
      <c r="B324" s="13" t="inlineStr">
        <is>
          <t>zimbabwe</t>
        </is>
      </c>
      <c r="C324" s="13" t="inlineStr">
        <is>
          <t>TM Pick n Pay Zimbabwe</t>
        </is>
      </c>
      <c r="D324" s="13" t="inlineStr">
        <is>
          <t>https://tmpnponline.co.zw/</t>
        </is>
      </c>
      <c r="E324" s="13" t="inlineStr">
        <is>
          <t>TIER_2</t>
        </is>
      </c>
      <c r="F324" s="13" t="inlineStr">
        <is>
          <t>medium</t>
        </is>
      </c>
      <c r="G324" s="13" t="inlineStr">
        <is>
          <t>Wave 5</t>
        </is>
      </c>
      <c r="H324" s="13" t="inlineStr">
        <is>
          <t>spider</t>
        </is>
      </c>
      <c r="I324" s="13" t="inlineStr">
        <is>
          <t>Playwright DISCOVERY pass first - find the internal JSON endpoint, then scrape it over plain HTTP</t>
        </is>
      </c>
      <c r="J324" s="13" t="inlineStr">
        <is>
          <t>Z_bespoke</t>
        </is>
      </c>
      <c r="K324" s="13" t="inlineStr">
        <is>
          <t>Custom</t>
        </is>
      </c>
      <c r="L324" s="13" t="inlineStr">
        <is>
          <t>retailer_sku</t>
        </is>
      </c>
      <c r="M324" s="13" t="inlineStr">
        <is>
          <t>supermarket</t>
        </is>
      </c>
      <c r="N324" s="13" t="inlineStr">
        <is>
          <t>USD</t>
        </is>
      </c>
      <c r="O324" s="13" t="n">
        <v>0</v>
      </c>
      <c r="P324" s="13" t="inlineStr">
        <is>
          <t>unresolved</t>
        </is>
      </c>
      <c r="Q324" s="13" t="inlineStr">
        <is>
          <t>GET / -&gt; 200, 54KB. class='products mt-5' confirms a real product-grid container exists, but no $/USD price text matched in the homepage HTML -- likely lazy-loaded or on a category path not probed this pass.</t>
        </is>
      </c>
      <c r="R324" s="13" t="b">
        <v>1</v>
      </c>
      <c r="S324" s="13" t="inlineStr">
        <is>
          <t>Store/region selector + dual USD/ZWG via ZimSwitch per prior research -- major chain, worth a category-page follow-up.</t>
        </is>
      </c>
      <c r="T324" s="13" t="inlineStr"/>
    </row>
    <row r="325">
      <c r="A325" s="13" t="inlineStr">
        <is>
          <t>ssa</t>
        </is>
      </c>
      <c r="B325" s="13" t="inlineStr">
        <is>
          <t>zimbabwe</t>
        </is>
      </c>
      <c r="C325" s="13" t="inlineStr">
        <is>
          <t>TillPoint</t>
        </is>
      </c>
      <c r="D325" s="13" t="inlineStr">
        <is>
          <t>https://tillpoint.co.zw/</t>
        </is>
      </c>
      <c r="E325" s="13" t="inlineStr">
        <is>
          <t>TIER_2</t>
        </is>
      </c>
      <c r="F325" s="13" t="inlineStr">
        <is>
          <t>medium</t>
        </is>
      </c>
      <c r="G325" s="13" t="inlineStr">
        <is>
          <t>Wave 5</t>
        </is>
      </c>
      <c r="H325" s="13" t="inlineStr">
        <is>
          <t>spider</t>
        </is>
      </c>
      <c r="I325" s="13" t="inlineStr">
        <is>
          <t>Playwright DISCOVERY pass first - find the internal JSON endpoint, then scrape it over plain HTTP</t>
        </is>
      </c>
      <c r="J325" s="13" t="inlineStr">
        <is>
          <t>Z_bespoke</t>
        </is>
      </c>
      <c r="K325" s="13" t="inlineStr">
        <is>
          <t>React (SPA)</t>
        </is>
      </c>
      <c r="L325" s="13" t="inlineStr">
        <is>
          <t>retailer_sku</t>
        </is>
      </c>
      <c r="M325" s="13" t="inlineStr">
        <is>
          <t>supermarket</t>
        </is>
      </c>
      <c r="N325" s="13" t="inlineStr">
        <is>
          <t>USD</t>
        </is>
      </c>
      <c r="O325" s="13" t="n">
        <v>0</v>
      </c>
      <c r="P325" s="13" t="inlineStr">
        <is>
          <t>unresolved -- needs Playwright</t>
        </is>
      </c>
      <c r="Q325" s="13" t="inlineStr">
        <is>
          <t>GET / -&gt; 200, 52KB, React app markers (id='root'-style shell); no product/price/api JSON text found in raw HTML.</t>
        </is>
      </c>
      <c r="R325" s="13" t="b">
        <v>1</v>
      </c>
      <c r="S325" s="13" t="inlineStr">
        <is>
          <t>Produce, meat boxes, pantry staples claimed per prior research.</t>
        </is>
      </c>
      <c r="T325" s="13" t="inlineStr"/>
    </row>
    <row r="326">
      <c r="A326" s="13" t="inlineStr">
        <is>
          <t>ssa</t>
        </is>
      </c>
      <c r="B326" s="13" t="inlineStr">
        <is>
          <t>kenya</t>
        </is>
      </c>
      <c r="C326" s="13" t="inlineStr">
        <is>
          <t>Quickmart</t>
        </is>
      </c>
      <c r="D326" s="13" t="inlineStr">
        <is>
          <t>https://www.quickmart.co.ke/</t>
        </is>
      </c>
      <c r="E326" s="13" t="inlineStr">
        <is>
          <t>TIER_2</t>
        </is>
      </c>
      <c r="F326" s="13" t="inlineStr">
        <is>
          <t>medium</t>
        </is>
      </c>
      <c r="G326" s="13" t="inlineStr">
        <is>
          <t>Wave 5</t>
        </is>
      </c>
      <c r="H326" s="13" t="inlineStr">
        <is>
          <t>spider</t>
        </is>
      </c>
      <c r="I326" s="13" t="inlineStr">
        <is>
          <t>Playwright DISCOVERY pass first - find the internal JSON endpoint, then scrape it over plain HTTP</t>
        </is>
      </c>
      <c r="J326" s="13" t="inlineStr">
        <is>
          <t>Z_bespoke</t>
        </is>
      </c>
      <c r="K326" s="13" t="inlineStr">
        <is>
          <t>Custom</t>
        </is>
      </c>
      <c r="L326" s="13" t="inlineStr">
        <is>
          <t>retailer_sku</t>
        </is>
      </c>
      <c r="M326" s="13" t="inlineStr">
        <is>
          <t>supermarket</t>
        </is>
      </c>
      <c r="N326" s="13" t="inlineStr">
        <is>
          <t>KES</t>
        </is>
      </c>
      <c r="O326" s="13" t="n">
        <v>0</v>
      </c>
      <c r="P326" s="13" t="inlineStr"/>
      <c r="Q326" s="13" t="inlineStr">
        <is>
          <t>curl -&gt; HTTP 200 (46.8KB, no product data, no framework fingerprint). Playwright homepage load + 9s wait -&gt; only 3 network responses, all non-product (Google Maps JS). Confirms CSV's own note: catalogue requires a store/location selection step before any product data loads; a single homepage render never reaches it.</t>
        </is>
      </c>
      <c r="R326" s="13" t="b">
        <v>1</v>
      </c>
      <c r="S326" s="13" t="inlineStr">
        <is>
          <t>Widest verified geographic reach in Kenya (19 towns per CSV) -- worth the extra engineering to script the location-select flow, since spatial price dispersion is otherwise unreachable in this shard.</t>
        </is>
      </c>
      <c r="T326" s="13" t="inlineStr"/>
    </row>
    <row r="327">
      <c r="A327" s="13" t="inlineStr">
        <is>
          <t>ssa</t>
        </is>
      </c>
      <c r="B327" s="13" t="inlineStr">
        <is>
          <t>sudan</t>
        </is>
      </c>
      <c r="C327" s="13" t="inlineStr">
        <is>
          <t>Hyper Express</t>
        </is>
      </c>
      <c r="D327" s="13" t="inlineStr">
        <is>
          <t>https://hyper.sd/</t>
        </is>
      </c>
      <c r="E327" s="13" t="inlineStr">
        <is>
          <t>TIER_2</t>
        </is>
      </c>
      <c r="F327" s="13" t="inlineStr">
        <is>
          <t>medium</t>
        </is>
      </c>
      <c r="G327" s="13" t="inlineStr">
        <is>
          <t>Wave 5</t>
        </is>
      </c>
      <c r="H327" s="13" t="inlineStr">
        <is>
          <t>spider</t>
        </is>
      </c>
      <c r="I327" s="13" t="inlineStr">
        <is>
          <t>Playwright DISCOVERY pass first - find the internal JSON endpoint, then scrape it over plain HTTP</t>
        </is>
      </c>
      <c r="J327" s="13" t="inlineStr">
        <is>
          <t>Z_bespoke</t>
        </is>
      </c>
      <c r="K327" s="13" t="inlineStr">
        <is>
          <t>Custom</t>
        </is>
      </c>
      <c r="L327" s="13" t="inlineStr">
        <is>
          <t>retailer_sku</t>
        </is>
      </c>
      <c r="M327" s="13" t="inlineStr">
        <is>
          <t>supermarket</t>
        </is>
      </c>
      <c r="N327" s="13" t="inlineStr">
        <is>
          <t>SDG</t>
        </is>
      </c>
      <c r="O327" s="13" t="n">
        <v>0</v>
      </c>
      <c r="P327" s="13" t="inlineStr"/>
      <c r="Q327" s="13" t="inlineStr">
        <is>
          <t>curl -&gt; HTTP 200, 286KB SSR HTML. No confirmed product-name + price pair found in the sampled HTML (numeric-looking patterns found were SVG path coordinates, a false positive). Needs a category-page-level probe, not just the homepage.</t>
        </is>
      </c>
      <c r="R327" s="13" t="b">
        <v>1</v>
      </c>
      <c r="S327" s="13" t="inlineStr">
        <is>
          <t>Live multi-vertical platform (hypermarket + restaurants + pharmacies) per CSV; unconfirmed within budget, not a hard block.</t>
        </is>
      </c>
      <c r="T327" s="13" t="inlineStr"/>
    </row>
    <row r="328">
      <c r="A328" s="13" t="inlineStr">
        <is>
          <t>ssa</t>
        </is>
      </c>
      <c r="B328" s="13" t="inlineStr">
        <is>
          <t>sudan</t>
        </is>
      </c>
      <c r="C328" s="13" t="inlineStr">
        <is>
          <t>LILY Delivery</t>
        </is>
      </c>
      <c r="D328" s="13" t="inlineStr">
        <is>
          <t>https://www.lilydelivery.com/en</t>
        </is>
      </c>
      <c r="E328" s="13" t="inlineStr">
        <is>
          <t>TIER_2</t>
        </is>
      </c>
      <c r="F328" s="13" t="inlineStr">
        <is>
          <t>medium</t>
        </is>
      </c>
      <c r="G328" s="13" t="inlineStr">
        <is>
          <t>Wave 5</t>
        </is>
      </c>
      <c r="H328" s="13" t="inlineStr">
        <is>
          <t>spider</t>
        </is>
      </c>
      <c r="I328" s="13" t="inlineStr">
        <is>
          <t>Playwright DISCOVERY pass first - find the internal JSON endpoint, then scrape it over plain HTTP</t>
        </is>
      </c>
      <c r="J328" s="13" t="inlineStr">
        <is>
          <t>Z_bespoke</t>
        </is>
      </c>
      <c r="K328" s="13" t="inlineStr">
        <is>
          <t>Custom</t>
        </is>
      </c>
      <c r="L328" s="13" t="inlineStr">
        <is>
          <t>retailer_sku</t>
        </is>
      </c>
      <c r="M328" s="13" t="inlineStr">
        <is>
          <t>supermarket</t>
        </is>
      </c>
      <c r="N328" s="13" t="inlineStr">
        <is>
          <t>SDG</t>
        </is>
      </c>
      <c r="O328" s="13" t="n">
        <v>0</v>
      </c>
      <c r="P328" s="13" t="inlineStr"/>
      <c r="Q328" s="13" t="inlineStr">
        <is>
          <t>curl -&gt; HTTP 200, 247KB. No SDG price pattern found in homepage HTML. Likely needs the specific /order/supermarket/hypermarket vertical URL from the CSV's second row, not probed further within budget.</t>
        </is>
      </c>
      <c r="R328" s="13" t="b">
        <v>1</v>
      </c>
      <c r="S328" s="13" t="inlineStr">
        <is>
          <t>Unconfirmed within budget, not a hard block.</t>
        </is>
      </c>
      <c r="T328" s="13" t="inlineStr"/>
    </row>
    <row r="329">
      <c r="A329" s="13" t="inlineStr">
        <is>
          <t>ssa</t>
        </is>
      </c>
      <c r="B329" s="13" t="inlineStr">
        <is>
          <t>sudan</t>
        </is>
      </c>
      <c r="C329" s="13" t="inlineStr">
        <is>
          <t>Zaad Delivery</t>
        </is>
      </c>
      <c r="D329" s="13" t="inlineStr">
        <is>
          <t>https://zaad.delivery/</t>
        </is>
      </c>
      <c r="E329" s="13" t="inlineStr">
        <is>
          <t>TIER_2</t>
        </is>
      </c>
      <c r="F329" s="13" t="inlineStr">
        <is>
          <t>medium</t>
        </is>
      </c>
      <c r="G329" s="13" t="inlineStr">
        <is>
          <t>Wave 5</t>
        </is>
      </c>
      <c r="H329" s="13" t="inlineStr">
        <is>
          <t>spider</t>
        </is>
      </c>
      <c r="I329" s="13" t="inlineStr">
        <is>
          <t>Playwright DISCOVERY pass first - find the internal JSON endpoint, then scrape it over plain HTTP</t>
        </is>
      </c>
      <c r="J329" s="13" t="inlineStr">
        <is>
          <t>Z_bespoke</t>
        </is>
      </c>
      <c r="K329" s="13" t="inlineStr">
        <is>
          <t>Vue.js SPA</t>
        </is>
      </c>
      <c r="L329" s="13" t="inlineStr">
        <is>
          <t>retailer_sku</t>
        </is>
      </c>
      <c r="M329" s="13" t="inlineStr">
        <is>
          <t>supermarket</t>
        </is>
      </c>
      <c r="N329" s="13" t="inlineStr">
        <is>
          <t>SDG</t>
        </is>
      </c>
      <c r="O329" s="13" t="n">
        <v>0</v>
      </c>
      <c r="P329" s="13" t="inlineStr"/>
      <c r="Q329" s="13" t="inlineStr">
        <is>
          <t>curl -&gt; HTTP 200, 192KB, Vue.js fingerprint found. No SDG price pattern found in raw HTML (client-hydrated, as expected for Vue).</t>
        </is>
      </c>
      <c r="R329" s="13" t="b">
        <v>1</v>
      </c>
      <c r="S329" s="13" t="inlineStr">
        <is>
          <t>Not Playwright-verified within budget.</t>
        </is>
      </c>
      <c r="T329" s="13" t="inlineStr"/>
    </row>
    <row r="330">
      <c r="A330" s="13" t="inlineStr">
        <is>
          <t>ssa</t>
        </is>
      </c>
      <c r="B330" s="13" t="inlineStr">
        <is>
          <t>guinea</t>
        </is>
      </c>
      <c r="C330" s="13" t="inlineStr">
        <is>
          <t>Kona Livr</t>
        </is>
      </c>
      <c r="D330" s="13" t="inlineStr">
        <is>
          <t>https://www.konalivr.com/</t>
        </is>
      </c>
      <c r="E330" s="13" t="inlineStr">
        <is>
          <t>TIER_2</t>
        </is>
      </c>
      <c r="F330" s="13" t="inlineStr">
        <is>
          <t>medium</t>
        </is>
      </c>
      <c r="G330" s="13" t="inlineStr">
        <is>
          <t>Wave 5</t>
        </is>
      </c>
      <c r="H330" s="13" t="inlineStr">
        <is>
          <t>spider</t>
        </is>
      </c>
      <c r="I330" s="13" t="inlineStr">
        <is>
          <t>Playwright DISCOVERY pass first - find the internal JSON endpoint, then scrape it over plain HTTP</t>
        </is>
      </c>
      <c r="J330" s="13" t="inlineStr">
        <is>
          <t>Z_bespoke</t>
        </is>
      </c>
      <c r="K330" s="13" t="inlineStr">
        <is>
          <t>Next.js</t>
        </is>
      </c>
      <c r="L330" s="13" t="inlineStr">
        <is>
          <t>retailer_sku</t>
        </is>
      </c>
      <c r="M330" s="13" t="inlineStr">
        <is>
          <t>supermarket</t>
        </is>
      </c>
      <c r="N330" s="13" t="inlineStr">
        <is>
          <t>GNF</t>
        </is>
      </c>
      <c r="O330" s="13" t="n">
        <v>0</v>
      </c>
      <c r="P330" s="13" t="inlineStr"/>
      <c r="Q330" s="13" t="inlineStr">
        <is>
          <t>curl -&gt; HTTP 200, 112KB Next.js RSC-hydrated HTML. All GNF figures found are delivery-fee thresholds and delivery-time strings ('Frais de livraison offerts des 100 000 GNF', 'livraison 15 000 GNF'), not product prices -- this is a store/restaurant DIRECTORY (name, category, rating, delivery time), not a product catalog at this depth.</t>
        </is>
      </c>
      <c r="R330" s="13" t="b">
        <v>1</v>
      </c>
      <c r="S330" s="13" t="inlineStr">
        <is>
          <t>Per discovery doctrine, treat as a MARKETPLACE lead, not a source: the value here is its partner list (supermarkets/pharmacies/boulangeries in Conakry), each a candidate storefront of its own, reachable only by drilling into per-vendor menu pages.</t>
        </is>
      </c>
      <c r="T330" s="13" t="inlineStr"/>
    </row>
    <row r="331">
      <c r="A331" s="13" t="inlineStr">
        <is>
          <t>ssa</t>
        </is>
      </c>
      <c r="B331" s="13" t="inlineStr">
        <is>
          <t>guinea</t>
        </is>
      </c>
      <c r="C331" s="13" t="inlineStr">
        <is>
          <t>maMakiti</t>
        </is>
      </c>
      <c r="D331" s="13" t="inlineStr">
        <is>
          <t>https://mamakiti.com/</t>
        </is>
      </c>
      <c r="E331" s="13" t="inlineStr">
        <is>
          <t>TIER_2</t>
        </is>
      </c>
      <c r="F331" s="13" t="inlineStr">
        <is>
          <t>medium</t>
        </is>
      </c>
      <c r="G331" s="13" t="inlineStr">
        <is>
          <t>Wave 5</t>
        </is>
      </c>
      <c r="H331" s="13" t="inlineStr">
        <is>
          <t>spider</t>
        </is>
      </c>
      <c r="I331" s="13" t="inlineStr">
        <is>
          <t>Playwright DISCOVERY pass first - find the internal JSON endpoint, then scrape it over plain HTTP</t>
        </is>
      </c>
      <c r="J331" s="13" t="inlineStr">
        <is>
          <t>Z_bespoke</t>
        </is>
      </c>
      <c r="K331" s="13" t="inlineStr">
        <is>
          <t>React/Next.js SPA (likely)</t>
        </is>
      </c>
      <c r="L331" s="13" t="inlineStr">
        <is>
          <t>retailer_sku</t>
        </is>
      </c>
      <c r="M331" s="13" t="inlineStr">
        <is>
          <t>supermarket</t>
        </is>
      </c>
      <c r="N331" s="13" t="inlineStr">
        <is>
          <t>GNF</t>
        </is>
      </c>
      <c r="O331" s="13" t="n">
        <v>0</v>
      </c>
      <c r="P331" s="13" t="inlineStr"/>
      <c r="Q331" s="13" t="inlineStr">
        <is>
          <t>curl -&gt; HTTP 200, 52KB. Only GNF occurrences are JSON-LD boilerplate (priceRange:'GNF', price:'0') -- an SPA shell with no server-rendered product data.</t>
        </is>
      </c>
      <c r="R331" s="13" t="b">
        <v>1</v>
      </c>
      <c r="S331" s="13" t="inlineStr">
        <is>
          <t>Local market produce/vendor commission model per CSV; needs full network-sniff to find its API.</t>
        </is>
      </c>
      <c r="T331" s="13" t="inlineStr"/>
    </row>
    <row r="332">
      <c r="A332" s="13" t="inlineStr">
        <is>
          <t>ssa</t>
        </is>
      </c>
      <c r="B332" s="13" t="inlineStr">
        <is>
          <t>guinea</t>
        </is>
      </c>
      <c r="C332" s="13" t="inlineStr">
        <is>
          <t>BraPrime</t>
        </is>
      </c>
      <c r="D332" s="13" t="inlineStr">
        <is>
          <t>https://www.braprime.com/</t>
        </is>
      </c>
      <c r="E332" s="13" t="inlineStr">
        <is>
          <t>TIER_2</t>
        </is>
      </c>
      <c r="F332" s="13" t="inlineStr">
        <is>
          <t>medium</t>
        </is>
      </c>
      <c r="G332" s="13" t="inlineStr">
        <is>
          <t>Wave 5</t>
        </is>
      </c>
      <c r="H332" s="13" t="inlineStr">
        <is>
          <t>spider</t>
        </is>
      </c>
      <c r="I332" s="13" t="inlineStr">
        <is>
          <t>Playwright DISCOVERY pass first - find the internal JSON endpoint, then scrape it over plain HTTP</t>
        </is>
      </c>
      <c r="J332" s="13" t="inlineStr">
        <is>
          <t>Z_bespoke</t>
        </is>
      </c>
      <c r="K332" s="13" t="inlineStr">
        <is>
          <t>React SPA</t>
        </is>
      </c>
      <c r="L332" s="13" t="inlineStr">
        <is>
          <t>retailer_sku</t>
        </is>
      </c>
      <c r="M332" s="13" t="inlineStr">
        <is>
          <t>supermarket</t>
        </is>
      </c>
      <c r="N332" s="13" t="inlineStr">
        <is>
          <t>GNF</t>
        </is>
      </c>
      <c r="O332" s="13" t="n">
        <v>0</v>
      </c>
      <c r="P332" s="13" t="inlineStr"/>
      <c r="Q332" s="13" t="inlineStr">
        <is>
          <t>curl -&gt; HTTP 200, only 2.4KB body -- a Vite/React SPA shell (class='dark', empty root div).</t>
        </is>
      </c>
      <c r="R332" s="13" t="b">
        <v>1</v>
      </c>
      <c r="S332" s="13" t="inlineStr">
        <is>
          <t>Multi-service delivery platform per CSV; not probed further with Playwright within budget.</t>
        </is>
      </c>
      <c r="T332" s="13" t="inlineStr"/>
    </row>
    <row r="333">
      <c r="A333" s="13" t="inlineStr">
        <is>
          <t>ssa</t>
        </is>
      </c>
      <c r="B333" s="13" t="inlineStr">
        <is>
          <t>congo_dem_rep</t>
        </is>
      </c>
      <c r="C333" s="13" t="inlineStr">
        <is>
          <t>Kin Marche</t>
        </is>
      </c>
      <c r="D333" s="13" t="inlineStr">
        <is>
          <t>https://kinmarche.com/</t>
        </is>
      </c>
      <c r="E333" s="13" t="inlineStr">
        <is>
          <t>TIER_2</t>
        </is>
      </c>
      <c r="F333" s="13" t="inlineStr">
        <is>
          <t>medium</t>
        </is>
      </c>
      <c r="G333" s="13" t="inlineStr">
        <is>
          <t>Wave 5</t>
        </is>
      </c>
      <c r="H333" s="13" t="inlineStr">
        <is>
          <t>spider</t>
        </is>
      </c>
      <c r="I333" s="13" t="inlineStr">
        <is>
          <t>Playwright DISCOVERY pass first - find the internal JSON endpoint, then scrape it over plain HTTP</t>
        </is>
      </c>
      <c r="J333" s="13" t="inlineStr">
        <is>
          <t>Z_bespoke</t>
        </is>
      </c>
      <c r="K333" s="13" t="inlineStr">
        <is>
          <t>Custom</t>
        </is>
      </c>
      <c r="L333" s="13" t="inlineStr">
        <is>
          <t>retailer_sku</t>
        </is>
      </c>
      <c r="M333" s="13" t="inlineStr">
        <is>
          <t>supermarket</t>
        </is>
      </c>
      <c r="N333" s="13" t="inlineStr">
        <is>
          <t>CDF</t>
        </is>
      </c>
      <c r="O333" s="13" t="n">
        <v>0</v>
      </c>
      <c r="P333" s="13" t="inlineStr"/>
      <c r="Q333" s="13" t="inlineStr">
        <is>
          <t>curl -&gt; HTTP 200, 30KB (homepage) and 74KB (/product-categories). No CDF/FC price pattern and no product/category href found in either page -- static shell only exposes nav links (about, contact, stores, product-categories) with no actual category listing content server-rendered.</t>
        </is>
      </c>
      <c r="R333" s="13" t="b">
        <v>1</v>
      </c>
      <c r="S333" s="13" t="inlineStr">
        <is>
          <t>CSV confirms this is a real national chain (Kinshasa/Katanga/Kivu/Kongo Central) with 'Produits frais, Epicerie, Boissons' categories -- the data must exist behind JS/AJAX not reached by a plain curl of the listed pages. Needs Playwright.</t>
        </is>
      </c>
      <c r="T333" s="13" t="inlineStr"/>
    </row>
    <row r="334">
      <c r="A334" s="13" t="inlineStr">
        <is>
          <t>ssa</t>
        </is>
      </c>
      <c r="B334" s="13" t="inlineStr">
        <is>
          <t>cote_divoire</t>
        </is>
      </c>
      <c r="C334" s="13" t="inlineStr">
        <is>
          <t>MegaMarche CI</t>
        </is>
      </c>
      <c r="D334" s="13" t="inlineStr">
        <is>
          <t>https://www.megamarche.ci/</t>
        </is>
      </c>
      <c r="E334" s="13" t="inlineStr">
        <is>
          <t>TIER_2</t>
        </is>
      </c>
      <c r="F334" s="13" t="inlineStr">
        <is>
          <t>medium</t>
        </is>
      </c>
      <c r="G334" s="13" t="inlineStr">
        <is>
          <t>Wave 5</t>
        </is>
      </c>
      <c r="H334" s="13" t="inlineStr">
        <is>
          <t>spider</t>
        </is>
      </c>
      <c r="I334" s="13" t="inlineStr">
        <is>
          <t>Playwright DISCOVERY pass first - find the internal JSON endpoint, then scrape it over plain HTTP</t>
        </is>
      </c>
      <c r="J334" s="13" t="inlineStr">
        <is>
          <t>Z_bespoke</t>
        </is>
      </c>
      <c r="K334" s="13" t="inlineStr">
        <is>
          <t>Custom</t>
        </is>
      </c>
      <c r="L334" s="13" t="inlineStr">
        <is>
          <t>retailer_sku</t>
        </is>
      </c>
      <c r="M334" s="13" t="inlineStr">
        <is>
          <t>supermarket</t>
        </is>
      </c>
      <c r="N334" s="13" t="inlineStr">
        <is>
          <t>XOF</t>
        </is>
      </c>
      <c r="O334" s="13" t="n">
        <v>0</v>
      </c>
      <c r="P334" s="13" t="inlineStr"/>
      <c r="Q334" s="13" t="inlineStr">
        <is>
          <t>curl -&gt; HTTP 200, 252KB. No FCFA/XOF price pattern, no product/category href found. Playwright render (5s wait + scroll) -&gt; zero JSON/API responses captured. Site appears to require login or store selection before any catalogue content appears.</t>
        </is>
      </c>
      <c r="R334" s="13" t="b">
        <v>1</v>
      </c>
      <c r="S334" s="13" t="inlineStr">
        <is>
          <t>Not a hard block (200 throughout) but unconfirmed within budget.</t>
        </is>
      </c>
      <c r="T334" s="13" t="inlineStr"/>
    </row>
    <row r="335">
      <c r="A335" s="13" t="inlineStr">
        <is>
          <t>ssa</t>
        </is>
      </c>
      <c r="B335" s="13" t="inlineStr">
        <is>
          <t>cote_divoire</t>
        </is>
      </c>
      <c r="C335" s="13" t="inlineStr">
        <is>
          <t>Playce / Carrefour CI</t>
        </is>
      </c>
      <c r="D335" s="13" t="inlineStr">
        <is>
          <t>https://playce.ci/</t>
        </is>
      </c>
      <c r="E335" s="13" t="inlineStr">
        <is>
          <t>TIER_2</t>
        </is>
      </c>
      <c r="F335" s="13" t="inlineStr">
        <is>
          <t>medium</t>
        </is>
      </c>
      <c r="G335" s="13" t="inlineStr">
        <is>
          <t>Wave 5</t>
        </is>
      </c>
      <c r="H335" s="13" t="inlineStr">
        <is>
          <t>spider</t>
        </is>
      </c>
      <c r="I335" s="13" t="inlineStr">
        <is>
          <t>Playwright DISCOVERY pass first - find the internal JSON endpoint, then scrape it over plain HTTP</t>
        </is>
      </c>
      <c r="J335" s="13" t="inlineStr">
        <is>
          <t>Z_bespoke</t>
        </is>
      </c>
      <c r="K335" s="13" t="inlineStr">
        <is>
          <t>WordPress (store-locator only)</t>
        </is>
      </c>
      <c r="L335" s="13" t="inlineStr">
        <is>
          <t>retailer_sku</t>
        </is>
      </c>
      <c r="M335" s="13" t="inlineStr">
        <is>
          <t>supermarket</t>
        </is>
      </c>
      <c r="N335" s="13" t="inlineStr">
        <is>
          <t>XOF</t>
        </is>
      </c>
      <c r="O335" s="13" t="n">
        <v>0</v>
      </c>
      <c r="P335" s="13" t="inlineStr"/>
      <c r="Q335" s="13" t="inlineStr">
        <is>
          <t>curl -&gt; HTTP 200, 136KB. Playwright network trace found only a WP admin-ajax store-locator call (action=store_search) and Google Maps assets -- no product catalog API observed.</t>
        </is>
      </c>
      <c r="R335" s="13" t="b">
        <v>1</v>
      </c>
      <c r="S335" s="13" t="inlineStr">
        <is>
          <t>CFAO-operated Carrefour franchise per CSV; the page found is a store-locator, not a shop front. Product catalog likely lives elsewhere or behind further navigation not reached within budget.</t>
        </is>
      </c>
      <c r="T335" s="13" t="inlineStr"/>
    </row>
    <row r="336">
      <c r="A336" s="13" t="inlineStr">
        <is>
          <t>ssa</t>
        </is>
      </c>
      <c r="B336" s="13" t="inlineStr">
        <is>
          <t>rwanda</t>
        </is>
      </c>
      <c r="C336" s="13" t="inlineStr">
        <is>
          <t>haha.rw</t>
        </is>
      </c>
      <c r="D336" s="13" t="inlineStr">
        <is>
          <t>https://haha.rw/</t>
        </is>
      </c>
      <c r="E336" s="13" t="inlineStr">
        <is>
          <t>TIER_2</t>
        </is>
      </c>
      <c r="F336" s="13" t="inlineStr">
        <is>
          <t>medium</t>
        </is>
      </c>
      <c r="G336" s="13" t="inlineStr">
        <is>
          <t>Wave 5</t>
        </is>
      </c>
      <c r="H336" s="13" t="inlineStr">
        <is>
          <t>spider</t>
        </is>
      </c>
      <c r="I336" s="13" t="inlineStr">
        <is>
          <t>Playwright DISCOVERY pass first - find the internal JSON endpoint, then scrape it over plain HTTP</t>
        </is>
      </c>
      <c r="J336" s="13" t="inlineStr">
        <is>
          <t>Z_bespoke</t>
        </is>
      </c>
      <c r="K336" s="13" t="inlineStr">
        <is>
          <t>React SPA (Vite)</t>
        </is>
      </c>
      <c r="L336" s="13" t="inlineStr">
        <is>
          <t>retailer_sku</t>
        </is>
      </c>
      <c r="M336" s="13" t="inlineStr">
        <is>
          <t>supermarket</t>
        </is>
      </c>
      <c r="N336" s="13" t="inlineStr">
        <is>
          <t>RWF</t>
        </is>
      </c>
      <c r="O336" s="13" t="n">
        <v>0</v>
      </c>
      <c r="P336" s="13" t="inlineStr"/>
      <c r="Q336" s="13" t="inlineStr">
        <is>
          <t>curl -&gt; HTTP 200 but only 779 bytes -- a Vite/React SPA shell ('&lt;div id="root"&gt;&lt;/div&gt;', hashed asset bundle). CSV describes this as 'server-rendered' which is incorrect; it is client-hydrated.</t>
        </is>
      </c>
      <c r="R336" s="13" t="b">
        <v>1</v>
      </c>
      <c r="S336" s="13" t="inlineStr">
        <is>
          <t>CSV's claim of 'RWF prices per kg/piece/bunch, 6 named Kigali markets' must have come from a rendered/API view, not the raw HTML -- needs an API-sniff Playwright pass to find the JSON backend.</t>
        </is>
      </c>
      <c r="T336" s="13" t="inlineStr"/>
    </row>
    <row r="337">
      <c r="A337" s="13" t="inlineStr">
        <is>
          <t>ssa</t>
        </is>
      </c>
      <c r="B337" s="13" t="inlineStr">
        <is>
          <t>rwanda</t>
        </is>
      </c>
      <c r="C337" s="13" t="inlineStr">
        <is>
          <t>Fasita</t>
        </is>
      </c>
      <c r="D337" s="13" t="inlineStr">
        <is>
          <t>https://fasita.rw/</t>
        </is>
      </c>
      <c r="E337" s="13" t="inlineStr">
        <is>
          <t>TIER_2</t>
        </is>
      </c>
      <c r="F337" s="13" t="inlineStr">
        <is>
          <t>medium</t>
        </is>
      </c>
      <c r="G337" s="13" t="inlineStr">
        <is>
          <t>Wave 5</t>
        </is>
      </c>
      <c r="H337" s="13" t="inlineStr">
        <is>
          <t>spider</t>
        </is>
      </c>
      <c r="I337" s="13" t="inlineStr">
        <is>
          <t>Playwright DISCOVERY pass first - find the internal JSON endpoint, then scrape it over plain HTTP</t>
        </is>
      </c>
      <c r="J337" s="13" t="inlineStr">
        <is>
          <t>Z_bespoke</t>
        </is>
      </c>
      <c r="K337" s="13" t="inlineStr">
        <is>
          <t>Next.js</t>
        </is>
      </c>
      <c r="L337" s="13" t="inlineStr">
        <is>
          <t>retailer_sku</t>
        </is>
      </c>
      <c r="M337" s="13" t="inlineStr">
        <is>
          <t>supermarket</t>
        </is>
      </c>
      <c r="N337" s="13" t="inlineStr">
        <is>
          <t>RWF</t>
        </is>
      </c>
      <c r="O337" s="13" t="n">
        <v>0</v>
      </c>
      <c r="P337" s="13" t="inlineStr"/>
      <c r="Q337" s="13" t="inlineStr">
        <is>
          <t>curl -&gt; HTTP 200, 40.5KB, Next.js app (App Router, RSC preload tags). No RWF price pattern found on the homepage itself.</t>
        </is>
      </c>
      <c r="R337" s="13" t="b">
        <v>1</v>
      </c>
      <c r="S337" s="13" t="inlineStr">
        <is>
          <t>Homepage is a landing/marketing shell; category or product pages not probed within budget.</t>
        </is>
      </c>
      <c r="T337" s="13" t="inlineStr"/>
    </row>
    <row r="338">
      <c r="A338" s="13" t="inlineStr">
        <is>
          <t>ssa</t>
        </is>
      </c>
      <c r="B338" s="13" t="inlineStr">
        <is>
          <t>rwanda</t>
        </is>
      </c>
      <c r="C338" s="13" t="inlineStr">
        <is>
          <t>N.Honest Supermarket</t>
        </is>
      </c>
      <c r="D338" s="13" t="inlineStr">
        <is>
          <t>https://www.honestsupermarket.com/</t>
        </is>
      </c>
      <c r="E338" s="13" t="inlineStr">
        <is>
          <t>TIER_2</t>
        </is>
      </c>
      <c r="F338" s="13" t="inlineStr">
        <is>
          <t>high</t>
        </is>
      </c>
      <c r="G338" s="13" t="inlineStr">
        <is>
          <t>Wave 5</t>
        </is>
      </c>
      <c r="H338" s="13" t="inlineStr">
        <is>
          <t>spider</t>
        </is>
      </c>
      <c r="I338" s="13" t="inlineStr">
        <is>
          <t>Playwright DISCOVERY pass first - find the internal JSON endpoint, then scrape it over plain HTTP</t>
        </is>
      </c>
      <c r="J338" s="13" t="inlineStr">
        <is>
          <t>Z_bespoke</t>
        </is>
      </c>
      <c r="K338" s="13" t="inlineStr">
        <is>
          <t>Custom</t>
        </is>
      </c>
      <c r="L338" s="13" t="inlineStr">
        <is>
          <t>retailer_sku</t>
        </is>
      </c>
      <c r="M338" s="13" t="inlineStr">
        <is>
          <t>supermarket</t>
        </is>
      </c>
      <c r="N338" s="13" t="inlineStr">
        <is>
          <t>RWF</t>
        </is>
      </c>
      <c r="O338" s="13" t="n">
        <v>0</v>
      </c>
      <c r="P338" s="13" t="inlineStr"/>
      <c r="Q338" s="13" t="inlineStr">
        <is>
          <t>curl -&gt; HTTP 200, 115KB. Cart summary shows 'RWF 0.00' placeholders (client-side cart JS, no server data). Corroborates CSV's own note that the product API returns HTTP 403.</t>
        </is>
      </c>
      <c r="R338" s="13" t="b">
        <v>1</v>
      </c>
      <c r="S338" s="13" t="inlineStr">
        <is>
          <t>CSV already diagnosed the API-level 403; this probe corroborates it rather than re-litigating.</t>
        </is>
      </c>
      <c r="T338" s="13" t="inlineStr"/>
    </row>
    <row r="339">
      <c r="A339" s="13" t="inlineStr">
        <is>
          <t>ssa</t>
        </is>
      </c>
      <c r="B339" s="13" t="inlineStr">
        <is>
          <t>rwanda</t>
        </is>
      </c>
      <c r="C339" s="13" t="inlineStr">
        <is>
          <t>Pride Farms</t>
        </is>
      </c>
      <c r="D339" s="13" t="inlineStr">
        <is>
          <t>https://www.pridefarms.rw/</t>
        </is>
      </c>
      <c r="E339" s="13" t="inlineStr">
        <is>
          <t>TIER_2</t>
        </is>
      </c>
      <c r="F339" s="13" t="inlineStr">
        <is>
          <t>medium</t>
        </is>
      </c>
      <c r="G339" s="13" t="inlineStr">
        <is>
          <t>Wave 5</t>
        </is>
      </c>
      <c r="H339" s="13" t="inlineStr">
        <is>
          <t>spider</t>
        </is>
      </c>
      <c r="I339" s="13" t="inlineStr">
        <is>
          <t>Playwright DISCOVERY pass first - find the internal JSON endpoint, then scrape it over plain HTTP</t>
        </is>
      </c>
      <c r="J339" s="13" t="inlineStr">
        <is>
          <t>Z_bespoke</t>
        </is>
      </c>
      <c r="K339" s="13" t="inlineStr">
        <is>
          <t>Wix</t>
        </is>
      </c>
      <c r="L339" s="13" t="inlineStr">
        <is>
          <t>retailer_sku</t>
        </is>
      </c>
      <c r="M339" s="13" t="inlineStr">
        <is>
          <t>supermarket</t>
        </is>
      </c>
      <c r="N339" s="13" t="inlineStr">
        <is>
          <t>RWF</t>
        </is>
      </c>
      <c r="O339" s="13" t="n">
        <v>0</v>
      </c>
      <c r="P339" s="13" t="inlineStr"/>
      <c r="Q339" s="13" t="inlineStr">
        <is>
          <t>curl -&gt; HTTP 200, 1.5MB (Wix). No RWF price pattern found anywhere in the raw HTML -- Wix sites typically load catalog data via a client-side Velo/data-binding API, not SSR.</t>
        </is>
      </c>
      <c r="R339" s="13" t="b">
        <v>1</v>
      </c>
      <c r="S339" s="13" t="inlineStr">
        <is>
          <t>Farm-to-door produce and pantry per CSV; would need a Wix Stores API sniff (their catalog endpoint is usually _api/wix-ecommerce-storefront-web/api or similar).</t>
        </is>
      </c>
      <c r="T339" s="13" t="inlineStr"/>
    </row>
    <row r="340">
      <c r="A340" s="13" t="inlineStr">
        <is>
          <t>ssa</t>
        </is>
      </c>
      <c r="B340" s="13" t="inlineStr">
        <is>
          <t>cabo_verde</t>
        </is>
      </c>
      <c r="C340" s="13" t="inlineStr">
        <is>
          <t>Deliiv</t>
        </is>
      </c>
      <c r="D340" s="13" t="inlineStr">
        <is>
          <t>https://deliiv.cv/</t>
        </is>
      </c>
      <c r="E340" s="13" t="inlineStr">
        <is>
          <t>TIER_2</t>
        </is>
      </c>
      <c r="F340" s="13" t="inlineStr">
        <is>
          <t>medium</t>
        </is>
      </c>
      <c r="G340" s="13" t="inlineStr">
        <is>
          <t>Wave 5</t>
        </is>
      </c>
      <c r="H340" s="13" t="inlineStr">
        <is>
          <t>spider</t>
        </is>
      </c>
      <c r="I340" s="13" t="inlineStr">
        <is>
          <t>Playwright DISCOVERY pass first - find the internal JSON endpoint, then scrape it over plain HTTP</t>
        </is>
      </c>
      <c r="J340" s="13" t="inlineStr">
        <is>
          <t>Z_bespoke</t>
        </is>
      </c>
      <c r="K340" s="13" t="inlineStr">
        <is>
          <t>Custom</t>
        </is>
      </c>
      <c r="L340" s="13" t="inlineStr">
        <is>
          <t>retailer_sku</t>
        </is>
      </c>
      <c r="M340" s="13" t="inlineStr">
        <is>
          <t>supermarket</t>
        </is>
      </c>
      <c r="N340" s="13" t="inlineStr">
        <is>
          <t>CVE</t>
        </is>
      </c>
      <c r="O340" s="13" t="n">
        <v>0</v>
      </c>
      <c r="P340" s="13" t="inlineStr"/>
      <c r="Q340" s="13" t="inlineStr">
        <is>
          <t>curl -&gt; HTTP 200, 119KB. No CVE product-price pattern found in the raw HTML.</t>
        </is>
      </c>
      <c r="R340" s="13" t="b">
        <v>1</v>
      </c>
      <c r="S340" s="13" t="inlineStr">
        <is>
          <t>Praia/Tarrafal restaurant + daily-shopping delivery per CSV; likely a restaurant-menu aggregator rather than grocery SKUs at first glance, unconfirmed within budget.</t>
        </is>
      </c>
      <c r="T340" s="13" t="inlineStr"/>
    </row>
    <row r="341">
      <c r="A341" s="13" t="inlineStr">
        <is>
          <t>ssa</t>
        </is>
      </c>
      <c r="B341" s="13" t="inlineStr">
        <is>
          <t>cabo_verde</t>
        </is>
      </c>
      <c r="C341" s="13" t="inlineStr">
        <is>
          <t>GO.cv (Correios CV)</t>
        </is>
      </c>
      <c r="D341" s="13" t="inlineStr">
        <is>
          <t>https://www.go.cv/</t>
        </is>
      </c>
      <c r="E341" s="13" t="inlineStr">
        <is>
          <t>TIER_2</t>
        </is>
      </c>
      <c r="F341" s="13" t="inlineStr">
        <is>
          <t>medium</t>
        </is>
      </c>
      <c r="G341" s="13" t="inlineStr">
        <is>
          <t>Wave 5</t>
        </is>
      </c>
      <c r="H341" s="13" t="inlineStr">
        <is>
          <t>fetcher</t>
        </is>
      </c>
      <c r="I341" s="13" t="inlineStr">
        <is>
          <t>Playwright DISCOVERY pass first - find the internal JSON endpoint, then scrape it over plain HTTP</t>
        </is>
      </c>
      <c r="J341" s="13" t="inlineStr">
        <is>
          <t>Z_bespoke</t>
        </is>
      </c>
      <c r="K341" s="13" t="inlineStr">
        <is>
          <t>Custom</t>
        </is>
      </c>
      <c r="L341" s="13" t="inlineStr">
        <is>
          <t>aggregate_proxy</t>
        </is>
      </c>
      <c r="M341" s="13" t="inlineStr">
        <is>
          <t>supermarket</t>
        </is>
      </c>
      <c r="N341" s="13" t="inlineStr">
        <is>
          <t>CVE</t>
        </is>
      </c>
      <c r="O341" s="13" t="n">
        <v>0</v>
      </c>
      <c r="P341" s="13" t="inlineStr"/>
      <c r="Q341" s="13" t="inlineStr">
        <is>
          <t>curl -&gt; DNS resolves (87.103.13.203) but TLS handshake times out after 20s (connection hangs, not a clean refusal/403). Distinct from a WAF block -- looks like a slow or overloaded origin.</t>
        </is>
      </c>
      <c r="R341" s="13" t="b">
        <v>1</v>
      </c>
      <c r="S341" s="13" t="inlineStr">
        <is>
          <t>National postal multi-vendor marketplace per CSV -- worth a retry with a longer timeout before writing off; the TLS handshake got partway through, suggesting a live-but-slow origin rather than a hard block.</t>
        </is>
      </c>
      <c r="T341" s="13" t="inlineStr"/>
    </row>
  </sheetData>
  <autoFilter ref="A1:T3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686"/>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0" customWidth="1" min="3" max="3"/>
    <col width="13" customWidth="1" min="4" max="4"/>
    <col width="23" customWidth="1" min="5" max="5"/>
    <col width="43" customWidth="1" min="6" max="6"/>
    <col width="56" customWidth="1" min="7" max="7"/>
    <col width="12" customWidth="1" min="8" max="8"/>
    <col width="14" customWidth="1" min="9" max="9"/>
    <col width="18" customWidth="1" min="10" max="10"/>
    <col width="51" customWidth="1" min="11" max="11"/>
    <col width="58" customWidth="1" min="12" max="12"/>
    <col width="10" customWidth="1" min="13" max="13"/>
    <col width="29" customWidth="1" min="14" max="14"/>
    <col width="14" customWidth="1" min="15" max="15"/>
    <col width="20" customWidth="1" min="16" max="16"/>
    <col width="10" customWidth="1" min="17" max="17"/>
    <col width="44" customWidth="1" min="18" max="18"/>
    <col width="35" customWidth="1" min="19" max="19"/>
    <col width="58" customWidth="1" min="20" max="20"/>
    <col width="58" customWidth="1" min="21" max="21"/>
    <col width="10" customWidth="1" min="22" max="22"/>
  </cols>
  <sheetData>
    <row r="1" ht="30" customHeight="1">
      <c r="A1" s="12" t="inlineStr">
        <is>
          <t>region</t>
        </is>
      </c>
      <c r="B1" s="12" t="inlineStr">
        <is>
          <t>country_slug</t>
        </is>
      </c>
      <c r="C1" s="12" t="inlineStr">
        <is>
          <t>ISO3</t>
        </is>
      </c>
      <c r="D1" s="12" t="inlineStr">
        <is>
          <t>Economy</t>
        </is>
      </c>
      <c r="E1" s="12" t="inlineStr">
        <is>
          <t>Source</t>
        </is>
      </c>
      <c r="F1" s="12" t="inlineStr">
        <is>
          <t>URL</t>
        </is>
      </c>
      <c r="G1" s="12" t="inlineStr">
        <is>
          <t>probe_status</t>
        </is>
      </c>
      <c r="H1" s="12" t="inlineStr">
        <is>
          <t>probe_tier</t>
        </is>
      </c>
      <c r="I1" s="12" t="inlineStr">
        <is>
          <t>probe_effort</t>
        </is>
      </c>
      <c r="J1" s="12" t="inlineStr">
        <is>
          <t>probe_leaves_est</t>
        </is>
      </c>
      <c r="K1" s="12" t="inlineStr">
        <is>
          <t>probe_endpoint</t>
        </is>
      </c>
      <c r="L1" s="12" t="inlineStr">
        <is>
          <t>probe_evidence</t>
        </is>
      </c>
      <c r="M1" s="12" t="inlineStr">
        <is>
          <t>Verdict</t>
        </is>
      </c>
      <c r="N1" s="12" t="inlineStr">
        <is>
          <t>Build tier</t>
        </is>
      </c>
      <c r="O1" s="12" t="inlineStr">
        <is>
          <t>Scrapability</t>
        </is>
      </c>
      <c r="P1" s="12" t="inlineStr">
        <is>
          <t>Platform</t>
        </is>
      </c>
      <c r="Q1" s="12" t="inlineStr">
        <is>
          <t>Currency</t>
        </is>
      </c>
      <c r="R1" s="12" t="inlineStr">
        <is>
          <t>EXTRACTION</t>
        </is>
      </c>
      <c r="S1" s="12" t="inlineStr">
        <is>
          <t>PRICE_FIELDS</t>
        </is>
      </c>
      <c r="T1" s="12" t="inlineStr">
        <is>
          <t>AI_NOTES</t>
        </is>
      </c>
      <c r="U1" s="12" t="inlineStr">
        <is>
          <t>GOTCHA</t>
        </is>
      </c>
      <c r="V1" s="12" t="inlineStr">
        <is>
          <t>Pass</t>
        </is>
      </c>
    </row>
    <row r="2">
      <c r="A2" s="13" t="inlineStr">
        <is>
          <t>eap</t>
        </is>
      </c>
      <c r="B2" s="13" t="inlineStr">
        <is>
          <t>papua_new_guinea</t>
        </is>
      </c>
      <c r="C2" s="13" t="inlineStr">
        <is>
          <t>PNG</t>
        </is>
      </c>
      <c r="D2" s="13" t="inlineStr">
        <is>
          <t>Papua New Guinea</t>
        </is>
      </c>
      <c r="E2" s="13" t="inlineStr">
        <is>
          <t>Marketmeri</t>
        </is>
      </c>
      <c r="F2" s="13" t="inlineStr">
        <is>
          <t>https://marketmeri.com/</t>
        </is>
      </c>
      <c r="G2" s="13" t="inlineStr">
        <is>
          <t>PROBED - SKIP</t>
        </is>
      </c>
      <c r="H2" s="13" t="inlineStr">
        <is>
          <t>SKIP</t>
        </is>
      </c>
      <c r="I2" s="13" t="inlineStr"/>
      <c r="J2" s="13" t="n">
        <v>0</v>
      </c>
      <c r="K2" s="13" t="inlineStr"/>
      <c r="L2" s="13" t="inlineStr">
        <is>
          <t>HTTP 200, 239KB. &lt;title&gt;Buy &amp; Sell on PNG Number #1 Free Classifieds Website&lt;/title&gt;. Confirmed: this is a general classifieds marketplace (cars/electronics/jobs/property), not a grocery retailer. No supermarket-style product catalog.</t>
        </is>
      </c>
      <c r="M2" s="13" t="inlineStr">
        <is>
          <t>REJECT</t>
        </is>
      </c>
      <c r="N2" s="13" t="inlineStr">
        <is>
          <t>not scored</t>
        </is>
      </c>
      <c r="O2" s="13" t="inlineStr"/>
      <c r="P2" s="13" t="inlineStr">
        <is>
          <t>Custom</t>
        </is>
      </c>
      <c r="Q2" s="13" t="inlineStr">
        <is>
          <t>PGK</t>
        </is>
      </c>
      <c r="R2" s="13" t="inlineStr">
        <is>
          <t>-</t>
        </is>
      </c>
      <c r="S2" s="13" t="inlineStr">
        <is>
          <t>-</t>
        </is>
      </c>
      <c r="T2" s="13" t="inlineStr">
        <is>
          <t>OUT OF SCOPE - PNG is East Asia &amp; Pacific and is covered by the existing EAP pilot. My search error. Recording it so the scope boundary stays explicit.</t>
        </is>
      </c>
      <c r="U2" s="13" t="inlineStr">
        <is>
          <t>-</t>
        </is>
      </c>
      <c r="V2" s="13" t="inlineStr">
        <is>
          <t>P4</t>
        </is>
      </c>
    </row>
    <row r="3">
      <c r="A3" s="13" t="inlineStr">
        <is>
          <t>eap</t>
        </is>
      </c>
      <c r="B3" s="13" t="inlineStr">
        <is>
          <t>papua_new_guinea</t>
        </is>
      </c>
      <c r="C3" s="13" t="inlineStr">
        <is>
          <t>PNG</t>
        </is>
      </c>
      <c r="D3" s="13" t="inlineStr">
        <is>
          <t>Papua New Guinea</t>
        </is>
      </c>
      <c r="E3" s="13" t="inlineStr">
        <is>
          <t>RH Hypermarket</t>
        </is>
      </c>
      <c r="F3" s="13" t="inlineStr">
        <is>
          <t>https://www.rhtradingpng.com/shop-online/</t>
        </is>
      </c>
      <c r="G3" s="13" t="inlineStr">
        <is>
          <t>PROBED - SKIP</t>
        </is>
      </c>
      <c r="H3" s="13" t="inlineStr">
        <is>
          <t>SKIP</t>
        </is>
      </c>
      <c r="I3" s="13" t="inlineStr">
        <is>
          <t>high</t>
        </is>
      </c>
      <c r="J3" s="13" t="n">
        <v>0</v>
      </c>
      <c r="K3" s="13" t="inlineStr"/>
      <c r="L3" s="13" t="inlineStr">
        <is>
          <t>Root https://www.rhtradingpng.com/ now returns HTTP 403 with &lt;title&gt;Just a moment...&lt;/title&gt; (Cloudflare interactive challenge). /shop-online/ also 403. Shard's prior note ('Coming Soon') is stale -- site has since gone behind Cloudflare, not just an empty catalog. Confirms ARCHIVE verdict but with a sharper reason.</t>
        </is>
      </c>
      <c r="M3" s="13" t="inlineStr">
        <is>
          <t>ARCHIVE</t>
        </is>
      </c>
      <c r="N3" s="13" t="inlineStr">
        <is>
          <t>not scored</t>
        </is>
      </c>
      <c r="O3" s="13" t="inlineStr"/>
      <c r="P3" s="13" t="inlineStr">
        <is>
          <t>WordPress/WooCommerce</t>
        </is>
      </c>
      <c r="Q3" s="13" t="inlineStr">
        <is>
          <t>PGK</t>
        </is>
      </c>
      <c r="R3" s="13" t="inlineStr">
        <is>
          <t>-</t>
        </is>
      </c>
      <c r="S3" s="13" t="inlineStr">
        <is>
          <t>-</t>
        </is>
      </c>
      <c r="T3" s="13" t="inlineStr">
        <is>
          <t>OUT OF SCOPE - PNG is EAP. Also 'Coming Soon' with no live catalogue. Logged only so the scope error is visible and not repeated.</t>
        </is>
      </c>
      <c r="U3" s="13" t="inlineStr">
        <is>
          <t>-</t>
        </is>
      </c>
      <c r="V3" s="13" t="inlineStr">
        <is>
          <t>P4</t>
        </is>
      </c>
    </row>
    <row r="4">
      <c r="A4" s="13" t="inlineStr">
        <is>
          <t>eca</t>
        </is>
      </c>
      <c r="B4" s="13" t="inlineStr">
        <is>
          <t>armenia</t>
        </is>
      </c>
      <c r="C4" s="13" t="inlineStr">
        <is>
          <t>ARM</t>
        </is>
      </c>
      <c r="D4" s="13" t="inlineStr">
        <is>
          <t>Armenia</t>
        </is>
      </c>
      <c r="E4" s="13" t="inlineStr">
        <is>
          <t>Evrika Supermarket</t>
        </is>
      </c>
      <c r="F4" s="13" t="inlineStr">
        <is>
          <t>https://evrikasupermarket.am/en/</t>
        </is>
      </c>
      <c r="G4" s="13" t="inlineStr">
        <is>
          <t>PROBED - SKIP</t>
        </is>
      </c>
      <c r="H4" s="13" t="inlineStr">
        <is>
          <t>SKIP</t>
        </is>
      </c>
      <c r="I4" s="13" t="inlineStr">
        <is>
          <t>high</t>
        </is>
      </c>
      <c r="J4" s="13" t="n">
        <v>0</v>
      </c>
      <c r="K4" s="13" t="inlineStr"/>
      <c r="L4" s="13" t="inlineStr">
        <is>
          <t>GET / -&gt; 200, 442KB, but corporate brochure content only; per shard note the chain has no own catalogue and routes all ordering through Glovo. Not independently re-probed on Glovo given time budget.</t>
        </is>
      </c>
      <c r="M4" s="13" t="inlineStr">
        <is>
          <t>REJECT</t>
        </is>
      </c>
      <c r="N4" s="13" t="inlineStr">
        <is>
          <t>not scored</t>
        </is>
      </c>
      <c r="O4" s="13" t="inlineStr"/>
      <c r="P4" s="13" t="inlineStr">
        <is>
          <t>Custom</t>
        </is>
      </c>
      <c r="Q4" s="13" t="inlineStr">
        <is>
          <t>AMD</t>
        </is>
      </c>
      <c r="R4" s="13" t="inlineStr">
        <is>
          <t>-</t>
        </is>
      </c>
      <c r="S4" s="13" t="inlineStr">
        <is>
          <t>-</t>
        </is>
      </c>
      <c r="T4" s="13" t="inlineStr">
        <is>
          <t>18-branch chain but NO own online catalogue - the site directs customers to order via Glovo. Corporate brochure only. Scrape Evrika through Glovo instead.</t>
        </is>
      </c>
      <c r="U4" s="13" t="inlineStr">
        <is>
          <t>-</t>
        </is>
      </c>
      <c r="V4" s="13" t="inlineStr">
        <is>
          <t>P2</t>
        </is>
      </c>
    </row>
    <row r="5">
      <c r="A5" s="13" t="inlineStr">
        <is>
          <t>eca</t>
        </is>
      </c>
      <c r="B5" s="13" t="inlineStr">
        <is>
          <t>armenia</t>
        </is>
      </c>
      <c r="C5" s="13" t="inlineStr">
        <is>
          <t>ARM</t>
        </is>
      </c>
      <c r="D5" s="13" t="inlineStr">
        <is>
          <t>Armenia</t>
        </is>
      </c>
      <c r="E5" s="13" t="inlineStr">
        <is>
          <t>Food Depot</t>
        </is>
      </c>
      <c r="F5" s="13" t="inlineStr">
        <is>
          <t>https://fooddepot.am/en</t>
        </is>
      </c>
      <c r="G5" s="13" t="inlineStr">
        <is>
          <t>PROBED - SKIP</t>
        </is>
      </c>
      <c r="H5" s="13" t="inlineStr">
        <is>
          <t>SKIP</t>
        </is>
      </c>
      <c r="I5" s="13" t="inlineStr">
        <is>
          <t>high</t>
        </is>
      </c>
      <c r="J5" s="13" t="n">
        <v>0</v>
      </c>
      <c r="K5" s="13" t="inlineStr"/>
      <c r="L5" s="13" t="inlineStr">
        <is>
          <t>GET /en -&gt; 200, 11KB, but body is a React SPA shell (static/css chunk links only, no server-rendered nav/product content, no wp-json). Consistent with shard note 'category pages did not expose prices in the fetch.'</t>
        </is>
      </c>
      <c r="M5" s="13" t="inlineStr">
        <is>
          <t>SUSPECT</t>
        </is>
      </c>
      <c r="N5" s="13" t="inlineStr">
        <is>
          <t>not scored</t>
        </is>
      </c>
      <c r="O5" s="13" t="inlineStr"/>
      <c r="P5" s="13" t="inlineStr">
        <is>
          <t>Custom</t>
        </is>
      </c>
      <c r="Q5" s="13" t="inlineStr">
        <is>
          <t>AMD</t>
        </is>
      </c>
      <c r="R5" s="13" t="inlineStr">
        <is>
          <t>-</t>
        </is>
      </c>
      <c r="S5" s="13" t="inlineStr">
        <is>
          <t>-</t>
        </is>
      </c>
      <c r="T5" s="13" t="inlineStr">
        <is>
          <t>Live online supermarket; category pages did not expose prices in the fetch.</t>
        </is>
      </c>
      <c r="U5" s="13" t="inlineStr">
        <is>
          <t>-</t>
        </is>
      </c>
      <c r="V5" s="13" t="inlineStr">
        <is>
          <t>P2</t>
        </is>
      </c>
    </row>
    <row r="6">
      <c r="A6" s="13" t="inlineStr">
        <is>
          <t>eca</t>
        </is>
      </c>
      <c r="B6" s="13" t="inlineStr">
        <is>
          <t>armenia</t>
        </is>
      </c>
      <c r="C6" s="13" t="inlineStr">
        <is>
          <t>ARM</t>
        </is>
      </c>
      <c r="D6" s="13" t="inlineStr">
        <is>
          <t>Armenia</t>
        </is>
      </c>
      <c r="E6" s="13" t="inlineStr">
        <is>
          <t>SAS Supermarket</t>
        </is>
      </c>
      <c r="F6" s="13" t="inlineStr">
        <is>
          <t>https://www.sas.am/en/</t>
        </is>
      </c>
      <c r="G6" s="13" t="inlineStr">
        <is>
          <t>PROBED - SKIP</t>
        </is>
      </c>
      <c r="H6" s="13" t="inlineStr">
        <is>
          <t>SKIP</t>
        </is>
      </c>
      <c r="I6" s="13" t="inlineStr">
        <is>
          <t>high</t>
        </is>
      </c>
      <c r="J6" s="13" t="n">
        <v>0</v>
      </c>
      <c r="K6" s="13" t="inlineStr"/>
      <c r="L6" s="13" t="inlineStr">
        <is>
          <t>GET / -&gt; 200 but body is an Anubis proof-of-work bot-challenge page (script id='anubis_challenge', difficulty:5, 'Making sure you're not a bot!'). Not Cloudflare/Akamai -- new blocker signature. No product content served to bare curl.</t>
        </is>
      </c>
      <c r="M6" s="13" t="inlineStr">
        <is>
          <t>ACCEPT</t>
        </is>
      </c>
      <c r="N6" s="13" t="inlineStr">
        <is>
          <t>not scored</t>
        </is>
      </c>
      <c r="O6" s="13" t="inlineStr"/>
      <c r="P6" s="13" t="inlineStr">
        <is>
          <t>Custom</t>
        </is>
      </c>
      <c r="Q6" s="13" t="inlineStr">
        <is>
          <t>AMD</t>
        </is>
      </c>
      <c r="R6" s="13" t="inlineStr">
        <is>
          <t>-</t>
        </is>
      </c>
      <c r="S6" s="13" t="inlineStr">
        <is>
          <t>-</t>
        </is>
      </c>
      <c r="T6" s="13" t="inlineStr">
        <is>
          <t>STRONG: AMD prices with unit-normalised secondary prices (19,667 AMD/1l), promotion date ranges, stock flags. One of the cleanest sources in the whole database.</t>
        </is>
      </c>
      <c r="U6" s="13" t="inlineStr">
        <is>
          <t>-</t>
        </is>
      </c>
      <c r="V6" s="13" t="inlineStr">
        <is>
          <t>P2</t>
        </is>
      </c>
    </row>
    <row r="7">
      <c r="A7" s="13" t="inlineStr">
        <is>
          <t>eca</t>
        </is>
      </c>
      <c r="B7" s="13" t="inlineStr">
        <is>
          <t>armenia</t>
        </is>
      </c>
      <c r="C7" s="13" t="inlineStr">
        <is>
          <t>ARM</t>
        </is>
      </c>
      <c r="D7" s="13" t="inlineStr">
        <is>
          <t>Armenia</t>
        </is>
      </c>
      <c r="E7" s="13" t="inlineStr">
        <is>
          <t>Parma</t>
        </is>
      </c>
      <c r="F7" s="13" t="inlineStr">
        <is>
          <t>https://parma.am/en/</t>
        </is>
      </c>
      <c r="G7" s="13" t="inlineStr">
        <is>
          <t>PROBED - VIABLE</t>
        </is>
      </c>
      <c r="H7" s="13" t="inlineStr">
        <is>
          <t>TIER_1A</t>
        </is>
      </c>
      <c r="I7" s="13" t="inlineStr">
        <is>
          <t>low</t>
        </is>
      </c>
      <c r="J7" s="13" t="n">
        <v>160</v>
      </c>
      <c r="K7" s="13" t="inlineStr">
        <is>
          <t>/en/product/shop?slug=&lt;category&gt;, /en/product/category?slug=&lt;id&gt;</t>
        </is>
      </c>
      <c r="L7" s="13" t="inlineStr">
        <is>
          <t>GET /en/product/shop?slug=only-in-parma -&gt; 200, 539KB HTML. Full category tree (baby-food, alcoholic-beverages, bakery, beef, basturma-sudjuk, battery...). Server-rendered dram prices in raw HTML: e.g. 233 է, 10387 է, 8514 է.</t>
        </is>
      </c>
      <c r="M7" s="13" t="inlineStr">
        <is>
          <t>ACCEPT</t>
        </is>
      </c>
      <c r="N7" s="13" t="inlineStr">
        <is>
          <t>not scored</t>
        </is>
      </c>
      <c r="O7" s="13" t="inlineStr"/>
      <c r="P7" s="13" t="inlineStr">
        <is>
          <t>Custom</t>
        </is>
      </c>
      <c r="Q7" s="13" t="inlineStr">
        <is>
          <t>AMD</t>
        </is>
      </c>
      <c r="R7" s="13" t="inlineStr">
        <is>
          <t>-</t>
        </is>
      </c>
      <c r="S7" s="13" t="inlineStr">
        <is>
          <t>-</t>
        </is>
      </c>
      <c r="T7" s="13" t="inlineStr">
        <is>
          <t>STRONG: AMD prices with per-kg unit pricing (banana 650 AMD/kg), discount percentages AND explicit promotion validity dates. English interface. Excellent structure.</t>
        </is>
      </c>
      <c r="U7" s="13" t="inlineStr">
        <is>
          <t>-</t>
        </is>
      </c>
      <c r="V7" s="13" t="inlineStr">
        <is>
          <t>P2</t>
        </is>
      </c>
    </row>
    <row r="8">
      <c r="A8" s="13" t="inlineStr">
        <is>
          <t>eca</t>
        </is>
      </c>
      <c r="B8" s="13" t="inlineStr">
        <is>
          <t>armenia</t>
        </is>
      </c>
      <c r="C8" s="13" t="inlineStr">
        <is>
          <t>ARM</t>
        </is>
      </c>
      <c r="D8" s="13" t="inlineStr">
        <is>
          <t>Armenia</t>
        </is>
      </c>
      <c r="E8" s="13" t="inlineStr">
        <is>
          <t>Supermarket.am</t>
        </is>
      </c>
      <c r="F8" s="13" t="inlineStr">
        <is>
          <t>https://supermarket.am/en/</t>
        </is>
      </c>
      <c r="G8" s="13" t="inlineStr">
        <is>
          <t>PROBED - VIABLE</t>
        </is>
      </c>
      <c r="H8" s="13" t="inlineStr">
        <is>
          <t>TIER_1A</t>
        </is>
      </c>
      <c r="I8" s="13" t="inlineStr">
        <is>
          <t>low</t>
        </is>
      </c>
      <c r="J8" s="13" t="n">
        <v>150</v>
      </c>
      <c r="K8" s="13" t="inlineStr">
        <is>
          <t>/en/products/_&lt;id&gt;/</t>
        </is>
      </c>
      <c r="L8" s="13" t="inlineStr">
        <is>
          <t>GET /en/products/_723530/ -&gt; 200, 399KB. PDP h1 'Pasta Zara No. 50 500g', span.priceValue = '710 dr'. Category tree via /en/products/_&lt;id&gt;/ product links visible on homepage.</t>
        </is>
      </c>
      <c r="M8" s="13" t="inlineStr">
        <is>
          <t>ACCEPT</t>
        </is>
      </c>
      <c r="N8" s="13" t="inlineStr">
        <is>
          <t>not scored</t>
        </is>
      </c>
      <c r="O8" s="13" t="inlineStr"/>
      <c r="P8" s="13" t="inlineStr">
        <is>
          <t>Custom</t>
        </is>
      </c>
      <c r="Q8" s="13" t="inlineStr">
        <is>
          <t>AMD</t>
        </is>
      </c>
      <c r="R8" s="13" t="inlineStr">
        <is>
          <t>-</t>
        </is>
      </c>
      <c r="S8" s="13" t="inlineStr">
        <is>
          <t>-</t>
        </is>
      </c>
      <c r="T8" s="13" t="inlineStr">
        <is>
          <t>Live: dram prices with per-kg breakdown, weight-based items sliced to order.</t>
        </is>
      </c>
      <c r="U8" s="13" t="inlineStr">
        <is>
          <t>-</t>
        </is>
      </c>
      <c r="V8" s="13" t="inlineStr">
        <is>
          <t>P2</t>
        </is>
      </c>
    </row>
    <row r="9">
      <c r="A9" s="13" t="inlineStr">
        <is>
          <t>eca</t>
        </is>
      </c>
      <c r="B9" s="13" t="inlineStr">
        <is>
          <t>armenia</t>
        </is>
      </c>
      <c r="C9" s="13" t="inlineStr">
        <is>
          <t>ARM</t>
        </is>
      </c>
      <c r="D9" s="13" t="inlineStr">
        <is>
          <t>Armenia</t>
        </is>
      </c>
      <c r="E9" s="13" t="inlineStr">
        <is>
          <t>Supermarket.am</t>
        </is>
      </c>
      <c r="F9" s="13" t="inlineStr">
        <is>
          <t>https://supermarket.am/en/</t>
        </is>
      </c>
      <c r="G9" s="13" t="inlineStr">
        <is>
          <t>PROBED - VIABLE</t>
        </is>
      </c>
      <c r="H9" s="13" t="inlineStr">
        <is>
          <t>TIER_1A</t>
        </is>
      </c>
      <c r="I9" s="13" t="inlineStr">
        <is>
          <t>low</t>
        </is>
      </c>
      <c r="J9" s="13" t="n">
        <v>150</v>
      </c>
      <c r="K9" s="13" t="inlineStr">
        <is>
          <t>/en/products/_&lt;id&gt;/</t>
        </is>
      </c>
      <c r="L9" s="13" t="inlineStr">
        <is>
          <t>GET /en/products/_723530/ -&gt; 200, 399KB. PDP h1 'Pasta Zara No. 50 500g', span.priceValue = '710 dr'. Category tree via /en/products/_&lt;id&gt;/ product links visible on homepage.</t>
        </is>
      </c>
      <c r="M9" s="13" t="inlineStr">
        <is>
          <t>ACCEPT</t>
        </is>
      </c>
      <c r="N9" s="13" t="inlineStr">
        <is>
          <t>not scored</t>
        </is>
      </c>
      <c r="O9" s="13" t="inlineStr"/>
      <c r="P9" s="13" t="inlineStr">
        <is>
          <t>Custom</t>
        </is>
      </c>
      <c r="Q9" s="13" t="inlineStr">
        <is>
          <t>AMD</t>
        </is>
      </c>
      <c r="R9" s="13" t="inlineStr">
        <is>
          <t>-</t>
        </is>
      </c>
      <c r="S9" s="13" t="inlineStr">
        <is>
          <t>-</t>
        </is>
      </c>
      <c r="T9" s="13" t="inlineStr">
        <is>
          <t>Dram prices with per-kg breakdown; weight items sliced to order.</t>
        </is>
      </c>
      <c r="U9" s="13" t="inlineStr">
        <is>
          <t>-</t>
        </is>
      </c>
      <c r="V9" s="13" t="inlineStr">
        <is>
          <t>P4</t>
        </is>
      </c>
    </row>
    <row r="10">
      <c r="A10" s="13" t="inlineStr">
        <is>
          <t>eca</t>
        </is>
      </c>
      <c r="B10" s="13" t="inlineStr">
        <is>
          <t>austria</t>
        </is>
      </c>
      <c r="C10" s="13" t="inlineStr">
        <is>
          <t>AUT</t>
        </is>
      </c>
      <c r="D10" s="13" t="inlineStr">
        <is>
          <t>Austria</t>
        </is>
      </c>
      <c r="E10" s="13" t="inlineStr">
        <is>
          <t>BILLA Online Shop</t>
        </is>
      </c>
      <c r="F10" s="13" t="inlineStr">
        <is>
          <t>https://shop.billa.at/</t>
        </is>
      </c>
      <c r="G10" s="13" t="inlineStr">
        <is>
          <t>PROBED - SKIP</t>
        </is>
      </c>
      <c r="H10" s="13" t="inlineStr">
        <is>
          <t>SKIP</t>
        </is>
      </c>
      <c r="I10" s="13" t="inlineStr">
        <is>
          <t>high</t>
        </is>
      </c>
      <c r="J10" s="13" t="n">
        <v>0</v>
      </c>
      <c r="K10" s="13" t="inlineStr">
        <is>
          <t>blocked</t>
        </is>
      </c>
      <c r="L10" s="13" t="inlineStr">
        <is>
          <t>curl 403, 134-byte generic '403 Forbidden' body (not a Cloudflare challenge template)</t>
        </is>
      </c>
      <c r="M10" s="13" t="inlineStr">
        <is>
          <t>ACCEPT</t>
        </is>
      </c>
      <c r="N10" s="13" t="inlineStr">
        <is>
          <t>C - engineering required</t>
        </is>
      </c>
      <c r="O10" s="13" t="n">
        <v>3</v>
      </c>
      <c r="P10" s="13" t="inlineStr">
        <is>
          <t>Custom</t>
        </is>
      </c>
      <c r="Q10" s="13" t="inlineStr"/>
      <c r="R10" s="13" t="inlineStr">
        <is>
          <t>-</t>
        </is>
      </c>
      <c r="S10" s="13" t="inlineStr">
        <is>
          <t>current, unit_price_100g, multibuy_price, promo_window</t>
        </is>
      </c>
      <c r="T10" s="13" t="inlineStr">
        <is>
          <t>Publishes single price AND multi-buy tier price ('ab 2 Flaschen'), unit price per 100g/kg/l, and dated promo windows. Multi-buy tiers are a distinct price concept worth capturing separately.</t>
        </is>
      </c>
      <c r="U10" s="13" t="inlineStr">
        <is>
          <t>Multi-buy prices are conditional - do not treat as the unit price.</t>
        </is>
      </c>
      <c r="V10" s="13" t="inlineStr">
        <is>
          <t>P8-EU</t>
        </is>
      </c>
    </row>
    <row r="11">
      <c r="A11" s="13" t="inlineStr">
        <is>
          <t>eca</t>
        </is>
      </c>
      <c r="B11" s="13" t="inlineStr">
        <is>
          <t>austria</t>
        </is>
      </c>
      <c r="C11" s="13" t="inlineStr">
        <is>
          <t>AUT</t>
        </is>
      </c>
      <c r="D11" s="13" t="inlineStr">
        <is>
          <t>Austria</t>
        </is>
      </c>
      <c r="E11" s="13" t="inlineStr">
        <is>
          <t>Gurkerl.at</t>
        </is>
      </c>
      <c r="F11" s="13" t="inlineStr">
        <is>
          <t>https://www.gurkerl.at/en-AT/</t>
        </is>
      </c>
      <c r="G11" s="13" t="inlineStr">
        <is>
          <t>PROBED - SKIP</t>
        </is>
      </c>
      <c r="H11" s="13" t="inlineStr">
        <is>
          <t>SKIP</t>
        </is>
      </c>
      <c r="I11" s="13" t="inlineStr">
        <is>
          <t>high</t>
        </is>
      </c>
      <c r="J11" s="13" t="n">
        <v>0</v>
      </c>
      <c r="K11" s="13" t="inlineStr">
        <is>
          <t>blocked</t>
        </is>
      </c>
      <c r="L11" s="13" t="inlineStr">
        <is>
          <t>curl 403 title 'Just a moment...'; Playwright ALSO 403 title 'Just a moment...' (confirmed both channels). API endpoint /services/frontend-service/products also 403</t>
        </is>
      </c>
      <c r="M11" s="13" t="inlineStr">
        <is>
          <t>ACCEPT</t>
        </is>
      </c>
      <c r="N11" s="13" t="inlineStr">
        <is>
          <t>B - moderate effort</t>
        </is>
      </c>
      <c r="O11" s="13" t="n">
        <v>4</v>
      </c>
      <c r="P11" s="13" t="inlineStr">
        <is>
          <t>Custom (Rohlik stack)</t>
        </is>
      </c>
      <c r="Q11" s="13" t="inlineStr"/>
      <c r="R11" s="13" t="inlineStr">
        <is>
          <t>/services/frontend-service/products</t>
        </is>
      </c>
      <c r="S11" s="13" t="inlineStr">
        <is>
          <t>current, was_price, discount_pct, unit_price, member_price, limit_flag, origin_flag</t>
        </is>
      </c>
      <c r="T11" s="13" t="inlineStr">
        <is>
          <t>17,000+ products. Shows list price, member price ('mit' Gurkerl Club), unit price per kg, discount % with an end date, purchase limits, and origin flags (BIO, 'Frisch geerntet', 'Lokale Erzeuger', 'Aus der Region'). ENGLISH interface at /en-AT/. Rohlik-family, same adapter as Kifli.</t>
        </is>
      </c>
      <c r="U11" s="13" t="inlineStr">
        <is>
          <t>'ca.' prefixed prices are estimates on variable-weight items.</t>
        </is>
      </c>
      <c r="V11" s="13" t="inlineStr">
        <is>
          <t>P8-EU</t>
        </is>
      </c>
    </row>
    <row r="12">
      <c r="A12" s="13" t="inlineStr">
        <is>
          <t>eca</t>
        </is>
      </c>
      <c r="B12" s="13" t="inlineStr">
        <is>
          <t>austria</t>
        </is>
      </c>
      <c r="C12" s="13" t="inlineStr">
        <is>
          <t>AUT</t>
        </is>
      </c>
      <c r="D12" s="13" t="inlineStr">
        <is>
          <t>Austria</t>
        </is>
      </c>
      <c r="E12" s="13" t="inlineStr">
        <is>
          <t>INTERSPAR Onlineshop</t>
        </is>
      </c>
      <c r="F12" s="13" t="inlineStr">
        <is>
          <t>https://www.interspar.at/shop/lebensmittel/</t>
        </is>
      </c>
      <c r="G12" s="13" t="inlineStr">
        <is>
          <t>PROBED - SKIP</t>
        </is>
      </c>
      <c r="H12" s="13" t="inlineStr">
        <is>
          <t>SKIP</t>
        </is>
      </c>
      <c r="I12" s="13" t="inlineStr">
        <is>
          <t>high</t>
        </is>
      </c>
      <c r="J12" s="13" t="n">
        <v>0</v>
      </c>
      <c r="K12" s="13" t="inlineStr">
        <is>
          <t>blocked</t>
        </is>
      </c>
      <c r="L12" s="13" t="inlineStr">
        <is>
          <t>curl 403 title 'Just a moment...' Cloudflare interactive challenge</t>
        </is>
      </c>
      <c r="M12" s="13" t="inlineStr">
        <is>
          <t>ACCEPT</t>
        </is>
      </c>
      <c r="N12" s="13" t="inlineStr">
        <is>
          <t>C - engineering required</t>
        </is>
      </c>
      <c r="O12" s="13" t="n">
        <v>3</v>
      </c>
      <c r="P12" s="13" t="inlineStr">
        <is>
          <t>Custom</t>
        </is>
      </c>
      <c r="Q12" s="13" t="inlineStr"/>
      <c r="R12" s="13" t="inlineStr">
        <is>
          <t>-</t>
        </is>
      </c>
      <c r="S12" s="13" t="inlineStr">
        <is>
          <t>current, unit_price</t>
        </is>
      </c>
      <c r="T12" s="13" t="inlineStr">
        <is>
          <t>20,000+ products, explicitly 'Preise wie im Markt' (same prices as in store) - direct shelf-price fidelity, which is exactly what a price index needs.</t>
        </is>
      </c>
      <c r="U12" s="13" t="inlineStr">
        <is>
          <t>-</t>
        </is>
      </c>
      <c r="V12" s="13" t="inlineStr">
        <is>
          <t>P8-EU</t>
        </is>
      </c>
    </row>
    <row r="13">
      <c r="A13" s="13" t="inlineStr">
        <is>
          <t>eca</t>
        </is>
      </c>
      <c r="B13" s="13" t="inlineStr">
        <is>
          <t>azerbaijan</t>
        </is>
      </c>
      <c r="C13" s="13" t="inlineStr">
        <is>
          <t>AZE</t>
        </is>
      </c>
      <c r="D13" s="13" t="inlineStr">
        <is>
          <t>Azerbaijan</t>
        </is>
      </c>
      <c r="E13" s="13" t="inlineStr">
        <is>
          <t>AzerbaijanYP supermarket directory</t>
        </is>
      </c>
      <c r="F13" s="13" t="inlineStr">
        <is>
          <t>https://www.azerbaijanyp.com/category/Supermarkets/city:Baku</t>
        </is>
      </c>
      <c r="G13" s="13" t="inlineStr">
        <is>
          <t>NOT PROBED - deduped, already onboarded, or time-boxed</t>
        </is>
      </c>
      <c r="H13" s="13" t="inlineStr"/>
      <c r="I13" s="13" t="inlineStr"/>
      <c r="J13" s="13" t="inlineStr"/>
      <c r="K13" s="13" t="inlineStr"/>
      <c r="L13" s="13" t="inlineStr"/>
      <c r="M13" s="13" t="inlineStr">
        <is>
          <t>INDEX</t>
        </is>
      </c>
      <c r="N13" s="13" t="inlineStr">
        <is>
          <t>not scored</t>
        </is>
      </c>
      <c r="O13" s="13" t="inlineStr"/>
      <c r="P13" s="13" t="inlineStr">
        <is>
          <t>Directory</t>
        </is>
      </c>
      <c r="Q13" s="13" t="inlineStr"/>
      <c r="R13" s="13" t="inlineStr">
        <is>
          <t>-</t>
        </is>
      </c>
      <c r="S13" s="13" t="inlineStr">
        <is>
          <t>-</t>
        </is>
      </c>
      <c r="T13" s="13" t="inlineStr">
        <is>
          <t>33 verified Baku supermarkets with addresses and phones. Not a price source - use as a SOURCING INDEX to find further candidates.</t>
        </is>
      </c>
      <c r="U13" s="13" t="inlineStr">
        <is>
          <t>-</t>
        </is>
      </c>
      <c r="V13" s="13" t="inlineStr">
        <is>
          <t>P4</t>
        </is>
      </c>
    </row>
    <row r="14">
      <c r="A14" s="13" t="inlineStr">
        <is>
          <t>eca</t>
        </is>
      </c>
      <c r="B14" s="13" t="inlineStr">
        <is>
          <t>azerbaijan</t>
        </is>
      </c>
      <c r="C14" s="13" t="inlineStr">
        <is>
          <t>AZE</t>
        </is>
      </c>
      <c r="D14" s="13" t="inlineStr">
        <is>
          <t>Azerbaijan</t>
        </is>
      </c>
      <c r="E14" s="13" t="inlineStr">
        <is>
          <t>Bravo Supermarket</t>
        </is>
      </c>
      <c r="F14" s="13" t="inlineStr">
        <is>
          <t>https://www.bravosupermarket.az/en/</t>
        </is>
      </c>
      <c r="G14" s="13" t="inlineStr">
        <is>
          <t>PROBED - SKIP</t>
        </is>
      </c>
      <c r="H14" s="13" t="inlineStr">
        <is>
          <t>SKIP</t>
        </is>
      </c>
      <c r="I14" s="13" t="inlineStr">
        <is>
          <t>high</t>
        </is>
      </c>
      <c r="J14" s="13" t="n">
        <v>0</v>
      </c>
      <c r="K14" s="13" t="inlineStr"/>
      <c r="L14" s="13" t="inlineStr">
        <is>
          <t>curl 200/40KB but Vue SPA shell, zero SSR price content. Playwright network-trace on page load: only Yandex Metrica analytics beacon fired, no product/catalog API call observed within 7s.</t>
        </is>
      </c>
      <c r="M14" s="13" t="inlineStr">
        <is>
          <t>ACCEPT</t>
        </is>
      </c>
      <c r="N14" s="13" t="inlineStr">
        <is>
          <t>not scored</t>
        </is>
      </c>
      <c r="O14" s="13" t="inlineStr"/>
      <c r="P14" s="13" t="inlineStr">
        <is>
          <t>Custom</t>
        </is>
      </c>
      <c r="Q14" s="13" t="inlineStr">
        <is>
          <t>AZN</t>
        </is>
      </c>
      <c r="R14" s="13" t="inlineStr">
        <is>
          <t>-</t>
        </is>
      </c>
      <c r="S14" s="13" t="inlineStr">
        <is>
          <t>-</t>
        </is>
      </c>
      <c r="T14" s="13" t="inlineStr">
        <is>
          <t>144 stores, 11 regions, 50,000+ SKUs claimed. Own-brand 'Bravo Brand' lines. English site.</t>
        </is>
      </c>
      <c r="U14" s="13" t="inlineStr">
        <is>
          <t>-</t>
        </is>
      </c>
      <c r="V14" s="13" t="inlineStr">
        <is>
          <t>P4</t>
        </is>
      </c>
    </row>
    <row r="15">
      <c r="A15" s="13" t="inlineStr">
        <is>
          <t>eca</t>
        </is>
      </c>
      <c r="B15" s="13" t="inlineStr">
        <is>
          <t>azerbaijan</t>
        </is>
      </c>
      <c r="C15" s="13" t="inlineStr">
        <is>
          <t>AZE</t>
        </is>
      </c>
      <c r="D15" s="13" t="inlineStr">
        <is>
          <t>Azerbaijan</t>
        </is>
      </c>
      <c r="E15" s="13" t="inlineStr">
        <is>
          <t>Araz Supermarket (via Wolt)</t>
        </is>
      </c>
      <c r="F15" s="13" t="inlineStr">
        <is>
          <t>https://wolt.com/en/aze/baku/category/grocery</t>
        </is>
      </c>
      <c r="G15" s="13" t="inlineStr">
        <is>
          <t>PROBED - VIABLE</t>
        </is>
      </c>
      <c r="H15" s="13" t="inlineStr">
        <is>
          <t>TIER_2</t>
        </is>
      </c>
      <c r="I15" s="13" t="inlineStr">
        <is>
          <t>medium</t>
        </is>
      </c>
      <c r="J15" s="13" t="n">
        <v>0</v>
      </c>
      <c r="K15" s="13" t="inlineStr">
        <is>
          <t>SPA - needs Playwright render</t>
        </is>
      </c>
      <c r="L15" s="13" t="inlineStr">
        <is>
          <t>curl 200, 1.79MB SPA shell; prices render as 'KZT0' placeholder pre-hydration - needs Playwright</t>
        </is>
      </c>
      <c r="M15" s="13" t="inlineStr">
        <is>
          <t>ACCEPT</t>
        </is>
      </c>
      <c r="N15" s="13" t="inlineStr">
        <is>
          <t>not scored</t>
        </is>
      </c>
      <c r="O15" s="13" t="inlineStr"/>
      <c r="P15" s="13" t="inlineStr">
        <is>
          <t>Custom</t>
        </is>
      </c>
      <c r="Q15" s="13" t="inlineStr">
        <is>
          <t>AZN</t>
        </is>
      </c>
      <c r="R15" s="13" t="inlineStr">
        <is>
          <t>-</t>
        </is>
      </c>
      <c r="S15" s="13" t="inlineStr">
        <is>
          <t>-</t>
        </is>
      </c>
      <c r="T15" s="13" t="inlineStr">
        <is>
          <t>Wolt Baku carries Araz, Oba Market, Limon, Tamstore, Neptun, Product Bazar and Bravo. Several are labelled 'same prices as in store' - useful for shelf-price fidelity.</t>
        </is>
      </c>
      <c r="U15" s="13" t="inlineStr">
        <is>
          <t>-</t>
        </is>
      </c>
      <c r="V15" s="13" t="inlineStr">
        <is>
          <t>P4</t>
        </is>
      </c>
    </row>
    <row r="16">
      <c r="A16" s="13" t="inlineStr">
        <is>
          <t>eca</t>
        </is>
      </c>
      <c r="B16" s="13" t="inlineStr">
        <is>
          <t>azerbaijan</t>
        </is>
      </c>
      <c r="C16" s="13" t="inlineStr">
        <is>
          <t>AZE</t>
        </is>
      </c>
      <c r="D16" s="13" t="inlineStr">
        <is>
          <t>Azerbaijan</t>
        </is>
      </c>
      <c r="E16" s="13" t="inlineStr">
        <is>
          <t>Bazarstore</t>
        </is>
      </c>
      <c r="F16" s="13" t="inlineStr">
        <is>
          <t>https://bazarstore.az/en/</t>
        </is>
      </c>
      <c r="G16" s="13" t="inlineStr">
        <is>
          <t>PROBED - VIABLE</t>
        </is>
      </c>
      <c r="H16" s="13" t="inlineStr">
        <is>
          <t>TIER_1B</t>
        </is>
      </c>
      <c r="I16" s="13" t="inlineStr">
        <is>
          <t>low</t>
        </is>
      </c>
      <c r="J16" s="13" t="n">
        <v>150</v>
      </c>
      <c r="K16" s="13" t="inlineStr">
        <is>
          <t>/en/products.json?limit=250</t>
        </is>
      </c>
      <c r="L16" s="13" t="inlineStr">
        <is>
          <t>GET /en/products.json?limit=5 -&gt; 200, 5.3KB JSON. Sample: 'CORNETTO DONDURMA 130 ML GİANDUJA-ŞOKOLA' 3.90 AZN</t>
        </is>
      </c>
      <c r="M16" s="13" t="inlineStr">
        <is>
          <t>ACCEPT</t>
        </is>
      </c>
      <c r="N16" s="13" t="inlineStr">
        <is>
          <t>not scored</t>
        </is>
      </c>
      <c r="O16" s="13" t="inlineStr"/>
      <c r="P16" s="13" t="inlineStr">
        <is>
          <t>Custom</t>
        </is>
      </c>
      <c r="Q16" s="13" t="inlineStr">
        <is>
          <t>AZN</t>
        </is>
      </c>
      <c r="R16" s="13" t="inlineStr">
        <is>
          <t>-</t>
        </is>
      </c>
      <c r="S16" s="13" t="inlineStr">
        <is>
          <t>-</t>
        </is>
      </c>
      <c r="T16" s="13" t="inlineStr">
        <is>
          <t>STRONG: 217K stock lines, 38K active SKUs, 30K orders. Category item counts published (Meat/Chicken/Fish 1,279; Staple Food 1,795; Milk &amp; Breakfast 968; Snacks 1,719; Bakery 341). Per-kg meat pricing in AZN. English URL path. Best Azerbaijan source.</t>
        </is>
      </c>
      <c r="U16" s="13" t="inlineStr">
        <is>
          <t>-</t>
        </is>
      </c>
      <c r="V16" s="13" t="inlineStr">
        <is>
          <t>P4</t>
        </is>
      </c>
    </row>
    <row r="17">
      <c r="A17" s="13" t="inlineStr">
        <is>
          <t>eca</t>
        </is>
      </c>
      <c r="B17" s="13" t="inlineStr">
        <is>
          <t>azerbaijan</t>
        </is>
      </c>
      <c r="C17" s="13" t="inlineStr">
        <is>
          <t>AZE</t>
        </is>
      </c>
      <c r="D17" s="13" t="inlineStr">
        <is>
          <t>Azerbaijan</t>
        </is>
      </c>
      <c r="E17" s="13" t="inlineStr">
        <is>
          <t>FreshMart.az</t>
        </is>
      </c>
      <c r="F17" s="13" t="inlineStr">
        <is>
          <t>https://freshmart.az/en-gb/</t>
        </is>
      </c>
      <c r="G17" s="13" t="inlineStr">
        <is>
          <t>PROBED - VIABLE</t>
        </is>
      </c>
      <c r="H17" s="13" t="inlineStr">
        <is>
          <t>TIER_1A</t>
        </is>
      </c>
      <c r="I17" s="13" t="inlineStr">
        <is>
          <t>low</t>
        </is>
      </c>
      <c r="J17" s="13" t="n">
        <v>120</v>
      </c>
      <c r="K17" s="13" t="inlineStr">
        <is>
          <t>/en-gb/product/{slug}</t>
        </is>
      </c>
      <c r="L17" s="13" t="inlineStr">
        <is>
          <t>GET /en-gb/product/banan-kq-1000 -&gt; 200, 48.9KB. h1='BANAN KQ', price 3.39₼ (list 3.49₼ struck through).</t>
        </is>
      </c>
      <c r="M17" s="13" t="inlineStr">
        <is>
          <t>ACCEPT</t>
        </is>
      </c>
      <c r="N17" s="13" t="inlineStr">
        <is>
          <t>not scored</t>
        </is>
      </c>
      <c r="O17" s="13" t="inlineStr"/>
      <c r="P17" s="13" t="inlineStr">
        <is>
          <t>Custom</t>
        </is>
      </c>
      <c r="Q17" s="13" t="inlineStr">
        <is>
          <t>AZN</t>
        </is>
      </c>
      <c r="R17" s="13" t="inlineStr">
        <is>
          <t>-</t>
        </is>
      </c>
      <c r="S17" s="13" t="inlineStr">
        <is>
          <t>-</t>
        </is>
      </c>
      <c r="T17" s="13" t="inlineStr">
        <is>
          <t>AZN prices with strike-through sale pairs across produce, meat, dairy, bakery. 1000+ products.</t>
        </is>
      </c>
      <c r="U17" s="13" t="inlineStr">
        <is>
          <t>-</t>
        </is>
      </c>
      <c r="V17" s="13" t="inlineStr">
        <is>
          <t>P4</t>
        </is>
      </c>
    </row>
    <row r="18">
      <c r="A18" s="13" t="inlineStr">
        <is>
          <t>eca</t>
        </is>
      </c>
      <c r="B18" s="13" t="inlineStr">
        <is>
          <t>azerbaijan</t>
        </is>
      </c>
      <c r="C18" s="13" t="inlineStr">
        <is>
          <t>AZE</t>
        </is>
      </c>
      <c r="D18" s="13" t="inlineStr">
        <is>
          <t>Azerbaijan</t>
        </is>
      </c>
      <c r="E18" s="13" t="inlineStr">
        <is>
          <t>Neptun Supermarket</t>
        </is>
      </c>
      <c r="F18" s="13" t="inlineStr">
        <is>
          <t>https://wolt.com/en/aze/baku/category/grocery</t>
        </is>
      </c>
      <c r="G18" s="13" t="inlineStr">
        <is>
          <t>PROBED - VIABLE</t>
        </is>
      </c>
      <c r="H18" s="13" t="inlineStr">
        <is>
          <t>TIER_2</t>
        </is>
      </c>
      <c r="I18" s="13" t="inlineStr">
        <is>
          <t>medium</t>
        </is>
      </c>
      <c r="J18" s="13" t="n">
        <v>0</v>
      </c>
      <c r="K18" s="13" t="inlineStr">
        <is>
          <t>SPA - needs Playwright render</t>
        </is>
      </c>
      <c r="L18" s="13" t="inlineStr">
        <is>
          <t>curl 200, 1.79MB SPA shell; prices render as 'KZT0' placeholder pre-hydration - needs Playwright</t>
        </is>
      </c>
      <c r="M18" s="13" t="inlineStr">
        <is>
          <t>SUSPECT</t>
        </is>
      </c>
      <c r="N18" s="13" t="inlineStr">
        <is>
          <t>not scored</t>
        </is>
      </c>
      <c r="O18" s="13" t="inlineStr"/>
      <c r="P18" s="13" t="inlineStr">
        <is>
          <t>Custom</t>
        </is>
      </c>
      <c r="Q18" s="13" t="inlineStr">
        <is>
          <t>AZN</t>
        </is>
      </c>
      <c r="R18" s="13" t="inlineStr">
        <is>
          <t>-</t>
        </is>
      </c>
      <c r="S18" s="13" t="inlineStr">
        <is>
          <t>-</t>
        </is>
      </c>
      <c r="T18" s="13" t="inlineStr">
        <is>
          <t>Live on Wolt; own-site catalogue unverified.</t>
        </is>
      </c>
      <c r="U18" s="13" t="inlineStr">
        <is>
          <t>-</t>
        </is>
      </c>
      <c r="V18" s="13" t="inlineStr">
        <is>
          <t>P4</t>
        </is>
      </c>
    </row>
    <row r="19">
      <c r="A19" s="13" t="inlineStr">
        <is>
          <t>eca</t>
        </is>
      </c>
      <c r="B19" s="13" t="inlineStr">
        <is>
          <t>azerbaijan</t>
        </is>
      </c>
      <c r="C19" s="13" t="inlineStr">
        <is>
          <t>AZE</t>
        </is>
      </c>
      <c r="D19" s="13" t="inlineStr">
        <is>
          <t>Azerbaijan</t>
        </is>
      </c>
      <c r="E19" s="13" t="inlineStr">
        <is>
          <t>Oba Market (via Wolt)</t>
        </is>
      </c>
      <c r="F19" s="13" t="inlineStr">
        <is>
          <t>https://wolt.com/en/aze/baku/category/grocery</t>
        </is>
      </c>
      <c r="G19" s="13" t="inlineStr">
        <is>
          <t>PROBED - VIABLE</t>
        </is>
      </c>
      <c r="H19" s="13" t="inlineStr">
        <is>
          <t>TIER_2</t>
        </is>
      </c>
      <c r="I19" s="13" t="inlineStr">
        <is>
          <t>medium</t>
        </is>
      </c>
      <c r="J19" s="13" t="n">
        <v>0</v>
      </c>
      <c r="K19" s="13" t="inlineStr">
        <is>
          <t>SPA - needs Playwright render</t>
        </is>
      </c>
      <c r="L19" s="13" t="inlineStr">
        <is>
          <t>curl 200, 1.79MB SPA shell; prices render as 'KZT0' placeholder pre-hydration - needs Playwright</t>
        </is>
      </c>
      <c r="M19" s="13" t="inlineStr">
        <is>
          <t>ACCEPT</t>
        </is>
      </c>
      <c r="N19" s="13" t="inlineStr">
        <is>
          <t>not scored</t>
        </is>
      </c>
      <c r="O19" s="13" t="inlineStr"/>
      <c r="P19" s="13" t="inlineStr">
        <is>
          <t>Custom</t>
        </is>
      </c>
      <c r="Q19" s="13" t="inlineStr">
        <is>
          <t>AZN</t>
        </is>
      </c>
      <c r="R19" s="13" t="inlineStr">
        <is>
          <t>-</t>
        </is>
      </c>
      <c r="S19" s="13" t="inlineStr">
        <is>
          <t>-</t>
        </is>
      </c>
      <c r="T19" s="13" t="inlineStr">
        <is>
          <t>Wolt vertical explicitly states 'Magaza ile eyni qiymetler' (same prices as the store).</t>
        </is>
      </c>
      <c r="U19" s="13" t="inlineStr">
        <is>
          <t>-</t>
        </is>
      </c>
      <c r="V19" s="13" t="inlineStr">
        <is>
          <t>P4</t>
        </is>
      </c>
    </row>
    <row r="20">
      <c r="A20" s="13" t="inlineStr">
        <is>
          <t>eca</t>
        </is>
      </c>
      <c r="B20" s="13" t="inlineStr">
        <is>
          <t>belgium</t>
        </is>
      </c>
      <c r="C20" s="13" t="inlineStr">
        <is>
          <t>BEL</t>
        </is>
      </c>
      <c r="D20" s="13" t="inlineStr">
        <is>
          <t>Belgium</t>
        </is>
      </c>
      <c r="E20" s="13" t="inlineStr">
        <is>
          <t>Albert Heijn Belgium</t>
        </is>
      </c>
      <c r="F20" s="13" t="inlineStr">
        <is>
          <t>https://www.ah.be/</t>
        </is>
      </c>
      <c r="G20" s="13" t="inlineStr">
        <is>
          <t>PROBED - SKIP</t>
        </is>
      </c>
      <c r="H20" s="13" t="inlineStr">
        <is>
          <t>SKIP</t>
        </is>
      </c>
      <c r="I20" s="13" t="inlineStr">
        <is>
          <t>high</t>
        </is>
      </c>
      <c r="J20" s="13" t="n">
        <v>0</v>
      </c>
      <c r="K20" s="13" t="inlineStr">
        <is>
          <t>blocked (Akamai)</t>
        </is>
      </c>
      <c r="L20" s="13" t="inlineStr">
        <is>
          <t>curl 403, body 'Access Denied' with reference #...errors.edgesuite.net - classic Akamai bot-manager signature</t>
        </is>
      </c>
      <c r="M20" s="13" t="inlineStr">
        <is>
          <t>SUSPECT</t>
        </is>
      </c>
      <c r="N20" s="13" t="inlineStr">
        <is>
          <t>D - hard / app / index only</t>
        </is>
      </c>
      <c r="O20" s="13" t="n">
        <v>2</v>
      </c>
      <c r="P20" s="13" t="inlineStr">
        <is>
          <t>Custom/Enterprise</t>
        </is>
      </c>
      <c r="Q20" s="13" t="inlineStr"/>
      <c r="R20" s="13" t="inlineStr">
        <is>
          <t>-</t>
        </is>
      </c>
      <c r="S20" s="13" t="inlineStr">
        <is>
          <t>current, bonus_price</t>
        </is>
      </c>
      <c r="T20" s="13" t="inlineStr">
        <is>
          <t>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20" s="13" t="inlineStr">
        <is>
          <t>-</t>
        </is>
      </c>
      <c r="V20" s="13" t="inlineStr">
        <is>
          <t>P8-EU</t>
        </is>
      </c>
    </row>
    <row r="21">
      <c r="A21" s="13" t="inlineStr">
        <is>
          <t>eca</t>
        </is>
      </c>
      <c r="B21" s="13" t="inlineStr">
        <is>
          <t>belgium</t>
        </is>
      </c>
      <c r="C21" s="13" t="inlineStr">
        <is>
          <t>BEL</t>
        </is>
      </c>
      <c r="D21" s="13" t="inlineStr">
        <is>
          <t>Belgium</t>
        </is>
      </c>
      <c r="E21" s="13" t="inlineStr">
        <is>
          <t>Carrefour Belgium</t>
        </is>
      </c>
      <c r="F21" s="13" t="inlineStr">
        <is>
          <t>https://www.carrefour.be/</t>
        </is>
      </c>
      <c r="G21" s="13" t="inlineStr">
        <is>
          <t>PROBED - SKIP</t>
        </is>
      </c>
      <c r="H21" s="13" t="inlineStr">
        <is>
          <t>SKIP</t>
        </is>
      </c>
      <c r="I21" s="13" t="inlineStr">
        <is>
          <t>high</t>
        </is>
      </c>
      <c r="J21" s="13" t="n">
        <v>0</v>
      </c>
      <c r="K21" s="13" t="inlineStr">
        <is>
          <t>blocked</t>
        </is>
      </c>
      <c r="L21" s="13" t="inlineStr">
        <is>
          <t>curl 403, title 'Attention Required! | Cloudflare'</t>
        </is>
      </c>
      <c r="M21" s="13" t="inlineStr">
        <is>
          <t>SUSPECT</t>
        </is>
      </c>
      <c r="N21" s="13" t="inlineStr">
        <is>
          <t>D - hard / app / index only</t>
        </is>
      </c>
      <c r="O21" s="13" t="n">
        <v>2</v>
      </c>
      <c r="P21" s="13" t="inlineStr">
        <is>
          <t>Custom/Enterprise</t>
        </is>
      </c>
      <c r="Q21" s="13" t="inlineStr"/>
      <c r="R21" s="13" t="inlineStr">
        <is>
          <t>-</t>
        </is>
      </c>
      <c r="S21" s="13" t="inlineStr">
        <is>
          <t>current</t>
        </is>
      </c>
      <c r="T21" s="13" t="inlineStr">
        <is>
          <t>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21" s="13" t="inlineStr">
        <is>
          <t>-</t>
        </is>
      </c>
      <c r="V21" s="13" t="inlineStr">
        <is>
          <t>P8-EU</t>
        </is>
      </c>
    </row>
    <row r="22">
      <c r="A22" s="13" t="inlineStr">
        <is>
          <t>eca</t>
        </is>
      </c>
      <c r="B22" s="13" t="inlineStr">
        <is>
          <t>belgium</t>
        </is>
      </c>
      <c r="C22" s="13" t="inlineStr">
        <is>
          <t>BEL</t>
        </is>
      </c>
      <c r="D22" s="13" t="inlineStr">
        <is>
          <t>Belgium</t>
        </is>
      </c>
      <c r="E22" s="13" t="inlineStr">
        <is>
          <t>Cora Belgium</t>
        </is>
      </c>
      <c r="F22" s="13" t="inlineStr">
        <is>
          <t>https://www.cora.be/</t>
        </is>
      </c>
      <c r="G22" s="13" t="inlineStr">
        <is>
          <t>PROBED - SKIP</t>
        </is>
      </c>
      <c r="H22" s="13" t="inlineStr">
        <is>
          <t>SKIP</t>
        </is>
      </c>
      <c r="I22" s="13" t="inlineStr">
        <is>
          <t>high</t>
        </is>
      </c>
      <c r="J22" s="13" t="n">
        <v>0</v>
      </c>
      <c r="K22" s="13" t="inlineStr">
        <is>
          <t>structurally dead - retailer ceased operations</t>
        </is>
      </c>
      <c r="L22" s="13" t="inlineStr">
        <is>
          <t>WebSearch confirms Cora Belgium's 7 hypermarkets permanently closed 20 Jan - 31 Jan 2026, converting to Delhaize stores (dhnet.be, vrt.be, moustique.be reporting, all dated Jan 2026). DNS for www.cora.be also fails to resolve.</t>
        </is>
      </c>
      <c r="M22" s="13" t="inlineStr">
        <is>
          <t>ACCEPT</t>
        </is>
      </c>
      <c r="N22" s="13" t="inlineStr">
        <is>
          <t>C - engineering required</t>
        </is>
      </c>
      <c r="O22" s="13" t="n">
        <v>3</v>
      </c>
      <c r="P22" s="13" t="inlineStr">
        <is>
          <t>Custom</t>
        </is>
      </c>
      <c r="Q22" s="13" t="inlineStr"/>
      <c r="R22" s="13" t="inlineStr">
        <is>
          <t>-</t>
        </is>
      </c>
      <c r="S22" s="13" t="inlineStr">
        <is>
          <t>current</t>
        </is>
      </c>
      <c r="T22" s="13" t="inlineStr">
        <is>
          <t>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22" s="13" t="inlineStr">
        <is>
          <t>-</t>
        </is>
      </c>
      <c r="V22" s="13" t="inlineStr">
        <is>
          <t>P8-EU</t>
        </is>
      </c>
    </row>
    <row r="23">
      <c r="A23" s="13" t="inlineStr">
        <is>
          <t>eca</t>
        </is>
      </c>
      <c r="B23" s="13" t="inlineStr">
        <is>
          <t>belgium</t>
        </is>
      </c>
      <c r="C23" s="13" t="inlineStr">
        <is>
          <t>BEL</t>
        </is>
      </c>
      <c r="D23" s="13" t="inlineStr">
        <is>
          <t>Belgium</t>
        </is>
      </c>
      <c r="E23" s="13" t="inlineStr">
        <is>
          <t>Delhaize</t>
        </is>
      </c>
      <c r="F23" s="13" t="inlineStr">
        <is>
          <t>https://www.delhaize.be/</t>
        </is>
      </c>
      <c r="G23" s="13" t="inlineStr">
        <is>
          <t>PROBED - SKIP</t>
        </is>
      </c>
      <c r="H23" s="13" t="inlineStr">
        <is>
          <t>SKIP</t>
        </is>
      </c>
      <c r="I23" s="13" t="inlineStr">
        <is>
          <t>high</t>
        </is>
      </c>
      <c r="J23" s="13" t="n">
        <v>0</v>
      </c>
      <c r="K23" s="13" t="inlineStr">
        <is>
          <t>blocked (Akamai)</t>
        </is>
      </c>
      <c r="L23" s="13" t="inlineStr">
        <is>
          <t>curl 403, body 'Access Denied' with reference errors.edgesuite.net - same Akamai signature as ah.be</t>
        </is>
      </c>
      <c r="M23" s="13" t="inlineStr">
        <is>
          <t>SUSPECT</t>
        </is>
      </c>
      <c r="N23" s="13" t="inlineStr">
        <is>
          <t>D - hard / app / index only</t>
        </is>
      </c>
      <c r="O23" s="13" t="n">
        <v>2</v>
      </c>
      <c r="P23" s="13" t="inlineStr">
        <is>
          <t>Custom/Enterprise</t>
        </is>
      </c>
      <c r="Q23" s="13" t="inlineStr"/>
      <c r="R23" s="13" t="inlineStr">
        <is>
          <t>-</t>
        </is>
      </c>
      <c r="S23" s="13" t="inlineStr">
        <is>
          <t>current</t>
        </is>
      </c>
      <c r="T23" s="13" t="inlineStr">
        <is>
          <t>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23" s="13" t="inlineStr">
        <is>
          <t>-</t>
        </is>
      </c>
      <c r="V23" s="13" t="inlineStr">
        <is>
          <t>P8-EU</t>
        </is>
      </c>
    </row>
    <row r="24">
      <c r="A24" s="13" t="inlineStr">
        <is>
          <t>eca</t>
        </is>
      </c>
      <c r="B24" s="13" t="inlineStr">
        <is>
          <t>belgium</t>
        </is>
      </c>
      <c r="C24" s="13" t="inlineStr">
        <is>
          <t>BEL</t>
        </is>
      </c>
      <c r="D24" s="13" t="inlineStr">
        <is>
          <t>Belgium</t>
        </is>
      </c>
      <c r="E24" s="13" t="inlineStr">
        <is>
          <t>Colruyt</t>
        </is>
      </c>
      <c r="F24" s="13" t="inlineStr">
        <is>
          <t>https://www.colruyt.be/</t>
        </is>
      </c>
      <c r="G24" s="13" t="inlineStr">
        <is>
          <t>PROBED - VIABLE</t>
        </is>
      </c>
      <c r="H24" s="13" t="inlineStr">
        <is>
          <t>TIER_2</t>
        </is>
      </c>
      <c r="I24" s="13" t="inlineStr">
        <is>
          <t>medium</t>
        </is>
      </c>
      <c r="J24" s="13" t="n">
        <v>0</v>
      </c>
      <c r="K24" s="13" t="inlineStr">
        <is>
          <t>not found</t>
        </is>
      </c>
      <c r="L24" s="13" t="inlineStr">
        <is>
          <t>curl 200, 399KB, no price pattern matched on homepage</t>
        </is>
      </c>
      <c r="M24" s="13" t="inlineStr">
        <is>
          <t>SUSPECT</t>
        </is>
      </c>
      <c r="N24" s="13" t="inlineStr">
        <is>
          <t>D - hard / app / index only</t>
        </is>
      </c>
      <c r="O24" s="13" t="n">
        <v>2</v>
      </c>
      <c r="P24" s="13" t="inlineStr">
        <is>
          <t>Custom/Enterprise</t>
        </is>
      </c>
      <c r="Q24" s="13" t="inlineStr"/>
      <c r="R24" s="13" t="inlineStr">
        <is>
          <t>-</t>
        </is>
      </c>
      <c r="S24" s="13" t="inlineStr">
        <is>
          <t>current, unit_price, lowest_price_guarantee</t>
        </is>
      </c>
      <c r="T24" s="13" t="inlineStr">
        <is>
          <t>Belgium's price leader, operates a statutory-style LOWEST PRICE guarantee and publishes comparative pricing. Structurally important for Belgian price analysis.</t>
        </is>
      </c>
      <c r="U24" s="13" t="inlineStr">
        <is>
          <t>-</t>
        </is>
      </c>
      <c r="V24" s="13" t="inlineStr">
        <is>
          <t>P8-EU</t>
        </is>
      </c>
    </row>
    <row r="25">
      <c r="A25" s="13" t="inlineStr">
        <is>
          <t>eca</t>
        </is>
      </c>
      <c r="B25" s="13" t="inlineStr">
        <is>
          <t>belgium</t>
        </is>
      </c>
      <c r="C25" s="13" t="inlineStr">
        <is>
          <t>BEL</t>
        </is>
      </c>
      <c r="D25" s="13" t="inlineStr">
        <is>
          <t>Belgium</t>
        </is>
      </c>
      <c r="E25" s="13" t="inlineStr">
        <is>
          <t>Spar Colruyt Group</t>
        </is>
      </c>
      <c r="F25" s="13" t="inlineStr">
        <is>
          <t>https://www.mijnspar.be/</t>
        </is>
      </c>
      <c r="G25" s="13" t="inlineStr">
        <is>
          <t>PROBED - VIABLE</t>
        </is>
      </c>
      <c r="H25" s="13" t="inlineStr">
        <is>
          <t>TIER_2</t>
        </is>
      </c>
      <c r="I25" s="13" t="inlineStr">
        <is>
          <t>medium</t>
        </is>
      </c>
      <c r="J25" s="13" t="n">
        <v>0</v>
      </c>
      <c r="K25" s="13" t="inlineStr">
        <is>
          <t>not found</t>
        </is>
      </c>
      <c r="L25" s="13" t="inlineStr">
        <is>
          <t>curl 200, 337KB, no price pattern matched (CSV itself notes prices require store selection)</t>
        </is>
      </c>
      <c r="M25" s="13" t="inlineStr">
        <is>
          <t>ACCEPT</t>
        </is>
      </c>
      <c r="N25" s="13" t="inlineStr">
        <is>
          <t>C - engineering required</t>
        </is>
      </c>
      <c r="O25" s="13" t="n">
        <v>3</v>
      </c>
      <c r="P25" s="13" t="inlineStr">
        <is>
          <t>Custom</t>
        </is>
      </c>
      <c r="Q25" s="13" t="inlineStr"/>
      <c r="R25" s="13" t="inlineStr">
        <is>
          <t>-</t>
        </is>
      </c>
      <c r="S25" s="13" t="inlineStr">
        <is>
          <t>current, promo, promo_window, green_score</t>
        </is>
      </c>
      <c r="T25" s="13" t="inlineStr">
        <is>
          <t>Per-store webshop with DATED promotion windows (30/7 - 12/8/2026) and a GREEN-SCORE sustainability rating attached to products - environmental grading alongside price.</t>
        </is>
      </c>
      <c r="U25" s="13" t="inlineStr">
        <is>
          <t>Prices require store selection ('Selecteer je winkel om de prijs te bekijken').</t>
        </is>
      </c>
      <c r="V25" s="13" t="inlineStr">
        <is>
          <t>P8-EU</t>
        </is>
      </c>
    </row>
    <row r="26">
      <c r="A26" s="13" t="inlineStr">
        <is>
          <t>eca</t>
        </is>
      </c>
      <c r="B26" s="13" t="inlineStr">
        <is>
          <t>bulgaria</t>
        </is>
      </c>
      <c r="C26" s="13" t="inlineStr">
        <is>
          <t>BGR</t>
        </is>
      </c>
      <c r="D26" s="13" t="inlineStr">
        <is>
          <t>Bulgaria</t>
        </is>
      </c>
      <c r="E26" s="13" t="inlineStr">
        <is>
          <t>DelivMe</t>
        </is>
      </c>
      <c r="F26" s="13" t="inlineStr">
        <is>
          <t>https://delivme.bg/</t>
        </is>
      </c>
      <c r="G26" s="13" t="inlineStr">
        <is>
          <t>NOT PROBED - deduped, already onboarded, or time-boxed</t>
        </is>
      </c>
      <c r="H26" s="13" t="inlineStr"/>
      <c r="I26" s="13" t="inlineStr"/>
      <c r="J26" s="13" t="inlineStr"/>
      <c r="K26" s="13" t="inlineStr"/>
      <c r="L26" s="13" t="inlineStr"/>
      <c r="M26" s="13" t="inlineStr">
        <is>
          <t>SUSPECT</t>
        </is>
      </c>
      <c r="N26" s="13" t="inlineStr">
        <is>
          <t>not scored</t>
        </is>
      </c>
      <c r="O26" s="13" t="inlineStr"/>
      <c r="P26" s="13" t="inlineStr">
        <is>
          <t>Custom</t>
        </is>
      </c>
      <c r="Q26" s="13" t="inlineStr">
        <is>
          <t>BGN</t>
        </is>
      </c>
      <c r="R26" s="13" t="inlineStr">
        <is>
          <t>-</t>
        </is>
      </c>
      <c r="S26" s="13" t="inlineStr">
        <is>
          <t>-</t>
        </is>
      </c>
      <c r="T26" s="13" t="inlineStr">
        <is>
          <t>Live one-hour delivery platform; catalogue behind address selection.</t>
        </is>
      </c>
      <c r="U26" s="13" t="inlineStr">
        <is>
          <t>-</t>
        </is>
      </c>
      <c r="V26" s="13" t="inlineStr">
        <is>
          <t>P5</t>
        </is>
      </c>
    </row>
    <row r="27">
      <c r="A27" s="13" t="inlineStr">
        <is>
          <t>eca</t>
        </is>
      </c>
      <c r="B27" s="13" t="inlineStr">
        <is>
          <t>bulgaria</t>
        </is>
      </c>
      <c r="C27" s="13" t="inlineStr">
        <is>
          <t>BGR</t>
        </is>
      </c>
      <c r="D27" s="13" t="inlineStr">
        <is>
          <t>Bulgaria</t>
        </is>
      </c>
      <c r="E27" s="13" t="inlineStr">
        <is>
          <t>DelivMe</t>
        </is>
      </c>
      <c r="F27" s="13" t="inlineStr">
        <is>
          <t>https://delivme.bg/</t>
        </is>
      </c>
      <c r="G27" s="13" t="inlineStr">
        <is>
          <t>NOT PROBED - deduped, already onboarded, or time-boxed</t>
        </is>
      </c>
      <c r="H27" s="13" t="inlineStr"/>
      <c r="I27" s="13" t="inlineStr"/>
      <c r="J27" s="13" t="inlineStr"/>
      <c r="K27" s="13" t="inlineStr"/>
      <c r="L27" s="13" t="inlineStr"/>
      <c r="M27" s="13" t="inlineStr">
        <is>
          <t>SUSPECT</t>
        </is>
      </c>
      <c r="N27" s="13" t="inlineStr">
        <is>
          <t>C - engineering required</t>
        </is>
      </c>
      <c r="O27" s="13" t="n">
        <v>3</v>
      </c>
      <c r="P27" s="13" t="inlineStr">
        <is>
          <t>Custom</t>
        </is>
      </c>
      <c r="Q27" s="13" t="inlineStr">
        <is>
          <t>BGN</t>
        </is>
      </c>
      <c r="R27" s="13" t="inlineStr">
        <is>
          <t>-</t>
        </is>
      </c>
      <c r="S27" s="13" t="inlineStr">
        <is>
          <t>current</t>
        </is>
      </c>
      <c r="T27" s="13" t="inlineStr">
        <is>
          <t>One-hour delivery platform.</t>
        </is>
      </c>
      <c r="U27" s="13" t="inlineStr">
        <is>
          <t>Catalogue behind address selection.</t>
        </is>
      </c>
      <c r="V27" s="13" t="inlineStr">
        <is>
          <t>P6</t>
        </is>
      </c>
    </row>
    <row r="28">
      <c r="A28" s="13" t="inlineStr">
        <is>
          <t>eca</t>
        </is>
      </c>
      <c r="B28" s="13" t="inlineStr">
        <is>
          <t>bulgaria</t>
        </is>
      </c>
      <c r="C28" s="13" t="inlineStr">
        <is>
          <t>BGR</t>
        </is>
      </c>
      <c r="D28" s="13" t="inlineStr">
        <is>
          <t>Bulgaria</t>
        </is>
      </c>
      <c r="E28" s="13" t="inlineStr">
        <is>
          <t>Supermag.bg</t>
        </is>
      </c>
      <c r="F28" s="13" t="inlineStr">
        <is>
          <t>https://www.supermag.bg/</t>
        </is>
      </c>
      <c r="G28" s="13" t="inlineStr">
        <is>
          <t>NOT PROBED - deduped, already onboarded, or time-boxed</t>
        </is>
      </c>
      <c r="H28" s="13" t="inlineStr"/>
      <c r="I28" s="13" t="inlineStr"/>
      <c r="J28" s="13" t="inlineStr"/>
      <c r="K28" s="13" t="inlineStr"/>
      <c r="L28" s="13" t="inlineStr"/>
      <c r="M28" s="13" t="inlineStr">
        <is>
          <t>SUSPECT</t>
        </is>
      </c>
      <c r="N28" s="13" t="inlineStr">
        <is>
          <t>not scored</t>
        </is>
      </c>
      <c r="O28" s="13" t="inlineStr"/>
      <c r="P28" s="13" t="inlineStr">
        <is>
          <t>Custom</t>
        </is>
      </c>
      <c r="Q28" s="13" t="inlineStr">
        <is>
          <t>BGN</t>
        </is>
      </c>
      <c r="R28" s="13" t="inlineStr">
        <is>
          <t>-</t>
        </is>
      </c>
      <c r="S28" s="13" t="inlineStr">
        <is>
          <t>-</t>
        </is>
      </c>
      <c r="T28" s="13" t="inlineStr">
        <is>
          <t>Office-supply-oriented online supermarket, Sofia. B2B pricing may differ from retail.</t>
        </is>
      </c>
      <c r="U28" s="13" t="inlineStr">
        <is>
          <t>-</t>
        </is>
      </c>
      <c r="V28" s="13" t="inlineStr">
        <is>
          <t>P5</t>
        </is>
      </c>
    </row>
    <row r="29">
      <c r="A29" s="13" t="inlineStr">
        <is>
          <t>eca</t>
        </is>
      </c>
      <c r="B29" s="13" t="inlineStr">
        <is>
          <t>bulgaria</t>
        </is>
      </c>
      <c r="C29" s="13" t="inlineStr">
        <is>
          <t>BGR</t>
        </is>
      </c>
      <c r="D29" s="13" t="inlineStr">
        <is>
          <t>Bulgaria</t>
        </is>
      </c>
      <c r="E29" s="13" t="inlineStr">
        <is>
          <t>Supermag.bg</t>
        </is>
      </c>
      <c r="F29" s="13" t="inlineStr">
        <is>
          <t>https://www.supermag.bg/</t>
        </is>
      </c>
      <c r="G29" s="13" t="inlineStr">
        <is>
          <t>NOT PROBED - deduped, already onboarded, or time-boxed</t>
        </is>
      </c>
      <c r="H29" s="13" t="inlineStr"/>
      <c r="I29" s="13" t="inlineStr"/>
      <c r="J29" s="13" t="inlineStr"/>
      <c r="K29" s="13" t="inlineStr"/>
      <c r="L29" s="13" t="inlineStr"/>
      <c r="M29" s="13" t="inlineStr">
        <is>
          <t>SUSPECT</t>
        </is>
      </c>
      <c r="N29" s="13" t="inlineStr">
        <is>
          <t>C - engineering required</t>
        </is>
      </c>
      <c r="O29" s="13" t="n">
        <v>3</v>
      </c>
      <c r="P29" s="13" t="inlineStr">
        <is>
          <t>Custom</t>
        </is>
      </c>
      <c r="Q29" s="13" t="inlineStr">
        <is>
          <t>BGN</t>
        </is>
      </c>
      <c r="R29" s="13" t="inlineStr">
        <is>
          <t>-</t>
        </is>
      </c>
      <c r="S29" s="13" t="inlineStr">
        <is>
          <t>current</t>
        </is>
      </c>
      <c r="T29" s="13" t="inlineStr">
        <is>
          <t>Office-supply-oriented online supermarket.</t>
        </is>
      </c>
      <c r="U29" s="13" t="inlineStr">
        <is>
          <t>B2B pricing may differ materially from consumer retail. Segregate.</t>
        </is>
      </c>
      <c r="V29" s="13" t="inlineStr">
        <is>
          <t>P6</t>
        </is>
      </c>
    </row>
    <row r="30">
      <c r="A30" s="13" t="inlineStr">
        <is>
          <t>eca</t>
        </is>
      </c>
      <c r="B30" s="13" t="inlineStr">
        <is>
          <t>bulgaria</t>
        </is>
      </c>
      <c r="C30" s="13" t="inlineStr">
        <is>
          <t>BGR</t>
        </is>
      </c>
      <c r="D30" s="13" t="inlineStr">
        <is>
          <t>Bulgaria</t>
        </is>
      </c>
      <c r="E30" s="13" t="inlineStr">
        <is>
          <t>BG Market</t>
        </is>
      </c>
      <c r="F30" s="13" t="inlineStr">
        <is>
          <t>https://bgm.bg/</t>
        </is>
      </c>
      <c r="G30" s="13" t="inlineStr">
        <is>
          <t>PROBED - SKIP</t>
        </is>
      </c>
      <c r="H30" s="13" t="inlineStr">
        <is>
          <t>SKIP</t>
        </is>
      </c>
      <c r="I30" s="13" t="inlineStr">
        <is>
          <t>high</t>
        </is>
      </c>
      <c r="J30" s="13" t="n">
        <v>0</v>
      </c>
      <c r="K30" s="13" t="inlineStr"/>
      <c r="L30" s="13" t="inlineStr">
        <is>
          <t>curl -A browser-UA -&gt; HTTP 403, 5.5KB body.</t>
        </is>
      </c>
      <c r="M30" s="13" t="inlineStr">
        <is>
          <t>ACCEPT</t>
        </is>
      </c>
      <c r="N30" s="13" t="inlineStr">
        <is>
          <t>not scored</t>
        </is>
      </c>
      <c r="O30" s="13" t="inlineStr"/>
      <c r="P30" s="13" t="inlineStr">
        <is>
          <t>Custom</t>
        </is>
      </c>
      <c r="Q30" s="13" t="inlineStr">
        <is>
          <t>BGN</t>
        </is>
      </c>
      <c r="R30" s="13" t="inlineStr">
        <is>
          <t>-</t>
        </is>
      </c>
      <c r="S30" s="13" t="inlineStr">
        <is>
          <t>-</t>
        </is>
      </c>
      <c r="T30" s="13" t="inlineStr">
        <is>
          <t>Dual EUR/BGN, full grocery taxonomy, 2-hour delivery, free over 60 lv.</t>
        </is>
      </c>
      <c r="U30" s="13" t="inlineStr">
        <is>
          <t>-</t>
        </is>
      </c>
      <c r="V30" s="13" t="inlineStr">
        <is>
          <t>P5</t>
        </is>
      </c>
    </row>
    <row r="31">
      <c r="A31" s="13" t="inlineStr">
        <is>
          <t>eca</t>
        </is>
      </c>
      <c r="B31" s="13" t="inlineStr">
        <is>
          <t>bulgaria</t>
        </is>
      </c>
      <c r="C31" s="13" t="inlineStr">
        <is>
          <t>BGR</t>
        </is>
      </c>
      <c r="D31" s="13" t="inlineStr">
        <is>
          <t>Bulgaria</t>
        </is>
      </c>
      <c r="E31" s="13" t="inlineStr">
        <is>
          <t>BG Market</t>
        </is>
      </c>
      <c r="F31" s="13" t="inlineStr">
        <is>
          <t>https://bgm.bg/</t>
        </is>
      </c>
      <c r="G31" s="13" t="inlineStr">
        <is>
          <t>PROBED - SKIP</t>
        </is>
      </c>
      <c r="H31" s="13" t="inlineStr">
        <is>
          <t>SKIP</t>
        </is>
      </c>
      <c r="I31" s="13" t="inlineStr">
        <is>
          <t>high</t>
        </is>
      </c>
      <c r="J31" s="13" t="n">
        <v>0</v>
      </c>
      <c r="K31" s="13" t="inlineStr"/>
      <c r="L31" s="13" t="inlineStr">
        <is>
          <t>curl -A browser-UA -&gt; HTTP 403, 5.5KB body.</t>
        </is>
      </c>
      <c r="M31" s="13" t="inlineStr">
        <is>
          <t>ACCEPT</t>
        </is>
      </c>
      <c r="N31" s="13" t="inlineStr">
        <is>
          <t>C - engineering required</t>
        </is>
      </c>
      <c r="O31" s="13" t="n">
        <v>3</v>
      </c>
      <c r="P31" s="13" t="inlineStr">
        <is>
          <t>Custom</t>
        </is>
      </c>
      <c r="Q31" s="13" t="inlineStr">
        <is>
          <t>BGN</t>
        </is>
      </c>
      <c r="R31" s="13" t="inlineStr">
        <is>
          <t>-</t>
        </is>
      </c>
      <c r="S31" s="13" t="inlineStr">
        <is>
          <t>price_eur, price_bgn</t>
        </is>
      </c>
      <c r="T31" s="13" t="inlineStr">
        <is>
          <t>Dual currency, 2-hour delivery, free over 60 lv.</t>
        </is>
      </c>
      <c r="U31" s="13" t="inlineStr">
        <is>
          <t>-</t>
        </is>
      </c>
      <c r="V31" s="13" t="inlineStr">
        <is>
          <t>P6</t>
        </is>
      </c>
    </row>
    <row r="32">
      <c r="A32" s="13" t="inlineStr">
        <is>
          <t>eca</t>
        </is>
      </c>
      <c r="B32" s="13" t="inlineStr">
        <is>
          <t>bulgaria</t>
        </is>
      </c>
      <c r="C32" s="13" t="inlineStr">
        <is>
          <t>BGR</t>
        </is>
      </c>
      <c r="D32" s="13" t="inlineStr">
        <is>
          <t>Bulgaria</t>
        </is>
      </c>
      <c r="E32" s="13" t="inlineStr">
        <is>
          <t>Billa Bulgaria</t>
        </is>
      </c>
      <c r="F32" s="13" t="inlineStr">
        <is>
          <t>https://www.billa.bg/</t>
        </is>
      </c>
      <c r="G32" s="13" t="inlineStr">
        <is>
          <t>PROBED - SKIP</t>
        </is>
      </c>
      <c r="H32" s="13" t="inlineStr">
        <is>
          <t>SKIP</t>
        </is>
      </c>
      <c r="I32" s="13" t="inlineStr">
        <is>
          <t>high</t>
        </is>
      </c>
      <c r="J32" s="13" t="n">
        <v>0</v>
      </c>
      <c r="K32" s="13" t="inlineStr"/>
      <c r="L32" s="13" t="inlineStr">
        <is>
          <t>GET / -&gt; 200, 702KB, Nuxt/Next hybrid. Homepage prices found (3,49 EUR etc.) but only 2 '/produkt'-like hrefs, both blog/promo article slugs, not a product catalogue -- matches CSV note 'expect a store/postcode selector before the catalogue renders'.</t>
        </is>
      </c>
      <c r="M32" s="13" t="inlineStr">
        <is>
          <t>SUSPECT</t>
        </is>
      </c>
      <c r="N32" s="13" t="inlineStr">
        <is>
          <t>D - hard / app / index only</t>
        </is>
      </c>
      <c r="O32" s="13" t="n">
        <v>2</v>
      </c>
      <c r="P32" s="13" t="inlineStr">
        <is>
          <t>Custom/Enterprise</t>
        </is>
      </c>
      <c r="Q32" s="13" t="inlineStr">
        <is>
          <t>BGN</t>
        </is>
      </c>
      <c r="R32" s="13" t="inlineStr">
        <is>
          <t>-</t>
        </is>
      </c>
      <c r="S32" s="13" t="inlineStr">
        <is>
          <t>current, promo</t>
        </is>
      </c>
      <c r="T32" s="13" t="inlineStr">
        <is>
          <t>Major chain; check whether it is Glovo-only like Kaufland.</t>
        </is>
      </c>
      <c r="U32" s="13" t="inlineStr">
        <is>
          <t>-</t>
        </is>
      </c>
      <c r="V32" s="13" t="inlineStr">
        <is>
          <t>P6</t>
        </is>
      </c>
    </row>
    <row r="33">
      <c r="A33" s="13" t="inlineStr">
        <is>
          <t>eca</t>
        </is>
      </c>
      <c r="B33" s="13" t="inlineStr">
        <is>
          <t>bulgaria</t>
        </is>
      </c>
      <c r="C33" s="13" t="inlineStr">
        <is>
          <t>BGR</t>
        </is>
      </c>
      <c r="D33" s="13" t="inlineStr">
        <is>
          <t>Bulgaria</t>
        </is>
      </c>
      <c r="E33" s="13" t="inlineStr">
        <is>
          <t>Billa Bulgaria</t>
        </is>
      </c>
      <c r="F33" s="13" t="inlineStr">
        <is>
          <t>https://www.billa.bg/</t>
        </is>
      </c>
      <c r="G33" s="13" t="inlineStr">
        <is>
          <t>PROBED - SKIP</t>
        </is>
      </c>
      <c r="H33" s="13" t="inlineStr">
        <is>
          <t>SKIP</t>
        </is>
      </c>
      <c r="I33" s="13" t="inlineStr">
        <is>
          <t>high</t>
        </is>
      </c>
      <c r="J33" s="13" t="n">
        <v>0</v>
      </c>
      <c r="K33" s="13" t="inlineStr"/>
      <c r="L33" s="13" t="inlineStr">
        <is>
          <t>GET / -&gt; 200, 702KB, Nuxt/Next hybrid. Homepage prices found (3,49 EUR etc.) but only 2 '/produkt'-like hrefs, both blog/promo article slugs, not a product catalogue -- matches CSV note 'expect a store/postcode selector before the catalogue renders'.</t>
        </is>
      </c>
      <c r="M33" s="13" t="inlineStr">
        <is>
          <t>SUSPECT</t>
        </is>
      </c>
      <c r="N33" s="13" t="inlineStr">
        <is>
          <t>D - hard / app / index only</t>
        </is>
      </c>
      <c r="O33" s="13" t="n">
        <v>2</v>
      </c>
      <c r="P33" s="13" t="inlineStr">
        <is>
          <t>Custom/Enterprise</t>
        </is>
      </c>
      <c r="Q33" s="13" t="inlineStr"/>
      <c r="R33" s="13" t="inlineStr">
        <is>
          <t>-</t>
        </is>
      </c>
      <c r="S33" s="13" t="inlineStr">
        <is>
          <t>current</t>
        </is>
      </c>
      <c r="T33" s="13" t="inlineStr">
        <is>
          <t>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33" s="13" t="inlineStr">
        <is>
          <t>-</t>
        </is>
      </c>
      <c r="V33" s="13" t="inlineStr">
        <is>
          <t>P8-EU</t>
        </is>
      </c>
    </row>
    <row r="34">
      <c r="A34" s="13" t="inlineStr">
        <is>
          <t>eca</t>
        </is>
      </c>
      <c r="B34" s="13" t="inlineStr">
        <is>
          <t>bulgaria</t>
        </is>
      </c>
      <c r="C34" s="13" t="inlineStr">
        <is>
          <t>BGR</t>
        </is>
      </c>
      <c r="D34" s="13" t="inlineStr">
        <is>
          <t>Bulgaria</t>
        </is>
      </c>
      <c r="E34" s="13" t="inlineStr">
        <is>
          <t>Gladen.bg</t>
        </is>
      </c>
      <c r="F34" s="13" t="inlineStr">
        <is>
          <t>https://gladen.bg/</t>
        </is>
      </c>
      <c r="G34" s="13" t="inlineStr">
        <is>
          <t>PROBED - SKIP</t>
        </is>
      </c>
      <c r="H34" s="13" t="inlineStr">
        <is>
          <t>SKIP</t>
        </is>
      </c>
      <c r="I34" s="13" t="inlineStr">
        <is>
          <t>high</t>
        </is>
      </c>
      <c r="J34" s="13" t="n">
        <v>0</v>
      </c>
      <c r="K34" s="13" t="inlineStr"/>
      <c r="L34" s="13" t="inlineStr">
        <is>
          <t>curl --max-time 15/20/25 -&gt; connection timed out (TCP connect to 185.55.229.31:443 never completes) on 3 separate attempts. Not a WAF signature -- looks like host unreachable from this network.</t>
        </is>
      </c>
      <c r="M34" s="13" t="inlineStr">
        <is>
          <t>ACCEPT</t>
        </is>
      </c>
      <c r="N34" s="13" t="inlineStr">
        <is>
          <t>not scored</t>
        </is>
      </c>
      <c r="O34" s="13" t="inlineStr"/>
      <c r="P34" s="13" t="inlineStr">
        <is>
          <t>Custom</t>
        </is>
      </c>
      <c r="Q34" s="13" t="inlineStr">
        <is>
          <t>BGN</t>
        </is>
      </c>
      <c r="R34" s="13" t="inlineStr">
        <is>
          <t>-</t>
        </is>
      </c>
      <c r="S34" s="13" t="inlineStr">
        <is>
          <t>-</t>
        </is>
      </c>
      <c r="T34" s="13" t="inlineStr">
        <is>
          <t>STRONG: dual EUR/BGN on every line with discount percentages and per-kg produce pricing (carrots 0.89 EUR / 1.74 lv per kg).</t>
        </is>
      </c>
      <c r="U34" s="13" t="inlineStr">
        <is>
          <t>-</t>
        </is>
      </c>
      <c r="V34" s="13" t="inlineStr">
        <is>
          <t>P5</t>
        </is>
      </c>
    </row>
    <row r="35">
      <c r="A35" s="13" t="inlineStr">
        <is>
          <t>eca</t>
        </is>
      </c>
      <c r="B35" s="13" t="inlineStr">
        <is>
          <t>bulgaria</t>
        </is>
      </c>
      <c r="C35" s="13" t="inlineStr">
        <is>
          <t>BGR</t>
        </is>
      </c>
      <c r="D35" s="13" t="inlineStr">
        <is>
          <t>Bulgaria</t>
        </is>
      </c>
      <c r="E35" s="13" t="inlineStr">
        <is>
          <t>Gladen.bg</t>
        </is>
      </c>
      <c r="F35" s="13" t="inlineStr">
        <is>
          <t>https://gladen.bg/</t>
        </is>
      </c>
      <c r="G35" s="13" t="inlineStr">
        <is>
          <t>PROBED - SKIP</t>
        </is>
      </c>
      <c r="H35" s="13" t="inlineStr">
        <is>
          <t>SKIP</t>
        </is>
      </c>
      <c r="I35" s="13" t="inlineStr">
        <is>
          <t>high</t>
        </is>
      </c>
      <c r="J35" s="13" t="n">
        <v>0</v>
      </c>
      <c r="K35" s="13" t="inlineStr"/>
      <c r="L35" s="13" t="inlineStr">
        <is>
          <t>curl --max-time 15/20/25 -&gt; connection timed out (TCP connect to 185.55.229.31:443 never completes) on 3 separate attempts. Not a WAF signature -- looks like host unreachable from this network.</t>
        </is>
      </c>
      <c r="M35" s="13" t="inlineStr">
        <is>
          <t>ACCEPT</t>
        </is>
      </c>
      <c r="N35" s="13" t="inlineStr">
        <is>
          <t>C - engineering required</t>
        </is>
      </c>
      <c r="O35" s="13" t="n">
        <v>3</v>
      </c>
      <c r="P35" s="13" t="inlineStr">
        <is>
          <t>Custom</t>
        </is>
      </c>
      <c r="Q35" s="13" t="inlineStr">
        <is>
          <t>BGN</t>
        </is>
      </c>
      <c r="R35" s="13" t="inlineStr">
        <is>
          <t>-</t>
        </is>
      </c>
      <c r="S35" s="13" t="inlineStr">
        <is>
          <t>price_eur, price_bgn, discount_pct, unit_price_per_kg</t>
        </is>
      </c>
      <c r="T35" s="13" t="inlineStr">
        <is>
          <t>Dual currency plus per-kg produce pricing and explicit discount percentages.</t>
        </is>
      </c>
      <c r="U35" s="13" t="inlineStr">
        <is>
          <t>-</t>
        </is>
      </c>
      <c r="V35" s="13" t="inlineStr">
        <is>
          <t>P6</t>
        </is>
      </c>
    </row>
    <row r="36">
      <c r="A36" s="13" t="inlineStr">
        <is>
          <t>eca</t>
        </is>
      </c>
      <c r="B36" s="13" t="inlineStr">
        <is>
          <t>bulgaria</t>
        </is>
      </c>
      <c r="C36" s="13" t="inlineStr">
        <is>
          <t>BGR</t>
        </is>
      </c>
      <c r="D36" s="13" t="inlineStr">
        <is>
          <t>Bulgaria</t>
        </is>
      </c>
      <c r="E36" s="13" t="inlineStr">
        <is>
          <t>Gladen.bg</t>
        </is>
      </c>
      <c r="F36" s="13" t="inlineStr">
        <is>
          <t>https://gladen.bg/</t>
        </is>
      </c>
      <c r="G36" s="13" t="inlineStr">
        <is>
          <t>PROBED - SKIP</t>
        </is>
      </c>
      <c r="H36" s="13" t="inlineStr">
        <is>
          <t>SKIP</t>
        </is>
      </c>
      <c r="I36" s="13" t="inlineStr">
        <is>
          <t>high</t>
        </is>
      </c>
      <c r="J36" s="13" t="n">
        <v>0</v>
      </c>
      <c r="K36" s="13" t="inlineStr"/>
      <c r="L36" s="13" t="inlineStr">
        <is>
          <t>curl --max-time 15/20/25 -&gt; connection timed out (TCP connect to 185.55.229.31:443 never completes) on 3 separate attempts. Not a WAF signature -- looks like host unreachable from this network.</t>
        </is>
      </c>
      <c r="M36" s="13" t="inlineStr">
        <is>
          <t>ACCEPT</t>
        </is>
      </c>
      <c r="N36" s="13" t="inlineStr">
        <is>
          <t>C - engineering required</t>
        </is>
      </c>
      <c r="O36" s="13" t="n">
        <v>3</v>
      </c>
      <c r="P36" s="13" t="inlineStr">
        <is>
          <t>Custom</t>
        </is>
      </c>
      <c r="Q36" s="13" t="inlineStr"/>
      <c r="R36" s="13" t="inlineStr">
        <is>
          <t>-</t>
        </is>
      </c>
      <c r="S36" s="13" t="inlineStr">
        <is>
          <t>price_eur, price_bgn, discount_pct, unit_price_kg</t>
        </is>
      </c>
      <c r="T36" s="13" t="inlineStr">
        <is>
          <t>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36" s="13" t="inlineStr">
        <is>
          <t>-</t>
        </is>
      </c>
      <c r="V36" s="13" t="inlineStr">
        <is>
          <t>P8-EU</t>
        </is>
      </c>
    </row>
    <row r="37">
      <c r="A37" s="13" t="inlineStr">
        <is>
          <t>eca</t>
        </is>
      </c>
      <c r="B37" s="13" t="inlineStr">
        <is>
          <t>bulgaria</t>
        </is>
      </c>
      <c r="C37" s="13" t="inlineStr">
        <is>
          <t>BGR</t>
        </is>
      </c>
      <c r="D37" s="13" t="inlineStr">
        <is>
          <t>Bulgaria</t>
        </is>
      </c>
      <c r="E37" s="13" t="inlineStr">
        <is>
          <t>Kaufland BG via Glovo</t>
        </is>
      </c>
      <c r="F37" s="13" t="inlineStr">
        <is>
          <t>https://www.kaufland.bg/</t>
        </is>
      </c>
      <c r="G37" s="13" t="inlineStr">
        <is>
          <t>PROBED - SKIP</t>
        </is>
      </c>
      <c r="H37" s="13" t="inlineStr">
        <is>
          <t>SKIP</t>
        </is>
      </c>
      <c r="I37" s="13" t="inlineStr">
        <is>
          <t>high</t>
        </is>
      </c>
      <c r="J37" s="13" t="n">
        <v>0</v>
      </c>
      <c r="K37" s="13" t="inlineStr"/>
      <c r="L37" s="13" t="inlineStr">
        <is>
          <t>Not independently re-probed; CSV documents this chain has no own catalogue and distributes exclusively through Glovo (10,000+ products, 10 cities).</t>
        </is>
      </c>
      <c r="M37" s="13" t="inlineStr">
        <is>
          <t>ACCEPT</t>
        </is>
      </c>
      <c r="N37" s="13" t="inlineStr">
        <is>
          <t>C - engineering required</t>
        </is>
      </c>
      <c r="O37" s="13" t="n">
        <v>3</v>
      </c>
      <c r="P37" s="13" t="inlineStr">
        <is>
          <t>Custom</t>
        </is>
      </c>
      <c r="Q37" s="13" t="inlineStr"/>
      <c r="R37" s="13" t="inlineStr">
        <is>
          <t>-</t>
        </is>
      </c>
      <c r="S37" s="13" t="inlineStr">
        <is>
          <t>current</t>
        </is>
      </c>
      <c r="T37" s="13" t="inlineStr">
        <is>
          <t>Kaufland Bulgaria has NO own catalogue - 10,000+ products exclusively via Glovo across 10 cities.</t>
        </is>
      </c>
      <c r="U37" s="13" t="inlineStr">
        <is>
          <t>Searching kaufland.bg for a catalogue returns nothing. Go to Glovo.</t>
        </is>
      </c>
      <c r="V37" s="13" t="inlineStr">
        <is>
          <t>P8-EU</t>
        </is>
      </c>
    </row>
    <row r="38">
      <c r="A38" s="13" t="inlineStr">
        <is>
          <t>eca</t>
        </is>
      </c>
      <c r="B38" s="13" t="inlineStr">
        <is>
          <t>bulgaria</t>
        </is>
      </c>
      <c r="C38" s="13" t="inlineStr">
        <is>
          <t>BGR</t>
        </is>
      </c>
      <c r="D38" s="13" t="inlineStr">
        <is>
          <t>Bulgaria</t>
        </is>
      </c>
      <c r="E38" s="13" t="inlineStr">
        <is>
          <t>Kaufland via Glovo</t>
        </is>
      </c>
      <c r="F38" s="13" t="inlineStr">
        <is>
          <t>https://www.kaufland.bg/moyat-kaufland/uslugi/dostavka.html</t>
        </is>
      </c>
      <c r="G38" s="13" t="inlineStr">
        <is>
          <t>PROBED - SKIP</t>
        </is>
      </c>
      <c r="H38" s="13" t="inlineStr">
        <is>
          <t>SKIP</t>
        </is>
      </c>
      <c r="I38" s="13" t="inlineStr">
        <is>
          <t>high</t>
        </is>
      </c>
      <c r="J38" s="13" t="n">
        <v>0</v>
      </c>
      <c r="K38" s="13" t="inlineStr"/>
      <c r="L38" s="13" t="inlineStr">
        <is>
          <t>Not independently re-probed; CSV documents this chain has no own catalogue and distributes exclusively through Glovo (10,000+ products, 10 cities).</t>
        </is>
      </c>
      <c r="M38" s="13" t="inlineStr">
        <is>
          <t>ACCEPT</t>
        </is>
      </c>
      <c r="N38" s="13" t="inlineStr">
        <is>
          <t>C - engineering required</t>
        </is>
      </c>
      <c r="O38" s="13" t="n">
        <v>3</v>
      </c>
      <c r="P38" s="13" t="inlineStr">
        <is>
          <t>Custom</t>
        </is>
      </c>
      <c r="Q38" s="13" t="inlineStr">
        <is>
          <t>BGN</t>
        </is>
      </c>
      <c r="R38" s="13" t="inlineStr">
        <is>
          <t>Crawl via the Glovo Bulgaria supermarket vertical, not the Kaufland domain.</t>
        </is>
      </c>
      <c r="S38" s="13" t="inlineStr">
        <is>
          <t>current</t>
        </is>
      </c>
      <c r="T38" s="13" t="inlineStr">
        <is>
          <t>Kaufland Bulgaria has NO own web catalogue - it distributes exclusively through Glovo, with 10,000+ products across Sofia, Plovdiv, Varna, Burgas, Pleven, Stara Zagora, Ruse, Blagoevgrad, Dobrich and Veliko Tarnovo. IMPORTANT PATTERN: a major chain can be entirely absent from the open web yet fully present on a delivery platform. Always check the platform before concluding a chain is unscrapable.</t>
        </is>
      </c>
      <c r="U38" s="13" t="inlineStr">
        <is>
          <t>Searching kaufland.bg for a catalogue returns nothing and would wrongly suggest no coverage.</t>
        </is>
      </c>
      <c r="V38" s="13" t="inlineStr">
        <is>
          <t>P6</t>
        </is>
      </c>
    </row>
    <row r="39">
      <c r="A39" s="13" t="inlineStr">
        <is>
          <t>eca</t>
        </is>
      </c>
      <c r="B39" s="13" t="inlineStr">
        <is>
          <t>bulgaria</t>
        </is>
      </c>
      <c r="C39" s="13" t="inlineStr">
        <is>
          <t>BGR</t>
        </is>
      </c>
      <c r="D39" s="13" t="inlineStr">
        <is>
          <t>Bulgaria</t>
        </is>
      </c>
      <c r="E39" s="13" t="inlineStr">
        <is>
          <t>Lidl Bulgaria</t>
        </is>
      </c>
      <c r="F39" s="13" t="inlineStr">
        <is>
          <t>https://www.lidl.bg/</t>
        </is>
      </c>
      <c r="G39" s="13" t="inlineStr">
        <is>
          <t>PROBED - SKIP</t>
        </is>
      </c>
      <c r="H39" s="13" t="inlineStr">
        <is>
          <t>SKIP</t>
        </is>
      </c>
      <c r="I39" s="13" t="inlineStr">
        <is>
          <t>high</t>
        </is>
      </c>
      <c r="J39" s="13" t="n">
        <v>0</v>
      </c>
      <c r="K39" s="13" t="inlineStr">
        <is>
          <t>/p/&lt;slug&gt;/p&lt;id&gt;</t>
        </is>
      </c>
      <c r="L39" s="13" t="inlineStr">
        <is>
          <t>GET / -&gt; 200, 895KB. Confirmed 15 real /p/&lt;slug&gt;/p&lt;id&gt; product links but ALL are non-food weekly leaflet items (Cien beauty, Crivit sportswear, Parkside tools, Zoofari pet supplies, Silvercrest cookware). Zero F&amp;B SKUs found.</t>
        </is>
      </c>
      <c r="M39" s="13" t="inlineStr">
        <is>
          <t>ACCEPT</t>
        </is>
      </c>
      <c r="N39" s="13" t="inlineStr">
        <is>
          <t>D - hard / app / index only</t>
        </is>
      </c>
      <c r="O39" s="13" t="n">
        <v>2</v>
      </c>
      <c r="P39" s="13" t="inlineStr">
        <is>
          <t>Custom/Enterprise</t>
        </is>
      </c>
      <c r="Q39" s="13" t="inlineStr">
        <is>
          <t>BGN</t>
        </is>
      </c>
      <c r="R39" s="13" t="inlineStr">
        <is>
          <t>-</t>
        </is>
      </c>
      <c r="S39" s="13" t="inlineStr">
        <is>
          <t>price_eur, price_bgn</t>
        </is>
      </c>
      <c r="T39" s="13" t="inlineStr">
        <is>
          <t>Publishes a legally mandated dual-currency notice: prices in EUR and BGN at 1.95583, and from 01.02.2026 payment in euro only. That note is itself a useful timestamp for the changeover.</t>
        </is>
      </c>
      <c r="U39" s="13" t="inlineStr">
        <is>
          <t>Leaflet-driven; not a full catalogue.</t>
        </is>
      </c>
      <c r="V39" s="13" t="inlineStr">
        <is>
          <t>P6</t>
        </is>
      </c>
    </row>
    <row r="40">
      <c r="A40" s="13" t="inlineStr">
        <is>
          <t>eca</t>
        </is>
      </c>
      <c r="B40" s="13" t="inlineStr">
        <is>
          <t>bulgaria</t>
        </is>
      </c>
      <c r="C40" s="13" t="inlineStr">
        <is>
          <t>BGR</t>
        </is>
      </c>
      <c r="D40" s="13" t="inlineStr">
        <is>
          <t>Bulgaria</t>
        </is>
      </c>
      <c r="E40" s="13" t="inlineStr">
        <is>
          <t>Lidl Bulgaria</t>
        </is>
      </c>
      <c r="F40" s="13" t="inlineStr">
        <is>
          <t>https://www.lidl.bg/</t>
        </is>
      </c>
      <c r="G40" s="13" t="inlineStr">
        <is>
          <t>PROBED - SKIP</t>
        </is>
      </c>
      <c r="H40" s="13" t="inlineStr">
        <is>
          <t>SKIP</t>
        </is>
      </c>
      <c r="I40" s="13" t="inlineStr">
        <is>
          <t>high</t>
        </is>
      </c>
      <c r="J40" s="13" t="n">
        <v>0</v>
      </c>
      <c r="K40" s="13" t="inlineStr">
        <is>
          <t>/p/&lt;slug&gt;/p&lt;id&gt;</t>
        </is>
      </c>
      <c r="L40" s="13" t="inlineStr">
        <is>
          <t>GET / -&gt; 200, 895KB. Confirmed 15 real /p/&lt;slug&gt;/p&lt;id&gt; product links but ALL are non-food weekly leaflet items (Cien beauty, Crivit sportswear, Parkside tools, Zoofari pet supplies, Silvercrest cookware). Zero F&amp;B SKUs found.</t>
        </is>
      </c>
      <c r="M40" s="13" t="inlineStr">
        <is>
          <t>SUSPECT</t>
        </is>
      </c>
      <c r="N40" s="13" t="inlineStr">
        <is>
          <t>D - hard / app / index only</t>
        </is>
      </c>
      <c r="O40" s="13" t="n">
        <v>2</v>
      </c>
      <c r="P40" s="13" t="inlineStr">
        <is>
          <t>Custom/Enterprise</t>
        </is>
      </c>
      <c r="Q40" s="13" t="inlineStr"/>
      <c r="R40" s="13" t="inlineStr">
        <is>
          <t>-</t>
        </is>
      </c>
      <c r="S40" s="13" t="inlineStr">
        <is>
          <t>price_eur, price_bgn</t>
        </is>
      </c>
      <c r="T40" s="13" t="inlineStr">
        <is>
          <t>Publishes the mandated dual-currency notice and the 01.02.2026 euro-only payment date.</t>
        </is>
      </c>
      <c r="U40" s="13" t="inlineStr">
        <is>
          <t>-</t>
        </is>
      </c>
      <c r="V40" s="13" t="inlineStr">
        <is>
          <t>P8-EU</t>
        </is>
      </c>
    </row>
    <row r="41">
      <c r="A41" s="13" t="inlineStr">
        <is>
          <t>eca</t>
        </is>
      </c>
      <c r="B41" s="13" t="inlineStr">
        <is>
          <t>bulgaria</t>
        </is>
      </c>
      <c r="C41" s="13" t="inlineStr">
        <is>
          <t>BGR</t>
        </is>
      </c>
      <c r="D41" s="13" t="inlineStr">
        <is>
          <t>Bulgaria</t>
        </is>
      </c>
      <c r="E41" s="13" t="inlineStr">
        <is>
          <t>Metro Bulgaria</t>
        </is>
      </c>
      <c r="F41" s="13" t="inlineStr">
        <is>
          <t>https://www.metro.bg/</t>
        </is>
      </c>
      <c r="G41" s="13" t="inlineStr">
        <is>
          <t>PROBED - SKIP</t>
        </is>
      </c>
      <c r="H41" s="13" t="inlineStr">
        <is>
          <t>SKIP</t>
        </is>
      </c>
      <c r="I41" s="13" t="inlineStr">
        <is>
          <t>high</t>
        </is>
      </c>
      <c r="J41" s="13" t="n">
        <v>0</v>
      </c>
      <c r="K41" s="13" t="inlineStr"/>
      <c r="L41" s="13" t="inlineStr">
        <is>
          <t>curl -&gt; HTTP 403, 3.8KB.</t>
        </is>
      </c>
      <c r="M41" s="13" t="inlineStr">
        <is>
          <t>SUSPECT</t>
        </is>
      </c>
      <c r="N41" s="13" t="inlineStr">
        <is>
          <t>D - hard / app / index only</t>
        </is>
      </c>
      <c r="O41" s="13" t="n">
        <v>2</v>
      </c>
      <c r="P41" s="13" t="inlineStr">
        <is>
          <t>Custom/Enterprise</t>
        </is>
      </c>
      <c r="Q41" s="13" t="inlineStr"/>
      <c r="R41" s="13" t="inlineStr">
        <is>
          <t>-</t>
        </is>
      </c>
      <c r="S41" s="13" t="inlineStr">
        <is>
          <t>wholesale_price</t>
        </is>
      </c>
      <c r="T41" s="13" t="inlineStr">
        <is>
          <t>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41" s="13" t="inlineStr">
        <is>
          <t>-</t>
        </is>
      </c>
      <c r="V41" s="13" t="inlineStr">
        <is>
          <t>P8-EU</t>
        </is>
      </c>
    </row>
    <row r="42">
      <c r="A42" s="13" t="inlineStr">
        <is>
          <t>eca</t>
        </is>
      </c>
      <c r="B42" s="13" t="inlineStr">
        <is>
          <t>bulgaria</t>
        </is>
      </c>
      <c r="C42" s="13" t="inlineStr">
        <is>
          <t>BGR</t>
        </is>
      </c>
      <c r="D42" s="13" t="inlineStr">
        <is>
          <t>Bulgaria</t>
        </is>
      </c>
      <c r="E42" s="13" t="inlineStr">
        <is>
          <t>eBag.bg</t>
        </is>
      </c>
      <c r="F42" s="13" t="inlineStr">
        <is>
          <t>https://www.ebag.bg/en/</t>
        </is>
      </c>
      <c r="G42" s="13" t="inlineStr">
        <is>
          <t>PROBED - SKIP</t>
        </is>
      </c>
      <c r="H42" s="13" t="inlineStr">
        <is>
          <t>SKIP</t>
        </is>
      </c>
      <c r="I42" s="13" t="inlineStr">
        <is>
          <t>high</t>
        </is>
      </c>
      <c r="J42" s="13" t="n">
        <v>0</v>
      </c>
      <c r="K42" s="13" t="inlineStr"/>
      <c r="L42" s="13" t="inlineStr">
        <is>
          <t>GET /en/ -&gt; 200 but only 10KB, React SPA shell ('Online supermarket eBag.bg - Shop' title, preloaded image banners, no product markup in SSR body).</t>
        </is>
      </c>
      <c r="M42" s="13" t="inlineStr">
        <is>
          <t>ACCEPT</t>
        </is>
      </c>
      <c r="N42" s="13" t="inlineStr">
        <is>
          <t>not scored</t>
        </is>
      </c>
      <c r="O42" s="13" t="inlineStr"/>
      <c r="P42" s="13" t="inlineStr">
        <is>
          <t>Custom</t>
        </is>
      </c>
      <c r="Q42" s="13" t="inlineStr">
        <is>
          <t>BGN</t>
        </is>
      </c>
      <c r="R42" s="13" t="inlineStr">
        <is>
          <t>-</t>
        </is>
      </c>
      <c r="S42" s="13" t="inlineStr">
        <is>
          <t>-</t>
        </is>
      </c>
      <c r="T42" s="13" t="inlineStr">
        <is>
          <t>STRONG: dual EUR/BGN display at the fixed 1.95583 rate - useful through the euro changeover. English interface available. Delivery slots, subscriptions, BENU pharmacy vertical.</t>
        </is>
      </c>
      <c r="U42" s="13" t="inlineStr">
        <is>
          <t>-</t>
        </is>
      </c>
      <c r="V42" s="13" t="inlineStr">
        <is>
          <t>P5</t>
        </is>
      </c>
    </row>
    <row r="43">
      <c r="A43" s="13" t="inlineStr">
        <is>
          <t>eca</t>
        </is>
      </c>
      <c r="B43" s="13" t="inlineStr">
        <is>
          <t>bulgaria</t>
        </is>
      </c>
      <c r="C43" s="13" t="inlineStr">
        <is>
          <t>BGR</t>
        </is>
      </c>
      <c r="D43" s="13" t="inlineStr">
        <is>
          <t>Bulgaria</t>
        </is>
      </c>
      <c r="E43" s="13" t="inlineStr">
        <is>
          <t>eBag.bg</t>
        </is>
      </c>
      <c r="F43" s="13" t="inlineStr">
        <is>
          <t>https://www.ebag.bg/en/</t>
        </is>
      </c>
      <c r="G43" s="13" t="inlineStr">
        <is>
          <t>PROBED - SKIP</t>
        </is>
      </c>
      <c r="H43" s="13" t="inlineStr">
        <is>
          <t>SKIP</t>
        </is>
      </c>
      <c r="I43" s="13" t="inlineStr">
        <is>
          <t>high</t>
        </is>
      </c>
      <c r="J43" s="13" t="n">
        <v>0</v>
      </c>
      <c r="K43" s="13" t="inlineStr"/>
      <c r="L43" s="13" t="inlineStr">
        <is>
          <t>GET /en/ -&gt; 200 but only 10KB, React SPA shell ('Online supermarket eBag.bg - Shop' title, preloaded image banners, no product markup in SSR body).</t>
        </is>
      </c>
      <c r="M43" s="13" t="inlineStr">
        <is>
          <t>ACCEPT</t>
        </is>
      </c>
      <c r="N43" s="13" t="inlineStr">
        <is>
          <t>C - engineering required</t>
        </is>
      </c>
      <c r="O43" s="13" t="n">
        <v>3</v>
      </c>
      <c r="P43" s="13" t="inlineStr">
        <is>
          <t>Custom</t>
        </is>
      </c>
      <c r="Q43" s="13" t="inlineStr">
        <is>
          <t>BGN</t>
        </is>
      </c>
      <c r="R43" s="13" t="inlineStr">
        <is>
          <t>Use the /en/ path for stable English category names.</t>
        </is>
      </c>
      <c r="S43" s="13" t="inlineStr">
        <is>
          <t>price_eur, price_bgn, fixed_rate</t>
        </is>
      </c>
      <c r="T43" s="13" t="inlineStr">
        <is>
          <t>Dual EUR/BGN at the fixed 1.95583 rate, with an ENGLISH interface at /en/. Bulgaria is mid-euro-changeover, so capturing both quotes plus the stated rate future-proofs the series across the transition. Delivery covers Sofia, Plovdiv, Pazardzhik, Pernik, Bansko, Blagoevgrad, Dupnitsa.</t>
        </is>
      </c>
      <c r="U43" s="13" t="inlineStr">
        <is>
          <t>After full changeover the BGN field will disappear. Record which currency is authoritative per observation date rather than assuming.</t>
        </is>
      </c>
      <c r="V43" s="13" t="inlineStr">
        <is>
          <t>P6</t>
        </is>
      </c>
    </row>
    <row r="44">
      <c r="A44" s="13" t="inlineStr">
        <is>
          <t>eca</t>
        </is>
      </c>
      <c r="B44" s="13" t="inlineStr">
        <is>
          <t>bulgaria</t>
        </is>
      </c>
      <c r="C44" s="13" t="inlineStr">
        <is>
          <t>BGR</t>
        </is>
      </c>
      <c r="D44" s="13" t="inlineStr">
        <is>
          <t>Bulgaria</t>
        </is>
      </c>
      <c r="E44" s="13" t="inlineStr">
        <is>
          <t>eBag.bg</t>
        </is>
      </c>
      <c r="F44" s="13" t="inlineStr">
        <is>
          <t>https://www.ebag.bg/en/</t>
        </is>
      </c>
      <c r="G44" s="13" t="inlineStr">
        <is>
          <t>PROBED - SKIP</t>
        </is>
      </c>
      <c r="H44" s="13" t="inlineStr">
        <is>
          <t>SKIP</t>
        </is>
      </c>
      <c r="I44" s="13" t="inlineStr">
        <is>
          <t>high</t>
        </is>
      </c>
      <c r="J44" s="13" t="n">
        <v>0</v>
      </c>
      <c r="K44" s="13" t="inlineStr"/>
      <c r="L44" s="13" t="inlineStr">
        <is>
          <t>GET /en/ -&gt; 200 but only 10KB, React SPA shell ('Online supermarket eBag.bg - Shop' title, preloaded image banners, no product markup in SSR body).</t>
        </is>
      </c>
      <c r="M44" s="13" t="inlineStr">
        <is>
          <t>ACCEPT</t>
        </is>
      </c>
      <c r="N44" s="13" t="inlineStr">
        <is>
          <t>C - engineering required</t>
        </is>
      </c>
      <c r="O44" s="13" t="n">
        <v>3</v>
      </c>
      <c r="P44" s="13" t="inlineStr">
        <is>
          <t>Custom</t>
        </is>
      </c>
      <c r="Q44" s="13" t="inlineStr"/>
      <c r="R44" s="13" t="inlineStr">
        <is>
          <t>-</t>
        </is>
      </c>
      <c r="S44" s="13" t="inlineStr">
        <is>
          <t>price_eur, price_bgn, fixed_rate</t>
        </is>
      </c>
      <c r="T44" s="13" t="inlineStr">
        <is>
          <t>Dual EUR/BGN at 1.95583 through the euro changeover. English interface.</t>
        </is>
      </c>
      <c r="U44" s="13" t="inlineStr">
        <is>
          <t>-</t>
        </is>
      </c>
      <c r="V44" s="13" t="inlineStr">
        <is>
          <t>P8-EU</t>
        </is>
      </c>
    </row>
    <row r="45">
      <c r="A45" s="13" t="inlineStr">
        <is>
          <t>eca</t>
        </is>
      </c>
      <c r="B45" s="13" t="inlineStr">
        <is>
          <t>bulgaria</t>
        </is>
      </c>
      <c r="C45" s="13" t="inlineStr">
        <is>
          <t>BGR</t>
        </is>
      </c>
      <c r="D45" s="13" t="inlineStr">
        <is>
          <t>Bulgaria</t>
        </is>
      </c>
      <c r="E45" s="13" t="inlineStr">
        <is>
          <t>Ogi Market</t>
        </is>
      </c>
      <c r="F45" s="13" t="inlineStr">
        <is>
          <t>https://ogimarket.bg/</t>
        </is>
      </c>
      <c r="G45" s="13" t="inlineStr">
        <is>
          <t>PROBED - VIABLE</t>
        </is>
      </c>
      <c r="H45" s="13" t="inlineStr">
        <is>
          <t>TIER_1A</t>
        </is>
      </c>
      <c r="I45" s="13" t="inlineStr">
        <is>
          <t>low</t>
        </is>
      </c>
      <c r="J45" s="13" t="n">
        <v>130</v>
      </c>
      <c r="K45" s="13" t="inlineStr">
        <is>
          <t>SSR product pages, SEO slugs</t>
        </is>
      </c>
      <c r="L45" s="13" t="inlineStr">
        <is>
          <t>GET /cedeno-kiselo-mlqko-900gr -&gt; 200, 462KB. og:title 'Cedeno kiselo mlyako - Eklekton - 10% - 900gr.' (strained yogurt), span.price-normal prices visible e.g. 0,21€ / 1,64€ / 3,05€. OpenCart-style SEO URLs, image/cache path pattern confirms OpenCart.</t>
        </is>
      </c>
      <c r="M45" s="13" t="inlineStr">
        <is>
          <t>ACCEPT</t>
        </is>
      </c>
      <c r="N45" s="13" t="inlineStr">
        <is>
          <t>not scored</t>
        </is>
      </c>
      <c r="O45" s="13" t="inlineStr"/>
      <c r="P45" s="13" t="inlineStr">
        <is>
          <t>Custom</t>
        </is>
      </c>
      <c r="Q45" s="13" t="inlineStr">
        <is>
          <t>BGN</t>
        </is>
      </c>
      <c r="R45" s="13" t="inlineStr">
        <is>
          <t>-</t>
        </is>
      </c>
      <c r="S45" s="13" t="inlineStr">
        <is>
          <t>-</t>
        </is>
      </c>
      <c r="T45" s="13" t="inlineStr">
        <is>
          <t>Dual-currency with discount percentages; personal-shopper model, Sofia.</t>
        </is>
      </c>
      <c r="U45" s="13" t="inlineStr">
        <is>
          <t>-</t>
        </is>
      </c>
      <c r="V45" s="13" t="inlineStr">
        <is>
          <t>P5</t>
        </is>
      </c>
    </row>
    <row r="46">
      <c r="A46" s="13" t="inlineStr">
        <is>
          <t>eca</t>
        </is>
      </c>
      <c r="B46" s="13" t="inlineStr">
        <is>
          <t>bulgaria</t>
        </is>
      </c>
      <c r="C46" s="13" t="inlineStr">
        <is>
          <t>BGR</t>
        </is>
      </c>
      <c r="D46" s="13" t="inlineStr">
        <is>
          <t>Bulgaria</t>
        </is>
      </c>
      <c r="E46" s="13" t="inlineStr">
        <is>
          <t>Ogi Market</t>
        </is>
      </c>
      <c r="F46" s="13" t="inlineStr">
        <is>
          <t>https://ogimarket.bg/</t>
        </is>
      </c>
      <c r="G46" s="13" t="inlineStr">
        <is>
          <t>PROBED - VIABLE</t>
        </is>
      </c>
      <c r="H46" s="13" t="inlineStr">
        <is>
          <t>TIER_1A</t>
        </is>
      </c>
      <c r="I46" s="13" t="inlineStr">
        <is>
          <t>low</t>
        </is>
      </c>
      <c r="J46" s="13" t="n">
        <v>130</v>
      </c>
      <c r="K46" s="13" t="inlineStr">
        <is>
          <t>SSR product pages, SEO slugs</t>
        </is>
      </c>
      <c r="L46" s="13" t="inlineStr">
        <is>
          <t>GET /cedeno-kiselo-mlqko-900gr -&gt; 200, 462KB. og:title 'Cedeno kiselo mlyako - Eklekton - 10% - 900gr.' (strained yogurt), span.price-normal prices visible e.g. 0,21€ / 1,64€ / 3,05€. OpenCart-style SEO URLs, image/cache path pattern confirms OpenCart.</t>
        </is>
      </c>
      <c r="M46" s="13" t="inlineStr">
        <is>
          <t>ACCEPT</t>
        </is>
      </c>
      <c r="N46" s="13" t="inlineStr">
        <is>
          <t>C - engineering required</t>
        </is>
      </c>
      <c r="O46" s="13" t="n">
        <v>3</v>
      </c>
      <c r="P46" s="13" t="inlineStr">
        <is>
          <t>Custom</t>
        </is>
      </c>
      <c r="Q46" s="13" t="inlineStr">
        <is>
          <t>BGN</t>
        </is>
      </c>
      <c r="R46" s="13" t="inlineStr">
        <is>
          <t>-</t>
        </is>
      </c>
      <c r="S46" s="13" t="inlineStr">
        <is>
          <t>price_eur, price_bgn, discount_pct</t>
        </is>
      </c>
      <c r="T46" s="13" t="inlineStr">
        <is>
          <t>Personal-shopper model, Sofia.</t>
        </is>
      </c>
      <c r="U46" s="13" t="inlineStr">
        <is>
          <t>Shopper markup possible.</t>
        </is>
      </c>
      <c r="V46" s="13" t="inlineStr">
        <is>
          <t>P6</t>
        </is>
      </c>
    </row>
    <row r="47">
      <c r="A47" s="13" t="inlineStr">
        <is>
          <t>eca</t>
        </is>
      </c>
      <c r="B47" s="13" t="inlineStr">
        <is>
          <t>bulgaria</t>
        </is>
      </c>
      <c r="C47" s="13" t="inlineStr">
        <is>
          <t>BGR</t>
        </is>
      </c>
      <c r="D47" s="13" t="inlineStr">
        <is>
          <t>Bulgaria</t>
        </is>
      </c>
      <c r="E47" s="13" t="inlineStr">
        <is>
          <t>T Market Online</t>
        </is>
      </c>
      <c r="F47" s="13" t="inlineStr">
        <is>
          <t>https://tmarketonline.bg/</t>
        </is>
      </c>
      <c r="G47" s="13" t="inlineStr">
        <is>
          <t>PROBED - VIABLE</t>
        </is>
      </c>
      <c r="H47" s="13" t="inlineStr">
        <is>
          <t>TIER_1A</t>
        </is>
      </c>
      <c r="I47" s="13" t="inlineStr">
        <is>
          <t>low</t>
        </is>
      </c>
      <c r="J47" s="13" t="n">
        <v>150</v>
      </c>
      <c r="K47" s="13" t="inlineStr">
        <is>
          <t>SSR product pages</t>
        </is>
      </c>
      <c r="L47" s="13" t="inlineStr">
        <is>
          <t>GET /product/avokado-izrael -&gt; h1 'Avokado, br.' (avocado), price '1,39 lv' / '0,71 EUR'. Real /product/&lt;slug&gt; and /category/&lt;slug&gt; links throughout homepage.</t>
        </is>
      </c>
      <c r="M47" s="13" t="inlineStr">
        <is>
          <t>ACCEPT</t>
        </is>
      </c>
      <c r="N47" s="13" t="inlineStr">
        <is>
          <t>C - engineering required</t>
        </is>
      </c>
      <c r="O47" s="13" t="n">
        <v>3</v>
      </c>
      <c r="P47" s="13" t="inlineStr">
        <is>
          <t>Custom</t>
        </is>
      </c>
      <c r="Q47" s="13" t="inlineStr">
        <is>
          <t>BGN</t>
        </is>
      </c>
      <c r="R47" s="13" t="inlineStr">
        <is>
          <t>-</t>
        </is>
      </c>
      <c r="S47" s="13" t="inlineStr">
        <is>
          <t>current</t>
        </is>
      </c>
      <c r="T47" s="13" t="inlineStr">
        <is>
          <t>Maxima-group chain with an unusually good fresh and LOCAL product list - Bulgarian rose tomatoes, Madzharov cow cheese, Pirinsko and Zagorka beer, banitsa pastry sheets. Local-item coverage that international chains do not carry.</t>
        </is>
      </c>
      <c r="U47" s="13" t="inlineStr">
        <is>
          <t>-</t>
        </is>
      </c>
      <c r="V47" s="13" t="inlineStr">
        <is>
          <t>P6</t>
        </is>
      </c>
    </row>
    <row r="48">
      <c r="A48" s="13" t="inlineStr">
        <is>
          <t>eca</t>
        </is>
      </c>
      <c r="B48" s="13" t="inlineStr">
        <is>
          <t>bulgaria</t>
        </is>
      </c>
      <c r="C48" s="13" t="inlineStr">
        <is>
          <t>BGR</t>
        </is>
      </c>
      <c r="D48" s="13" t="inlineStr">
        <is>
          <t>Bulgaria</t>
        </is>
      </c>
      <c r="E48" s="13" t="inlineStr">
        <is>
          <t>T Market Online</t>
        </is>
      </c>
      <c r="F48" s="13" t="inlineStr">
        <is>
          <t>https://tmarketonline.bg/</t>
        </is>
      </c>
      <c r="G48" s="13" t="inlineStr">
        <is>
          <t>PROBED - VIABLE</t>
        </is>
      </c>
      <c r="H48" s="13" t="inlineStr">
        <is>
          <t>TIER_1A</t>
        </is>
      </c>
      <c r="I48" s="13" t="inlineStr">
        <is>
          <t>low</t>
        </is>
      </c>
      <c r="J48" s="13" t="n">
        <v>150</v>
      </c>
      <c r="K48" s="13" t="inlineStr">
        <is>
          <t>SSR product pages</t>
        </is>
      </c>
      <c r="L48" s="13" t="inlineStr">
        <is>
          <t>GET /product/avokado-izrael -&gt; h1 'Avokado, br.' (avocado), price '1,39 lv' / '0,71 EUR'. Real /product/&lt;slug&gt; and /category/&lt;slug&gt; links throughout homepage.</t>
        </is>
      </c>
      <c r="M48" s="13" t="inlineStr">
        <is>
          <t>ACCEPT</t>
        </is>
      </c>
      <c r="N48" s="13" t="inlineStr">
        <is>
          <t>C - engineering required</t>
        </is>
      </c>
      <c r="O48" s="13" t="n">
        <v>3</v>
      </c>
      <c r="P48" s="13" t="inlineStr">
        <is>
          <t>Custom</t>
        </is>
      </c>
      <c r="Q48" s="13" t="inlineStr"/>
      <c r="R48" s="13" t="inlineStr">
        <is>
          <t>-</t>
        </is>
      </c>
      <c r="S48" s="13" t="inlineStr">
        <is>
          <t>current</t>
        </is>
      </c>
      <c r="T48" s="13" t="inlineStr">
        <is>
          <t>Maxima group; strong LOCAL Bulgarian lines (rose tomatoes, Madzharov cheese, banitsa sheets).</t>
        </is>
      </c>
      <c r="U48" s="13" t="inlineStr">
        <is>
          <t>-</t>
        </is>
      </c>
      <c r="V48" s="13" t="inlineStr">
        <is>
          <t>P8-EU</t>
        </is>
      </c>
    </row>
    <row r="49">
      <c r="A49" s="13" t="inlineStr">
        <is>
          <t>eca</t>
        </is>
      </c>
      <c r="B49" s="13" t="inlineStr">
        <is>
          <t>bosnia_and_herzegovina</t>
        </is>
      </c>
      <c r="C49" s="13" t="inlineStr">
        <is>
          <t>BIH</t>
        </is>
      </c>
      <c r="D49" s="13" t="inlineStr">
        <is>
          <t>Bosnia and Herzegovina</t>
        </is>
      </c>
      <c r="E49" s="13" t="inlineStr">
        <is>
          <t>Djuric Supermarket</t>
        </is>
      </c>
      <c r="F49" s="13" t="inlineStr">
        <is>
          <t>https://djuric.ba/</t>
        </is>
      </c>
      <c r="G49" s="13" t="inlineStr">
        <is>
          <t>PROBED - SKIP</t>
        </is>
      </c>
      <c r="H49" s="13" t="inlineStr">
        <is>
          <t>SKIP</t>
        </is>
      </c>
      <c r="I49" s="13" t="inlineStr">
        <is>
          <t>high</t>
        </is>
      </c>
      <c r="J49" s="13" t="n">
        <v>0</v>
      </c>
      <c r="K49" s="13" t="inlineStr">
        <is>
          <t>/wp-json/wc/store/v1/products</t>
        </is>
      </c>
      <c r="L49" s="13" t="inlineStr">
        <is>
          <t>GET /wp-json/wc/store/v1/products?per_page=5 -&gt; 200, 14.7KB JSON, but every row has 'price':'0','regular_price':'0' and empty price_html.</t>
        </is>
      </c>
      <c r="M49" s="13" t="inlineStr">
        <is>
          <t>SUSPECT</t>
        </is>
      </c>
      <c r="N49" s="13" t="inlineStr">
        <is>
          <t>not scored</t>
        </is>
      </c>
      <c r="O49" s="13" t="inlineStr"/>
      <c r="P49" s="13" t="inlineStr">
        <is>
          <t>Custom</t>
        </is>
      </c>
      <c r="Q49" s="13" t="inlineStr">
        <is>
          <t>BAM</t>
        </is>
      </c>
      <c r="R49" s="13" t="inlineStr">
        <is>
          <t>-</t>
        </is>
      </c>
      <c r="S49" s="13" t="inlineStr">
        <is>
          <t>-</t>
        </is>
      </c>
      <c r="T49" s="13" t="inlineStr">
        <is>
          <t>Real chain with own-brand lines, but the site is a catalogue brochure - product names without prices. Check whether a priced shop exists.</t>
        </is>
      </c>
      <c r="U49" s="13" t="inlineStr">
        <is>
          <t>-</t>
        </is>
      </c>
      <c r="V49" s="13" t="inlineStr">
        <is>
          <t>P3</t>
        </is>
      </c>
    </row>
    <row r="50">
      <c r="A50" s="13" t="inlineStr">
        <is>
          <t>eca</t>
        </is>
      </c>
      <c r="B50" s="13" t="inlineStr">
        <is>
          <t>bosnia_and_herzegovina</t>
        </is>
      </c>
      <c r="C50" s="13" t="inlineStr">
        <is>
          <t>BIH</t>
        </is>
      </c>
      <c r="D50" s="13" t="inlineStr">
        <is>
          <t>Bosnia and Herzegovina</t>
        </is>
      </c>
      <c r="E50" s="13" t="inlineStr">
        <is>
          <t>Korpa.ba</t>
        </is>
      </c>
      <c r="F50" s="13" t="inlineStr">
        <is>
          <t>https://www.korpa.ba/</t>
        </is>
      </c>
      <c r="G50" s="13" t="inlineStr">
        <is>
          <t>PROBED - SKIP</t>
        </is>
      </c>
      <c r="H50" s="13" t="inlineStr">
        <is>
          <t>SKIP</t>
        </is>
      </c>
      <c r="I50" s="13" t="inlineStr">
        <is>
          <t>high</t>
        </is>
      </c>
      <c r="J50" s="13" t="n">
        <v>0</v>
      </c>
      <c r="K50" s="13" t="inlineStr"/>
      <c r="L50" s="13" t="inlineStr">
        <is>
          <t>curl -&gt; 403 'Just a moment...' Cloudflare interactive challenge (5.6KB stub). Playwright headless render also returned 403, 0 API responses captured.</t>
        </is>
      </c>
      <c r="M50" s="13" t="inlineStr">
        <is>
          <t>ACCEPT</t>
        </is>
      </c>
      <c r="N50" s="13" t="inlineStr">
        <is>
          <t>not scored</t>
        </is>
      </c>
      <c r="O50" s="13" t="inlineStr"/>
      <c r="P50" s="13" t="inlineStr">
        <is>
          <t>Custom</t>
        </is>
      </c>
      <c r="Q50" s="13" t="inlineStr">
        <is>
          <t>BAM</t>
        </is>
      </c>
      <c r="R50" s="13" t="inlineStr">
        <is>
          <t>-</t>
        </is>
      </c>
      <c r="S50" s="13" t="inlineStr">
        <is>
          <t>-</t>
        </is>
      </c>
      <c r="T50" s="13" t="inlineStr">
        <is>
          <t>Live: Market, Mesnica, Pekara, Zelenara verticals across Sarajevo, Banja Luka, Mostar, Tuzla, Zenica, Doboj, Prijedor, Bijeljina. Good geographic spread for spatial price work.</t>
        </is>
      </c>
      <c r="U50" s="13" t="inlineStr">
        <is>
          <t>-</t>
        </is>
      </c>
      <c r="V50" s="13" t="inlineStr">
        <is>
          <t>P3</t>
        </is>
      </c>
    </row>
    <row r="51">
      <c r="A51" s="13" t="inlineStr">
        <is>
          <t>eca</t>
        </is>
      </c>
      <c r="B51" s="13" t="inlineStr">
        <is>
          <t>bosnia_and_herzegovina</t>
        </is>
      </c>
      <c r="C51" s="13" t="inlineStr">
        <is>
          <t>BIH</t>
        </is>
      </c>
      <c r="D51" s="13" t="inlineStr">
        <is>
          <t>Bosnia and Herzegovina</t>
        </is>
      </c>
      <c r="E51" s="13" t="inlineStr">
        <is>
          <t>Ananas.ba</t>
        </is>
      </c>
      <c r="F51" s="13" t="inlineStr">
        <is>
          <t>https://ananas.ba/kategorije/hrana-i-pice</t>
        </is>
      </c>
      <c r="G51" s="13" t="inlineStr">
        <is>
          <t>PROBED - VIABLE</t>
        </is>
      </c>
      <c r="H51" s="13" t="inlineStr">
        <is>
          <t>TIER_1B</t>
        </is>
      </c>
      <c r="I51" s="13" t="inlineStr">
        <is>
          <t>medium</t>
        </is>
      </c>
      <c r="J51" s="13" t="n">
        <v>140</v>
      </c>
      <c r="K51" s="13" t="inlineStr">
        <is>
          <t>__NEXT_DATA__ hydration payload</t>
        </is>
      </c>
      <c r="L51" s="13" t="inlineStr">
        <is>
          <t>GET -&gt; 200, 555KB. __NEXT_DATA__ payload present (104KB). Product links e.g. /proizvod/mingos-coffee-robusta-strong-espresso-1-kg/4862220.</t>
        </is>
      </c>
      <c r="M51" s="13" t="inlineStr">
        <is>
          <t>ACCEPT</t>
        </is>
      </c>
      <c r="N51" s="13" t="inlineStr">
        <is>
          <t>not scored</t>
        </is>
      </c>
      <c r="O51" s="13" t="inlineStr"/>
      <c r="P51" s="13" t="inlineStr">
        <is>
          <t>Custom</t>
        </is>
      </c>
      <c r="Q51" s="13" t="inlineStr">
        <is>
          <t>BAM</t>
        </is>
      </c>
      <c r="R51" s="13" t="inlineStr">
        <is>
          <t>-</t>
        </is>
      </c>
      <c r="S51" s="13" t="inlineStr">
        <is>
          <t>-</t>
        </is>
      </c>
      <c r="T51" s="13" t="inlineStr">
        <is>
          <t>STRONG: major national marketplace with a Hrana i pice and Supermarket category, KM prices with discount percentages, multiple named sellers.</t>
        </is>
      </c>
      <c r="U51" s="13" t="inlineStr">
        <is>
          <t>-</t>
        </is>
      </c>
      <c r="V51" s="13" t="inlineStr">
        <is>
          <t>P3</t>
        </is>
      </c>
    </row>
    <row r="52">
      <c r="A52" s="13" t="inlineStr">
        <is>
          <t>eca</t>
        </is>
      </c>
      <c r="B52" s="13" t="inlineStr">
        <is>
          <t>bosnia_and_herzegovina</t>
        </is>
      </c>
      <c r="C52" s="13" t="inlineStr">
        <is>
          <t>BIH</t>
        </is>
      </c>
      <c r="D52" s="13" t="inlineStr">
        <is>
          <t>Bosnia and Herzegovina</t>
        </is>
      </c>
      <c r="E52" s="13" t="inlineStr">
        <is>
          <t>PametnoKupuj</t>
        </is>
      </c>
      <c r="F52" s="13" t="inlineStr">
        <is>
          <t>https://pametnokupuj.ba/</t>
        </is>
      </c>
      <c r="G52" s="13" t="inlineStr">
        <is>
          <t>PROBED - VIABLE</t>
        </is>
      </c>
      <c r="H52" s="13" t="inlineStr">
        <is>
          <t>TIER_1B</t>
        </is>
      </c>
      <c r="I52" s="13" t="inlineStr">
        <is>
          <t>low</t>
        </is>
      </c>
      <c r="J52" s="13" t="n">
        <v>130</v>
      </c>
      <c r="K52" s="13" t="inlineStr">
        <is>
          <t>/wp-json/wc/store/v1/products</t>
        </is>
      </c>
      <c r="L52" s="13" t="inlineStr">
        <is>
          <t>GET /wp-json/wc/store/v1/products?per_page=5 -&gt; 200, 16KB JSON. Sample: 'PALMOLIVE KUPKA ZA TUŠIRANJE BLACK ORCHID 750 ml' 5.45 KM.</t>
        </is>
      </c>
      <c r="M52" s="13" t="inlineStr">
        <is>
          <t>ACCEPT</t>
        </is>
      </c>
      <c r="N52" s="13" t="inlineStr">
        <is>
          <t>not scored</t>
        </is>
      </c>
      <c r="O52" s="13" t="inlineStr"/>
      <c r="P52" s="13" t="inlineStr">
        <is>
          <t>Custom</t>
        </is>
      </c>
      <c r="Q52" s="13" t="inlineStr">
        <is>
          <t>BAM</t>
        </is>
      </c>
      <c r="R52" s="13" t="inlineStr">
        <is>
          <t>-</t>
        </is>
      </c>
      <c r="S52" s="13" t="inlineStr">
        <is>
          <t>-</t>
        </is>
      </c>
      <c r="T52" s="13" t="inlineStr">
        <is>
          <t>STRONG: 22,000 articles with KM prices, list/discount pairs, and a dedicated 'Hrana i pice' category. Chilled-goods delivery. Largest catalogue found in the Western Balkans.</t>
        </is>
      </c>
      <c r="U52" s="13" t="inlineStr">
        <is>
          <t>-</t>
        </is>
      </c>
      <c r="V52" s="13" t="inlineStr">
        <is>
          <t>P3</t>
        </is>
      </c>
    </row>
    <row r="53">
      <c r="A53" s="13" t="inlineStr">
        <is>
          <t>eca</t>
        </is>
      </c>
      <c r="B53" s="13" t="inlineStr">
        <is>
          <t>switzerland</t>
        </is>
      </c>
      <c r="C53" s="13" t="inlineStr">
        <is>
          <t>CHE</t>
        </is>
      </c>
      <c r="D53" s="13" t="inlineStr">
        <is>
          <t>Switzerland</t>
        </is>
      </c>
      <c r="E53" s="13" t="inlineStr">
        <is>
          <t>Coop.ch</t>
        </is>
      </c>
      <c r="F53" s="13" t="inlineStr">
        <is>
          <t>https://www.coop.ch/</t>
        </is>
      </c>
      <c r="G53" s="13" t="inlineStr">
        <is>
          <t>PROBED - SKIP</t>
        </is>
      </c>
      <c r="H53" s="13" t="inlineStr">
        <is>
          <t>SKIP</t>
        </is>
      </c>
      <c r="I53" s="13" t="inlineStr">
        <is>
          <t>high</t>
        </is>
      </c>
      <c r="J53" s="13" t="n">
        <v>0</v>
      </c>
      <c r="K53" s="13" t="inlineStr">
        <is>
          <t>blocked (DataDome)</t>
        </is>
      </c>
      <c r="L53" s="13" t="inlineStr">
        <is>
          <t>curl 200 (small, 767 bytes) body reads 'Please enable JS and disable any ad blocker' with a 'dd' (DataDome) config object embedded in a data-cfasync script - classic DataDome bot-protection signature</t>
        </is>
      </c>
      <c r="M53" s="13" t="inlineStr">
        <is>
          <t>SUSPECT</t>
        </is>
      </c>
      <c r="N53" s="13" t="inlineStr">
        <is>
          <t>D - hard / app / index only</t>
        </is>
      </c>
      <c r="O53" s="13" t="n">
        <v>2</v>
      </c>
      <c r="P53" s="13" t="inlineStr">
        <is>
          <t>Custom/Enterprise</t>
        </is>
      </c>
      <c r="Q53" s="13" t="inlineStr"/>
      <c r="R53" s="13" t="inlineStr">
        <is>
          <t>Also covers Liechtenstein - one crawl, two economies.</t>
        </is>
      </c>
      <c r="S53" s="13" t="inlineStr">
        <is>
          <t>current, unit_price, supercard_price</t>
        </is>
      </c>
      <c r="T53" s="13" t="inlineStr">
        <is>
          <t>LARGEST Swiss online supermarket (2025), 22,000+ articles, delivers nationwide AND to Liechtenstein. CRITICAL ADVANTAGE: Coop charges the SAME PRICES ONLINE AS IN STORE and nearly the entire Prix Garantie budget line is available online, so the cheap basket stays cheap. A K-Tipp comparison found coop.ch ~20% cheaper than Migros Online on a 40-product basket - because Migros's budget line is under-represented online. THIS IS AN IMPORTANT SELECTION-BIAS WARNING: online assortment differences can create apparent price differences that do not exist in store.</t>
        </is>
      </c>
      <c r="U53" s="13" t="inlineStr">
        <is>
          <t>Switzerland is not in the EU, so Omnibus Art.6a does not apply. Do not expect a 30-day-low field.</t>
        </is>
      </c>
      <c r="V53" s="13" t="inlineStr">
        <is>
          <t>P8-EU</t>
        </is>
      </c>
    </row>
    <row r="54">
      <c r="A54" s="13" t="inlineStr">
        <is>
          <t>eca</t>
        </is>
      </c>
      <c r="B54" s="13" t="inlineStr">
        <is>
          <t>switzerland</t>
        </is>
      </c>
      <c r="C54" s="13" t="inlineStr">
        <is>
          <t>CHE</t>
        </is>
      </c>
      <c r="D54" s="13" t="inlineStr">
        <is>
          <t>Switzerland</t>
        </is>
      </c>
      <c r="E54" s="13" t="inlineStr">
        <is>
          <t>LeShop.ch</t>
        </is>
      </c>
      <c r="F54" s="13" t="inlineStr">
        <is>
          <t>https://www.leshop.ch/</t>
        </is>
      </c>
      <c r="G54" s="13" t="inlineStr">
        <is>
          <t>PROBED - SKIP</t>
        </is>
      </c>
      <c r="H54" s="13" t="inlineStr">
        <is>
          <t>SKIP</t>
        </is>
      </c>
      <c r="I54" s="13" t="inlineStr">
        <is>
          <t>high</t>
        </is>
      </c>
      <c r="J54" s="13" t="n">
        <v>0</v>
      </c>
      <c r="K54" s="13" t="inlineStr">
        <is>
          <t>blocked (WAF interstitial)</t>
        </is>
      </c>
      <c r="L54" s="13" t="inlineStr">
        <is>
          <t>curl 403, 213.6KB body with title 'maintenance' - identical byte-size and body to migros.ch (see below), strongly suggesting a shared generic WAF/interstitial template rather than genuine site maintenance on two unrelated domains simultaneously</t>
        </is>
      </c>
      <c r="M54" s="13" t="inlineStr">
        <is>
          <t>ACCEPT</t>
        </is>
      </c>
      <c r="N54" s="13" t="inlineStr">
        <is>
          <t>C - engineering required</t>
        </is>
      </c>
      <c r="O54" s="13" t="n">
        <v>3</v>
      </c>
      <c r="P54" s="13" t="inlineStr">
        <is>
          <t>Custom</t>
        </is>
      </c>
      <c r="Q54" s="13" t="inlineStr"/>
      <c r="R54" s="13" t="inlineStr">
        <is>
          <t>-</t>
        </is>
      </c>
      <c r="S54" s="13" t="inlineStr">
        <is>
          <t>current</t>
        </is>
      </c>
      <c r="T54" s="13" t="inlineStr">
        <is>
          <t>National chain with a bespoke storefront. Fetch a category page first: if prices render server-side a plain parser suffices, otherwise capture the category XHR.</t>
        </is>
      </c>
      <c r="U54" s="13" t="inlineStr">
        <is>
          <t>-</t>
        </is>
      </c>
      <c r="V54" s="13" t="inlineStr">
        <is>
          <t>P8-EU</t>
        </is>
      </c>
    </row>
    <row r="55">
      <c r="A55" s="13" t="inlineStr">
        <is>
          <t>eca</t>
        </is>
      </c>
      <c r="B55" s="13" t="inlineStr">
        <is>
          <t>switzerland</t>
        </is>
      </c>
      <c r="C55" s="13" t="inlineStr">
        <is>
          <t>CHE</t>
        </is>
      </c>
      <c r="D55" s="13" t="inlineStr">
        <is>
          <t>Switzerland</t>
        </is>
      </c>
      <c r="E55" s="13" t="inlineStr">
        <is>
          <t>Migros</t>
        </is>
      </c>
      <c r="F55" s="13" t="inlineStr">
        <is>
          <t>https://www.migros.ch/</t>
        </is>
      </c>
      <c r="G55" s="13" t="inlineStr">
        <is>
          <t>PROBED - SKIP</t>
        </is>
      </c>
      <c r="H55" s="13" t="inlineStr">
        <is>
          <t>SKIP</t>
        </is>
      </c>
      <c r="I55" s="13" t="inlineStr">
        <is>
          <t>high</t>
        </is>
      </c>
      <c r="J55" s="13" t="n">
        <v>0</v>
      </c>
      <c r="K55" s="13" t="inlineStr">
        <is>
          <t>blocked (WAF interstitial)</t>
        </is>
      </c>
      <c r="L55" s="13" t="inlineStr">
        <is>
          <t>curl 403, 213.6KB body with title 'maintenance' - byte-identical size to leshop.ch's block page, same shared WAF template</t>
        </is>
      </c>
      <c r="M55" s="13" t="inlineStr">
        <is>
          <t>SUSPECT</t>
        </is>
      </c>
      <c r="N55" s="13" t="inlineStr">
        <is>
          <t>D - hard / app / index only</t>
        </is>
      </c>
      <c r="O55" s="13" t="n">
        <v>2</v>
      </c>
      <c r="P55" s="13" t="inlineStr">
        <is>
          <t>Custom/Enterprise</t>
        </is>
      </c>
      <c r="Q55" s="13" t="inlineStr"/>
      <c r="R55" s="13" t="inlineStr">
        <is>
          <t>-</t>
        </is>
      </c>
      <c r="S55" s="13" t="inlineStr">
        <is>
          <t>current, unit_price, cumulus_price</t>
        </is>
      </c>
      <c r="T55" s="13" t="inlineStr">
        <is>
          <t>The other half of the Swiss duopoly. Regional cooperative structure means assortment and price vary by region ('Region wahlen').</t>
        </is>
      </c>
      <c r="U55" s="13" t="inlineStr">
        <is>
          <t>Its M-Budget line is NOT fully available online, which biases an online basket UPWARD relative to the store. Do not compare Migros Online to Coop.ch naively.</t>
        </is>
      </c>
      <c r="V55" s="13" t="inlineStr">
        <is>
          <t>P8-EU</t>
        </is>
      </c>
    </row>
    <row r="56">
      <c r="A56" s="13" t="inlineStr">
        <is>
          <t>eca</t>
        </is>
      </c>
      <c r="B56" s="13" t="inlineStr">
        <is>
          <t>switzerland</t>
        </is>
      </c>
      <c r="C56" s="13" t="inlineStr">
        <is>
          <t>CHE</t>
        </is>
      </c>
      <c r="D56" s="13" t="inlineStr">
        <is>
          <t>Switzerland</t>
        </is>
      </c>
      <c r="E56" s="13" t="inlineStr">
        <is>
          <t>Aldi now</t>
        </is>
      </c>
      <c r="F56" s="13" t="inlineStr">
        <is>
          <t>https://www.aldi-now.ch/</t>
        </is>
      </c>
      <c r="G56" s="13" t="inlineStr">
        <is>
          <t>PROBED - VIABLE</t>
        </is>
      </c>
      <c r="H56" s="13" t="inlineStr">
        <is>
          <t>TIER_2</t>
        </is>
      </c>
      <c r="I56" s="13" t="inlineStr">
        <is>
          <t>medium</t>
        </is>
      </c>
      <c r="J56" s="13" t="n">
        <v>0</v>
      </c>
      <c r="K56" s="13" t="inlineStr">
        <is>
          <t>not found</t>
        </is>
      </c>
      <c r="L56" s="13" t="inlineStr">
        <is>
          <t>curl 200, 1.0MB, only price-like match was 'CHF 50.00' minimum-order-value copy, not a product price</t>
        </is>
      </c>
      <c r="M56" s="13" t="inlineStr">
        <is>
          <t>ACCEPT</t>
        </is>
      </c>
      <c r="N56" s="13" t="inlineStr">
        <is>
          <t>C - engineering required</t>
        </is>
      </c>
      <c r="O56" s="13" t="n">
        <v>3</v>
      </c>
      <c r="P56" s="13" t="inlineStr">
        <is>
          <t>Custom</t>
        </is>
      </c>
      <c r="Q56" s="13" t="inlineStr"/>
      <c r="R56" s="13" t="inlineStr">
        <is>
          <t>-</t>
        </is>
      </c>
      <c r="S56" s="13" t="inlineStr">
        <is>
          <t>current</t>
        </is>
      </c>
      <c r="T56" s="13" t="inlineStr">
        <is>
          <t>National chain with a bespoke storefront. Fetch a category page first: if prices render server-side a plain parser suffices, otherwise capture the category XHR.</t>
        </is>
      </c>
      <c r="U56" s="13" t="inlineStr">
        <is>
          <t>Adds a 2.5% picking fee plus CHF 1.50 transport material on top of delivery - effective price differs from listed price.</t>
        </is>
      </c>
      <c r="V56" s="13" t="inlineStr">
        <is>
          <t>P8-EU</t>
        </is>
      </c>
    </row>
    <row r="57">
      <c r="A57" s="13" t="inlineStr">
        <is>
          <t>eca</t>
        </is>
      </c>
      <c r="B57" s="13" t="inlineStr">
        <is>
          <t>switzerland</t>
        </is>
      </c>
      <c r="C57" s="13" t="inlineStr">
        <is>
          <t>CHE</t>
        </is>
      </c>
      <c r="D57" s="13" t="inlineStr">
        <is>
          <t>Switzerland</t>
        </is>
      </c>
      <c r="E57" s="13" t="inlineStr">
        <is>
          <t>Denner</t>
        </is>
      </c>
      <c r="F57" s="13" t="inlineStr">
        <is>
          <t>https://www.denner.ch/</t>
        </is>
      </c>
      <c r="G57" s="13" t="inlineStr">
        <is>
          <t>PROBED - VIABLE</t>
        </is>
      </c>
      <c r="H57" s="13" t="inlineStr">
        <is>
          <t>TIER_2</t>
        </is>
      </c>
      <c r="I57" s="13" t="inlineStr">
        <is>
          <t>medium</t>
        </is>
      </c>
      <c r="J57" s="13" t="n">
        <v>0</v>
      </c>
      <c r="K57" s="13" t="inlineStr">
        <is>
          <t>not found</t>
        </is>
      </c>
      <c r="L57" s="13" t="inlineStr">
        <is>
          <t>curl 200, 717KB, Nuxt detected, no price pattern matched on homepage</t>
        </is>
      </c>
      <c r="M57" s="13" t="inlineStr">
        <is>
          <t>ACCEPT</t>
        </is>
      </c>
      <c r="N57" s="13" t="inlineStr">
        <is>
          <t>C - engineering required</t>
        </is>
      </c>
      <c r="O57" s="13" t="n">
        <v>3</v>
      </c>
      <c r="P57" s="13" t="inlineStr">
        <is>
          <t>Custom</t>
        </is>
      </c>
      <c r="Q57" s="13" t="inlineStr"/>
      <c r="R57" s="13" t="inlineStr">
        <is>
          <t>-</t>
        </is>
      </c>
      <c r="S57" s="13" t="inlineStr">
        <is>
          <t>current</t>
        </is>
      </c>
      <c r="T57" s="13" t="inlineStr">
        <is>
          <t>National chain with a bespoke storefront. Fetch a category page first: if prices render server-side a plain parser suffices, otherwise capture the category XHR.</t>
        </is>
      </c>
      <c r="U57" s="13" t="inlineStr">
        <is>
          <t>-</t>
        </is>
      </c>
      <c r="V57" s="13" t="inlineStr">
        <is>
          <t>P8-EU</t>
        </is>
      </c>
    </row>
    <row r="58">
      <c r="A58" s="13" t="inlineStr">
        <is>
          <t>eca</t>
        </is>
      </c>
      <c r="B58" s="13" t="inlineStr">
        <is>
          <t>switzerland</t>
        </is>
      </c>
      <c r="C58" s="13" t="inlineStr">
        <is>
          <t>CHE</t>
        </is>
      </c>
      <c r="D58" s="13" t="inlineStr">
        <is>
          <t>Switzerland</t>
        </is>
      </c>
      <c r="E58" s="13" t="inlineStr">
        <is>
          <t>Lidl Schweiz</t>
        </is>
      </c>
      <c r="F58" s="13" t="inlineStr">
        <is>
          <t>https://www.lidl.ch/</t>
        </is>
      </c>
      <c r="G58" s="13" t="inlineStr">
        <is>
          <t>PROBED - VIABLE</t>
        </is>
      </c>
      <c r="H58" s="13" t="inlineStr">
        <is>
          <t>TIER_1A</t>
        </is>
      </c>
      <c r="I58" s="13" t="inlineStr">
        <is>
          <t>low</t>
        </is>
      </c>
      <c r="J58" s="13" t="n">
        <v>60</v>
      </c>
      <c r="K58" s="13" t="inlineStr">
        <is>
          <t>SSR/Nuxt HTML</t>
        </is>
      </c>
      <c r="L58" s="13" t="inlineStr">
        <is>
          <t>curl 200, 519KB, Nuxt detected, real prices in raw HTML: 'CHF 11.99', 'CHF 5.58', 'CHF 34.90', 'CHF 39.90'</t>
        </is>
      </c>
      <c r="M58" s="13" t="inlineStr">
        <is>
          <t>SUSPECT</t>
        </is>
      </c>
      <c r="N58" s="13" t="inlineStr">
        <is>
          <t>D - hard / app / index only</t>
        </is>
      </c>
      <c r="O58" s="13" t="n">
        <v>2</v>
      </c>
      <c r="P58" s="13" t="inlineStr">
        <is>
          <t>Custom/Enterprise</t>
        </is>
      </c>
      <c r="Q58" s="13" t="inlineStr"/>
      <c r="R58" s="13" t="inlineStr">
        <is>
          <t>-</t>
        </is>
      </c>
      <c r="S58" s="13" t="inlineStr">
        <is>
          <t>promo</t>
        </is>
      </c>
      <c r="T58" s="13" t="inlineStr">
        <is>
          <t>Major national chain on an enterprise stack behind a CDN/WAF. Expect a store or postcode selector before the catalogue renders, and expect anti-bot measures. Treat as a last-resort build; check whether an aggregator or delivery platform carries the same assortment first.</t>
        </is>
      </c>
      <c r="U58" s="13" t="inlineStr">
        <is>
          <t>-</t>
        </is>
      </c>
      <c r="V58" s="13" t="inlineStr">
        <is>
          <t>P8-EU</t>
        </is>
      </c>
    </row>
    <row r="59">
      <c r="A59" s="13" t="inlineStr">
        <is>
          <t>eca</t>
        </is>
      </c>
      <c r="B59" s="13" t="inlineStr">
        <is>
          <t>switzerland</t>
        </is>
      </c>
      <c r="C59" s="13" t="inlineStr">
        <is>
          <t>CHE</t>
        </is>
      </c>
      <c r="D59" s="13" t="inlineStr">
        <is>
          <t>Switzerland</t>
        </is>
      </c>
      <c r="E59" s="13" t="inlineStr">
        <is>
          <t>Rappn (aggregator)</t>
        </is>
      </c>
      <c r="F59" s="13" t="inlineStr">
        <is>
          <t>https://rappn.ch/</t>
        </is>
      </c>
      <c r="G59" s="13" t="inlineStr">
        <is>
          <t>PROBED - VIABLE</t>
        </is>
      </c>
      <c r="H59" s="13" t="inlineStr">
        <is>
          <t>TIER_2</t>
        </is>
      </c>
      <c r="I59" s="13" t="inlineStr">
        <is>
          <t>medium</t>
        </is>
      </c>
      <c r="J59" s="13" t="n">
        <v>0</v>
      </c>
      <c r="K59" s="13" t="inlineStr">
        <is>
          <t>not isolated to per-SKU level</t>
        </is>
      </c>
      <c r="L59" s="13" t="inlineStr">
        <is>
          <t>curl 200, 525KB, real basket-comparison prices in raw HTML: 'CHF 2,00', 'CHF 609.28', 'CHF 230.94' - these read as basket totals/comparison figures, not confirmed as individual per-SKU prices</t>
        </is>
      </c>
      <c r="M59" s="13" t="inlineStr">
        <is>
          <t>ACCEPT</t>
        </is>
      </c>
      <c r="N59" s="13" t="inlineStr">
        <is>
          <t>C - engineering required</t>
        </is>
      </c>
      <c r="O59" s="13" t="n">
        <v>3</v>
      </c>
      <c r="P59" s="13" t="inlineStr">
        <is>
          <t>Custom</t>
        </is>
      </c>
      <c r="Q59" s="13" t="inlineStr"/>
      <c r="R59" s="13" t="inlineStr">
        <is>
          <t>-</t>
        </is>
      </c>
      <c r="S59" s="13" t="inlineStr">
        <is>
          <t>current</t>
        </is>
      </c>
      <c r="T59" s="13" t="inlineStr">
        <is>
          <t>Describes itself as the only NEUTRAL Swiss grocery price comparison app with no commercial agreements with retailers. Publishes sourced, dated fee comparisons - unusually rigorous.</t>
        </is>
      </c>
      <c r="U59" s="13" t="inlineStr">
        <is>
          <t>-</t>
        </is>
      </c>
      <c r="V59" s="13" t="inlineStr">
        <is>
          <t>P8-EU</t>
        </is>
      </c>
    </row>
    <row r="60">
      <c r="A60" s="13" t="inlineStr">
        <is>
          <t>eca</t>
        </is>
      </c>
      <c r="B60" s="13" t="inlineStr">
        <is>
          <t>cyprus</t>
        </is>
      </c>
      <c r="C60" s="13" t="inlineStr">
        <is>
          <t>CYP</t>
        </is>
      </c>
      <c r="D60" s="13" t="inlineStr">
        <is>
          <t>Cyprus</t>
        </is>
      </c>
      <c r="E60" s="13" t="inlineStr">
        <is>
          <t>Alphamega</t>
        </is>
      </c>
      <c r="F60" s="13" t="inlineStr">
        <is>
          <t>https://www.alphamega.com.cy/</t>
        </is>
      </c>
      <c r="G60" s="13" t="inlineStr">
        <is>
          <t>PROBED - SKIP</t>
        </is>
      </c>
      <c r="H60" s="13" t="inlineStr">
        <is>
          <t>SKIP</t>
        </is>
      </c>
      <c r="I60" s="13" t="inlineStr">
        <is>
          <t>high</t>
        </is>
      </c>
      <c r="J60" s="13" t="n">
        <v>0</v>
      </c>
      <c r="K60" s="13" t="inlineStr"/>
      <c r="L60" s="13" t="inlineStr">
        <is>
          <t>GET / -&gt; HTTP 403, body is Cloudflare 'Just a moment...' interstitial (title + noindex meta + CSP referencing challenge JS).</t>
        </is>
      </c>
      <c r="M60" s="13" t="inlineStr">
        <is>
          <t>ACCEPT</t>
        </is>
      </c>
      <c r="N60" s="13" t="inlineStr">
        <is>
          <t>C - engineering required</t>
        </is>
      </c>
      <c r="O60" s="13" t="n">
        <v>3</v>
      </c>
      <c r="P60" s="13" t="inlineStr">
        <is>
          <t>Custom</t>
        </is>
      </c>
      <c r="Q60" s="13" t="inlineStr"/>
      <c r="R60" s="13" t="inlineStr">
        <is>
          <t>-</t>
        </is>
      </c>
      <c r="S60" s="13" t="inlineStr">
        <is>
          <t>current</t>
        </is>
      </c>
      <c r="T60" s="13" t="inlineStr">
        <is>
          <t>Largest Cypriot hypermarket chain.</t>
        </is>
      </c>
      <c r="U60" s="13" t="inlineStr">
        <is>
          <t>-</t>
        </is>
      </c>
      <c r="V60" s="13" t="inlineStr">
        <is>
          <t>P8-EU</t>
        </is>
      </c>
    </row>
    <row r="61">
      <c r="A61" s="13" t="inlineStr">
        <is>
          <t>eca</t>
        </is>
      </c>
      <c r="B61" s="13" t="inlineStr">
        <is>
          <t>cyprus</t>
        </is>
      </c>
      <c r="C61" s="13" t="inlineStr">
        <is>
          <t>CYP</t>
        </is>
      </c>
      <c r="D61" s="13" t="inlineStr">
        <is>
          <t>Cyprus</t>
        </is>
      </c>
      <c r="E61" s="13" t="inlineStr">
        <is>
          <t>Metro Cyprus</t>
        </is>
      </c>
      <c r="F61" s="13" t="inlineStr">
        <is>
          <t>https://www.metro.com.cy/</t>
        </is>
      </c>
      <c r="G61" s="13" t="inlineStr">
        <is>
          <t>PROBED - SKIP</t>
        </is>
      </c>
      <c r="H61" s="13" t="inlineStr">
        <is>
          <t>SKIP</t>
        </is>
      </c>
      <c r="I61" s="13" t="inlineStr">
        <is>
          <t>medium</t>
        </is>
      </c>
      <c r="J61" s="13" t="n">
        <v>0</v>
      </c>
      <c r="K61" s="13" t="inlineStr"/>
      <c r="L61" s="13" t="inlineStr">
        <is>
          <t>GET / -&gt; 200, 175KB (GTM-tagged corporate homepage), zero /product/ or price patterns found.</t>
        </is>
      </c>
      <c r="M61" s="13" t="inlineStr">
        <is>
          <t>ACCEPT</t>
        </is>
      </c>
      <c r="N61" s="13" t="inlineStr">
        <is>
          <t>C - engineering required</t>
        </is>
      </c>
      <c r="O61" s="13" t="n">
        <v>3</v>
      </c>
      <c r="P61" s="13" t="inlineStr">
        <is>
          <t>Custom</t>
        </is>
      </c>
      <c r="Q61" s="13" t="inlineStr"/>
      <c r="R61" s="13" t="inlineStr">
        <is>
          <t>-</t>
        </is>
      </c>
      <c r="S61" s="13" t="inlineStr">
        <is>
          <t>current</t>
        </is>
      </c>
      <c r="T61" s="13" t="inlineStr">
        <is>
          <t>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61" s="13" t="inlineStr">
        <is>
          <t>-</t>
        </is>
      </c>
      <c r="V61" s="13" t="inlineStr">
        <is>
          <t>P8-EU</t>
        </is>
      </c>
    </row>
    <row r="62">
      <c r="A62" s="13" t="inlineStr">
        <is>
          <t>eca</t>
        </is>
      </c>
      <c r="B62" s="13" t="inlineStr">
        <is>
          <t>cyprus</t>
        </is>
      </c>
      <c r="C62" s="13" t="inlineStr">
        <is>
          <t>CYP</t>
        </is>
      </c>
      <c r="D62" s="13" t="inlineStr">
        <is>
          <t>Cyprus</t>
        </is>
      </c>
      <c r="E62" s="13" t="inlineStr">
        <is>
          <t>Papantoniou</t>
        </is>
      </c>
      <c r="F62" s="13" t="inlineStr">
        <is>
          <t>https://www.papantoniou.com.cy/</t>
        </is>
      </c>
      <c r="G62" s="13" t="inlineStr">
        <is>
          <t>PROBED - SKIP</t>
        </is>
      </c>
      <c r="H62" s="13" t="inlineStr">
        <is>
          <t>SKIP</t>
        </is>
      </c>
      <c r="I62" s="13" t="inlineStr">
        <is>
          <t>high</t>
        </is>
      </c>
      <c r="J62" s="13" t="n">
        <v>0</v>
      </c>
      <c r="K62" s="13" t="inlineStr"/>
      <c r="L62" s="13" t="inlineStr">
        <is>
          <t>GET / -&gt; 200, title 'SKLAVENITIS Kyprou' (rebranded). /wp-json/wc/store/v1/products?per_page=3 301-redirects to sklavenitiscyprus.com.cy, which then 404s the same route ('rest_no_route' -- Store API not registered). Homepage of sklavenitiscyprus.com.cy has zero /product/ links or visible prices.</t>
        </is>
      </c>
      <c r="M62" s="13" t="inlineStr">
        <is>
          <t>ACCEPT</t>
        </is>
      </c>
      <c r="N62" s="13" t="inlineStr">
        <is>
          <t>C - engineering required</t>
        </is>
      </c>
      <c r="O62" s="13" t="n">
        <v>3</v>
      </c>
      <c r="P62" s="13" t="inlineStr">
        <is>
          <t>Custom</t>
        </is>
      </c>
      <c r="Q62" s="13" t="inlineStr"/>
      <c r="R62" s="13" t="inlineStr">
        <is>
          <t>-</t>
        </is>
      </c>
      <c r="S62" s="13" t="inlineStr">
        <is>
          <t>current</t>
        </is>
      </c>
      <c r="T62" s="13" t="inlineStr">
        <is>
          <t>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62" s="13" t="inlineStr">
        <is>
          <t>-</t>
        </is>
      </c>
      <c r="V62" s="13" t="inlineStr">
        <is>
          <t>P8-EU</t>
        </is>
      </c>
    </row>
    <row r="63">
      <c r="A63" s="13" t="inlineStr">
        <is>
          <t>eca</t>
        </is>
      </c>
      <c r="B63" s="13" t="inlineStr">
        <is>
          <t>cyprus</t>
        </is>
      </c>
      <c r="C63" s="13" t="inlineStr">
        <is>
          <t>CYP</t>
        </is>
      </c>
      <c r="D63" s="13" t="inlineStr">
        <is>
          <t>Cyprus</t>
        </is>
      </c>
      <c r="E63" s="13" t="inlineStr">
        <is>
          <t>Sklavenitis Cyprus</t>
        </is>
      </c>
      <c r="F63" s="13" t="inlineStr">
        <is>
          <t>https://www.sklavenitis.com.cy/</t>
        </is>
      </c>
      <c r="G63" s="13" t="inlineStr">
        <is>
          <t>PROBED - SKIP</t>
        </is>
      </c>
      <c r="H63" s="13" t="inlineStr">
        <is>
          <t>SKIP</t>
        </is>
      </c>
      <c r="I63" s="13" t="inlineStr">
        <is>
          <t>high</t>
        </is>
      </c>
      <c r="J63" s="13" t="n">
        <v>0</v>
      </c>
      <c r="K63" s="13" t="inlineStr"/>
      <c r="L63" s="13" t="inlineStr">
        <is>
          <t>GET / -&gt; 200, 3.4KB, title 'www.sklavenitis.com.cy - Domain for Leasing'. This domain is PARKED, not the live retailer.</t>
        </is>
      </c>
      <c r="M63" s="13" t="inlineStr">
        <is>
          <t>ACCEPT</t>
        </is>
      </c>
      <c r="N63" s="13" t="inlineStr">
        <is>
          <t>C - engineering required</t>
        </is>
      </c>
      <c r="O63" s="13" t="n">
        <v>3</v>
      </c>
      <c r="P63" s="13" t="inlineStr">
        <is>
          <t>Custom</t>
        </is>
      </c>
      <c r="Q63" s="13" t="inlineStr"/>
      <c r="R63" s="13" t="inlineStr">
        <is>
          <t>-</t>
        </is>
      </c>
      <c r="S63" s="13" t="inlineStr">
        <is>
          <t>current</t>
        </is>
      </c>
      <c r="T63" s="13" t="inlineStr">
        <is>
          <t>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63" s="13" t="inlineStr">
        <is>
          <t>-</t>
        </is>
      </c>
      <c r="V63" s="13" t="inlineStr">
        <is>
          <t>P8-EU</t>
        </is>
      </c>
    </row>
    <row r="64">
      <c r="A64" s="13" t="inlineStr">
        <is>
          <t>eca</t>
        </is>
      </c>
      <c r="B64" s="13" t="inlineStr">
        <is>
          <t>cyprus</t>
        </is>
      </c>
      <c r="C64" s="13" t="inlineStr">
        <is>
          <t>CYP</t>
        </is>
      </c>
      <c r="D64" s="13" t="inlineStr">
        <is>
          <t>Cyprus</t>
        </is>
      </c>
      <c r="E64" s="13" t="inlineStr">
        <is>
          <t>SupermarketCy</t>
        </is>
      </c>
      <c r="F64" s="13" t="inlineStr">
        <is>
          <t>https://www.supermarketcy.com.cy/en</t>
        </is>
      </c>
      <c r="G64" s="13" t="inlineStr">
        <is>
          <t>PROBED - SKIP</t>
        </is>
      </c>
      <c r="H64" s="13" t="inlineStr">
        <is>
          <t>SKIP</t>
        </is>
      </c>
      <c r="I64" s="13" t="inlineStr">
        <is>
          <t>high</t>
        </is>
      </c>
      <c r="J64" s="13" t="n">
        <v>0</v>
      </c>
      <c r="K64" s="13" t="inlineStr"/>
      <c r="L64" s="13" t="inlineStr">
        <is>
          <t>GET /en -&gt; HTTP 403, same Cloudflare 'Just a moment...' interstitial signature as Alphamega.</t>
        </is>
      </c>
      <c r="M64" s="13" t="inlineStr">
        <is>
          <t>ACCEPT</t>
        </is>
      </c>
      <c r="N64" s="13" t="inlineStr">
        <is>
          <t>C - engineering required</t>
        </is>
      </c>
      <c r="O64" s="13" t="n">
        <v>3</v>
      </c>
      <c r="P64" s="13" t="inlineStr">
        <is>
          <t>Custom</t>
        </is>
      </c>
      <c r="Q64" s="13" t="inlineStr"/>
      <c r="R64" s="13" t="inlineStr">
        <is>
          <t>-</t>
        </is>
      </c>
      <c r="S64" s="13" t="inlineStr">
        <is>
          <t>final_price, unit_price_100g_1kg_1L</t>
        </is>
      </c>
      <c r="T64" s="13" t="inlineStr">
        <is>
          <t>English interface, explicit 'FINAL PRICE' labelling and a normalised unit price on every line (per 100ml, per 1kg, per 1L). Same-day delivery. Cleanest Cypriot source.</t>
        </is>
      </c>
      <c r="U64" s="13" t="inlineStr">
        <is>
          <t>-</t>
        </is>
      </c>
      <c r="V64" s="13" t="inlineStr">
        <is>
          <t>P8-EU</t>
        </is>
      </c>
    </row>
    <row r="65">
      <c r="A65" s="13" t="inlineStr">
        <is>
          <t>eca</t>
        </is>
      </c>
      <c r="B65" s="13" t="inlineStr">
        <is>
          <t>czech_republic</t>
        </is>
      </c>
      <c r="C65" s="13" t="inlineStr">
        <is>
          <t>CZE</t>
        </is>
      </c>
      <c r="D65" s="13" t="inlineStr">
        <is>
          <t>Czechia</t>
        </is>
      </c>
      <c r="E65" s="13" t="inlineStr">
        <is>
          <t>Kaufland CZ</t>
        </is>
      </c>
      <c r="F65" s="13" t="inlineStr">
        <is>
          <t>https://www.kaufland.cz/</t>
        </is>
      </c>
      <c r="G65" s="13" t="inlineStr">
        <is>
          <t>PROBED - SKIP</t>
        </is>
      </c>
      <c r="H65" s="13" t="inlineStr">
        <is>
          <t>SKIP</t>
        </is>
      </c>
      <c r="I65" s="13" t="inlineStr">
        <is>
          <t>high</t>
        </is>
      </c>
      <c r="J65" s="13" t="n">
        <v>0</v>
      </c>
      <c r="K65" s="13" t="inlineStr"/>
      <c r="L65" s="13" t="inlineStr">
        <is>
          <t>GET -&gt; 403, 16KB branded page titled 'Kaufland.cz - Přístup blokován' (Access Blocked).</t>
        </is>
      </c>
      <c r="M65" s="13" t="inlineStr">
        <is>
          <t>SUSPECT</t>
        </is>
      </c>
      <c r="N65" s="13" t="inlineStr">
        <is>
          <t>D - hard / app / index only</t>
        </is>
      </c>
      <c r="O65" s="13" t="n">
        <v>2</v>
      </c>
      <c r="P65" s="13" t="inlineStr">
        <is>
          <t>Custom/Enterprise</t>
        </is>
      </c>
      <c r="Q65" s="13" t="inlineStr"/>
      <c r="R65" s="13" t="inlineStr">
        <is>
          <t>-</t>
        </is>
      </c>
      <c r="S65" s="13" t="inlineStr">
        <is>
          <t>current</t>
        </is>
      </c>
      <c r="T65" s="13" t="inlineStr">
        <is>
          <t>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65" s="13" t="inlineStr">
        <is>
          <t>-</t>
        </is>
      </c>
      <c r="V65" s="13" t="inlineStr">
        <is>
          <t>P8-EU</t>
        </is>
      </c>
    </row>
    <row r="66">
      <c r="A66" s="13" t="inlineStr">
        <is>
          <t>eca</t>
        </is>
      </c>
      <c r="B66" s="13" t="inlineStr">
        <is>
          <t>czech_republic</t>
        </is>
      </c>
      <c r="C66" s="13" t="inlineStr">
        <is>
          <t>CZE</t>
        </is>
      </c>
      <c r="D66" s="13" t="inlineStr">
        <is>
          <t>Czechia</t>
        </is>
      </c>
      <c r="E66" s="13" t="inlineStr">
        <is>
          <t>Rohlik.cz</t>
        </is>
      </c>
      <c r="F66" s="13" t="inlineStr">
        <is>
          <t>https://www.rohlik.cz/</t>
        </is>
      </c>
      <c r="G66" s="13" t="inlineStr">
        <is>
          <t>PROBED - SKIP</t>
        </is>
      </c>
      <c r="H66" s="13" t="inlineStr">
        <is>
          <t>SKIP</t>
        </is>
      </c>
      <c r="I66" s="13" t="inlineStr">
        <is>
          <t>high</t>
        </is>
      </c>
      <c r="J66" s="13" t="n">
        <v>0</v>
      </c>
      <c r="K66" s="13" t="inlineStr"/>
      <c r="L66" s="13" t="inlineStr">
        <is>
          <t>GET / and GET /services/frontend-service/products?offset=0&amp;limit=5 both -&gt; HTTP 403 with header 'cf-mitigated: challenge' and CSP referencing challenges.cloudflare.com -- Cloudflare interactive challenge, not a plain 403.</t>
        </is>
      </c>
      <c r="M66" s="13" t="inlineStr">
        <is>
          <t>ACCEPT</t>
        </is>
      </c>
      <c r="N66" s="13" t="inlineStr">
        <is>
          <t>B - moderate effort</t>
        </is>
      </c>
      <c r="O66" s="13" t="n">
        <v>4</v>
      </c>
      <c r="P66" s="13" t="inlineStr">
        <is>
          <t>Custom (Rohlik stack)</t>
        </is>
      </c>
      <c r="Q66" s="13" t="inlineStr"/>
      <c r="R66" s="13" t="inlineStr">
        <is>
          <t>/services/frontend-service/products</t>
        </is>
      </c>
      <c r="S66" s="13" t="inlineStr">
        <is>
          <t>current, was_price, unit_price, promo_end_date, price_guarantee_flag</t>
        </is>
      </c>
      <c r="T66" s="13" t="inlineStr">
        <is>
          <t>22,000+ products, 1.5m customers, ~80% national coverage, 15-minute delivery windows. Operates an explicit BEST-PRICE GUARANTEE with DAILY competitor price comparison and a 'Zaruka nejlepsi ceny' category - i.e. Rohlik itself runs a competitor price-scraping operation and exposes the result as a product category. Also ran a PRICE CAP on basic foods. The origin of the Rohlik stack.</t>
        </is>
      </c>
      <c r="U66" s="13" t="inlineStr">
        <is>
          <t>Its price-guarantee lines are mechanically tied to competitors - do not treat as independent price observations when measuring co-movement.</t>
        </is>
      </c>
      <c r="V66" s="13" t="inlineStr">
        <is>
          <t>P8-EU</t>
        </is>
      </c>
    </row>
    <row r="67">
      <c r="A67" s="13" t="inlineStr">
        <is>
          <t>eca</t>
        </is>
      </c>
      <c r="B67" s="13" t="inlineStr">
        <is>
          <t>czech_republic</t>
        </is>
      </c>
      <c r="C67" s="13" t="inlineStr">
        <is>
          <t>CZE</t>
        </is>
      </c>
      <c r="D67" s="13" t="inlineStr">
        <is>
          <t>Czechia</t>
        </is>
      </c>
      <c r="E67" s="13" t="inlineStr">
        <is>
          <t>Tesco CZ</t>
        </is>
      </c>
      <c r="F67" s="13" t="inlineStr">
        <is>
          <t>https://nakup.itesco.cz/</t>
        </is>
      </c>
      <c r="G67" s="13" t="inlineStr">
        <is>
          <t>PROBED - SKIP</t>
        </is>
      </c>
      <c r="H67" s="13" t="inlineStr">
        <is>
          <t>SKIP</t>
        </is>
      </c>
      <c r="I67" s="13" t="inlineStr">
        <is>
          <t>high</t>
        </is>
      </c>
      <c r="J67" s="13" t="n">
        <v>0</v>
      </c>
      <c r="K67" s="13" t="inlineStr"/>
      <c r="L67" s="13" t="inlineStr">
        <is>
          <t>GET -&gt; 403, 207-byte body 'Access Denied ... permission to access /shop/cs-CZ/landing/groceries', Akamai-style reference-id format.</t>
        </is>
      </c>
      <c r="M67" s="13" t="inlineStr">
        <is>
          <t>SUSPECT</t>
        </is>
      </c>
      <c r="N67" s="13" t="inlineStr">
        <is>
          <t>D - hard / app / index only</t>
        </is>
      </c>
      <c r="O67" s="13" t="n">
        <v>2</v>
      </c>
      <c r="P67" s="13" t="inlineStr">
        <is>
          <t>Custom/Enterprise</t>
        </is>
      </c>
      <c r="Q67" s="13" t="inlineStr"/>
      <c r="R67" s="13" t="inlineStr">
        <is>
          <t>-</t>
        </is>
      </c>
      <c r="S67" s="13" t="inlineStr">
        <is>
          <t>current, clubcard_price</t>
        </is>
      </c>
      <c r="T67" s="13" t="inlineStr">
        <is>
          <t>~66% population coverage.</t>
        </is>
      </c>
      <c r="U67" s="13" t="inlineStr">
        <is>
          <t>-</t>
        </is>
      </c>
      <c r="V67" s="13" t="inlineStr">
        <is>
          <t>P8-EU</t>
        </is>
      </c>
    </row>
    <row r="68">
      <c r="A68" s="13" t="inlineStr">
        <is>
          <t>eca</t>
        </is>
      </c>
      <c r="B68" s="13" t="inlineStr">
        <is>
          <t>czech_republic</t>
        </is>
      </c>
      <c r="C68" s="13" t="inlineStr">
        <is>
          <t>CZE</t>
        </is>
      </c>
      <c r="D68" s="13" t="inlineStr">
        <is>
          <t>Czechia</t>
        </is>
      </c>
      <c r="E68" s="13" t="inlineStr">
        <is>
          <t>Albert</t>
        </is>
      </c>
      <c r="F68" s="13" t="inlineStr">
        <is>
          <t>https://www.albert.cz/</t>
        </is>
      </c>
      <c r="G68" s="13" t="inlineStr">
        <is>
          <t>PROBED - VIABLE</t>
        </is>
      </c>
      <c r="H68" s="13" t="inlineStr">
        <is>
          <t>TIER_2</t>
        </is>
      </c>
      <c r="I68" s="13" t="inlineStr">
        <is>
          <t>medium</t>
        </is>
      </c>
      <c r="J68" s="13" t="n">
        <v>0</v>
      </c>
      <c r="K68" s="13" t="inlineStr"/>
      <c r="L68" s="13" t="inlineStr">
        <is>
          <t>GET -&gt; 200, 1.2MB, Next.js markers present, but only placeholder '0,00 Kč' found on homepage. Not blocked (no WAF page).</t>
        </is>
      </c>
      <c r="M68" s="13" t="inlineStr">
        <is>
          <t>SUSPECT</t>
        </is>
      </c>
      <c r="N68" s="13" t="inlineStr">
        <is>
          <t>D - hard / app / index only</t>
        </is>
      </c>
      <c r="O68" s="13" t="n">
        <v>2</v>
      </c>
      <c r="P68" s="13" t="inlineStr">
        <is>
          <t>Custom/Enterprise</t>
        </is>
      </c>
      <c r="Q68" s="13" t="inlineStr"/>
      <c r="R68" s="13" t="inlineStr">
        <is>
          <t>-</t>
        </is>
      </c>
      <c r="S68" s="13" t="inlineStr">
        <is>
          <t>current</t>
        </is>
      </c>
      <c r="T68" s="13" t="inlineStr">
        <is>
          <t>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68" s="13" t="inlineStr">
        <is>
          <t>-</t>
        </is>
      </c>
      <c r="V68" s="13" t="inlineStr">
        <is>
          <t>P8-EU</t>
        </is>
      </c>
    </row>
    <row r="69">
      <c r="A69" s="13" t="inlineStr">
        <is>
          <t>eca</t>
        </is>
      </c>
      <c r="B69" s="13" t="inlineStr">
        <is>
          <t>czech_republic</t>
        </is>
      </c>
      <c r="C69" s="13" t="inlineStr">
        <is>
          <t>CZE</t>
        </is>
      </c>
      <c r="D69" s="13" t="inlineStr">
        <is>
          <t>Czechia</t>
        </is>
      </c>
      <c r="E69" s="13" t="inlineStr">
        <is>
          <t>Billa CZ</t>
        </is>
      </c>
      <c r="F69" s="13" t="inlineStr">
        <is>
          <t>https://www.billa.cz/</t>
        </is>
      </c>
      <c r="G69" s="13" t="inlineStr">
        <is>
          <t>PROBED - VIABLE</t>
        </is>
      </c>
      <c r="H69" s="13" t="inlineStr">
        <is>
          <t>TIER_1A</t>
        </is>
      </c>
      <c r="I69" s="13" t="inlineStr">
        <is>
          <t>low</t>
        </is>
      </c>
      <c r="J69" s="13" t="n">
        <v>140</v>
      </c>
      <c r="K69" s="13" t="inlineStr">
        <is>
          <t>SSR category HTML</t>
        </is>
      </c>
      <c r="L69" s="13" t="inlineStr">
        <is>
          <t>GET -&gt; 200, 1.1MB SSR (Nuxt/React hybrid). Direct prices '99,50 Kč' / '19,90 Kč' / '59,50 Kč' in product-price DOM near data-test='product-price-type-value'.</t>
        </is>
      </c>
      <c r="M69" s="13" t="inlineStr">
        <is>
          <t>SUSPECT</t>
        </is>
      </c>
      <c r="N69" s="13" t="inlineStr">
        <is>
          <t>D - hard / app / index only</t>
        </is>
      </c>
      <c r="O69" s="13" t="n">
        <v>2</v>
      </c>
      <c r="P69" s="13" t="inlineStr">
        <is>
          <t>Custom/Enterprise</t>
        </is>
      </c>
      <c r="Q69" s="13" t="inlineStr"/>
      <c r="R69" s="13" t="inlineStr">
        <is>
          <t>-</t>
        </is>
      </c>
      <c r="S69" s="13" t="inlineStr">
        <is>
          <t>current</t>
        </is>
      </c>
      <c r="T69" s="13" t="inlineStr">
        <is>
          <t>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69" s="13" t="inlineStr">
        <is>
          <t>-</t>
        </is>
      </c>
      <c r="V69" s="13" t="inlineStr">
        <is>
          <t>P8-EU</t>
        </is>
      </c>
    </row>
    <row r="70">
      <c r="A70" s="13" t="inlineStr">
        <is>
          <t>eca</t>
        </is>
      </c>
      <c r="B70" s="13" t="inlineStr">
        <is>
          <t>czech_republic</t>
        </is>
      </c>
      <c r="C70" s="13" t="inlineStr">
        <is>
          <t>CZE</t>
        </is>
      </c>
      <c r="D70" s="13" t="inlineStr">
        <is>
          <t>Czechia</t>
        </is>
      </c>
      <c r="E70" s="13" t="inlineStr">
        <is>
          <t>Kosik.cz</t>
        </is>
      </c>
      <c r="F70" s="13" t="inlineStr">
        <is>
          <t>https://www.kosik.cz/</t>
        </is>
      </c>
      <c r="G70" s="13" t="inlineStr">
        <is>
          <t>PROBED - VIABLE</t>
        </is>
      </c>
      <c r="H70" s="13" t="inlineStr">
        <is>
          <t>TIER_2</t>
        </is>
      </c>
      <c r="I70" s="13" t="inlineStr">
        <is>
          <t>medium</t>
        </is>
      </c>
      <c r="J70" s="13" t="n">
        <v>0</v>
      </c>
      <c r="K70" s="13" t="inlineStr"/>
      <c r="L70" s="13" t="inlineStr">
        <is>
          <t>GET -&gt; 200 but only 11.2KB, a Vue SPA shell with class='beforeVueInit' and no SSR content.</t>
        </is>
      </c>
      <c r="M70" s="13" t="inlineStr">
        <is>
          <t>ACCEPT</t>
        </is>
      </c>
      <c r="N70" s="13" t="inlineStr">
        <is>
          <t>C - engineering required</t>
        </is>
      </c>
      <c r="O70" s="13" t="n">
        <v>3</v>
      </c>
      <c r="P70" s="13" t="inlineStr">
        <is>
          <t>Custom</t>
        </is>
      </c>
      <c r="Q70" s="13" t="inlineStr"/>
      <c r="R70" s="13" t="inlineStr">
        <is>
          <t>-</t>
        </is>
      </c>
      <c r="S70" s="13" t="inlineStr">
        <is>
          <t>current, was_price</t>
        </is>
      </c>
      <c r="T70" s="13" t="inlineStr">
        <is>
          <t>Second Czech pure-play, 10 regional logistics centres, MAKRO and Delmart assortment plus Dr.Max pharmacy - so it spans retail, wholesale and pharmacy in one catalogue.</t>
        </is>
      </c>
      <c r="U70" s="13" t="inlineStr">
        <is>
          <t>-</t>
        </is>
      </c>
      <c r="V70" s="13" t="inlineStr">
        <is>
          <t>P8-EU</t>
        </is>
      </c>
    </row>
    <row r="71">
      <c r="A71" s="13" t="inlineStr">
        <is>
          <t>eca</t>
        </is>
      </c>
      <c r="B71" s="13" t="inlineStr">
        <is>
          <t>germany</t>
        </is>
      </c>
      <c r="C71" s="13" t="inlineStr">
        <is>
          <t>DEU</t>
        </is>
      </c>
      <c r="D71" s="13" t="inlineStr">
        <is>
          <t>Germany</t>
        </is>
      </c>
      <c r="E71" s="13" t="inlineStr">
        <is>
          <t>Amazon Fresh DE</t>
        </is>
      </c>
      <c r="F71" s="13" t="inlineStr">
        <is>
          <t>https://www.amazon.de/fresh</t>
        </is>
      </c>
      <c r="G71" s="13" t="inlineStr">
        <is>
          <t>PROBED - SKIP</t>
        </is>
      </c>
      <c r="H71" s="13" t="inlineStr">
        <is>
          <t>SKIP</t>
        </is>
      </c>
      <c r="I71" s="13" t="inlineStr">
        <is>
          <t>high</t>
        </is>
      </c>
      <c r="J71" s="13" t="n">
        <v>0</v>
      </c>
      <c r="K71" s="13" t="inlineStr">
        <is>
          <t>blocked/gated</t>
        </is>
      </c>
      <c r="L71" s="13" t="inlineStr">
        <is>
          <t>curl HTTP 202, 0 bytes body</t>
        </is>
      </c>
      <c r="M71" s="13" t="inlineStr">
        <is>
          <t>SUSPECT</t>
        </is>
      </c>
      <c r="N71" s="13" t="inlineStr">
        <is>
          <t>D - hard / app / index only</t>
        </is>
      </c>
      <c r="O71" s="13" t="n">
        <v>2</v>
      </c>
      <c r="P71" s="13" t="inlineStr">
        <is>
          <t>Custom/Enterprise</t>
        </is>
      </c>
      <c r="Q71" s="13" t="inlineStr"/>
      <c r="R71" s="13" t="inlineStr">
        <is>
          <t>-</t>
        </is>
      </c>
      <c r="S71" s="13" t="inlineStr">
        <is>
          <t>current</t>
        </is>
      </c>
      <c r="T71" s="13" t="inlineStr">
        <is>
          <t>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71" s="13" t="inlineStr">
        <is>
          <t>Enterprise anti-bot.</t>
        </is>
      </c>
      <c r="V71" s="13" t="inlineStr">
        <is>
          <t>P8-EU</t>
        </is>
      </c>
    </row>
    <row r="72">
      <c r="A72" s="13" t="inlineStr">
        <is>
          <t>eca</t>
        </is>
      </c>
      <c r="B72" s="13" t="inlineStr">
        <is>
          <t>germany</t>
        </is>
      </c>
      <c r="C72" s="13" t="inlineStr">
        <is>
          <t>DEU</t>
        </is>
      </c>
      <c r="D72" s="13" t="inlineStr">
        <is>
          <t>Germany</t>
        </is>
      </c>
      <c r="E72" s="13" t="inlineStr">
        <is>
          <t>Bringmeister</t>
        </is>
      </c>
      <c r="F72" s="13" t="inlineStr">
        <is>
          <t>https://www.bringmeister.de/</t>
        </is>
      </c>
      <c r="G72" s="13" t="inlineStr">
        <is>
          <t>PROBED - SKIP</t>
        </is>
      </c>
      <c r="H72" s="13" t="inlineStr">
        <is>
          <t>SKIP</t>
        </is>
      </c>
      <c r="I72" s="13" t="inlineStr">
        <is>
          <t>high</t>
        </is>
      </c>
      <c r="J72" s="13" t="n">
        <v>0</v>
      </c>
      <c r="K72" s="13" t="inlineStr">
        <is>
          <t>domain does not resolve</t>
        </is>
      </c>
      <c r="L72" s="13" t="inlineStr">
        <is>
          <t>curl: Could not resolve host (DNS NXDOMAIN)</t>
        </is>
      </c>
      <c r="M72" s="13" t="inlineStr">
        <is>
          <t>ACCEPT</t>
        </is>
      </c>
      <c r="N72" s="13" t="inlineStr">
        <is>
          <t>C - engineering required</t>
        </is>
      </c>
      <c r="O72" s="13" t="n">
        <v>3</v>
      </c>
      <c r="P72" s="13" t="inlineStr">
        <is>
          <t>Custom</t>
        </is>
      </c>
      <c r="Q72" s="13" t="inlineStr"/>
      <c r="R72" s="13" t="inlineStr">
        <is>
          <t>-</t>
        </is>
      </c>
      <c r="S72" s="13" t="inlineStr">
        <is>
          <t>current</t>
        </is>
      </c>
      <c r="T72" s="13" t="inlineStr">
        <is>
          <t>EDEKA-linked online supermarket, Berlin/Munich.</t>
        </is>
      </c>
      <c r="U72" s="13" t="inlineStr">
        <is>
          <t>-</t>
        </is>
      </c>
      <c r="V72" s="13" t="inlineStr">
        <is>
          <t>P8-EU</t>
        </is>
      </c>
    </row>
    <row r="73">
      <c r="A73" s="13" t="inlineStr">
        <is>
          <t>eca</t>
        </is>
      </c>
      <c r="B73" s="13" t="inlineStr">
        <is>
          <t>germany</t>
        </is>
      </c>
      <c r="C73" s="13" t="inlineStr">
        <is>
          <t>DEU</t>
        </is>
      </c>
      <c r="D73" s="13" t="inlineStr">
        <is>
          <t>Germany</t>
        </is>
      </c>
      <c r="E73" s="13" t="inlineStr">
        <is>
          <t>Kaufland.de</t>
        </is>
      </c>
      <c r="F73" s="13" t="inlineStr">
        <is>
          <t>https://www.kaufland.de/c/lebensmittel/~1311/</t>
        </is>
      </c>
      <c r="G73" s="13" t="inlineStr">
        <is>
          <t>PROBED - SKIP</t>
        </is>
      </c>
      <c r="H73" s="13" t="inlineStr">
        <is>
          <t>SKIP</t>
        </is>
      </c>
      <c r="I73" s="13" t="inlineStr">
        <is>
          <t>high</t>
        </is>
      </c>
      <c r="J73" s="13" t="n">
        <v>0</v>
      </c>
      <c r="K73" s="13" t="inlineStr">
        <is>
          <t>blocked</t>
        </is>
      </c>
      <c r="L73" s="13" t="inlineStr">
        <is>
          <t>curl 403, explicit branded block page: title 'Kaufland.de - Zugriff blockiert' (Access blocked)</t>
        </is>
      </c>
      <c r="M73" s="13" t="inlineStr">
        <is>
          <t>SUSPECT</t>
        </is>
      </c>
      <c r="N73" s="13" t="inlineStr">
        <is>
          <t>D - hard / app / index only</t>
        </is>
      </c>
      <c r="O73" s="13" t="n">
        <v>2</v>
      </c>
      <c r="P73" s="13" t="inlineStr">
        <is>
          <t>Custom/Enterprise</t>
        </is>
      </c>
      <c r="Q73" s="13" t="inlineStr"/>
      <c r="R73" s="13" t="inlineStr">
        <is>
          <t>-</t>
        </is>
      </c>
      <c r="S73" s="13" t="inlineStr">
        <is>
          <t>current, unit_price</t>
        </is>
      </c>
      <c r="T73" s="13" t="inlineStr">
        <is>
          <t>Marketplace + own grocery; very deep category tree.</t>
        </is>
      </c>
      <c r="U73" s="13" t="inlineStr">
        <is>
          <t>-</t>
        </is>
      </c>
      <c r="V73" s="13" t="inlineStr">
        <is>
          <t>P8-EU</t>
        </is>
      </c>
    </row>
    <row r="74">
      <c r="A74" s="13" t="inlineStr">
        <is>
          <t>eca</t>
        </is>
      </c>
      <c r="B74" s="13" t="inlineStr">
        <is>
          <t>germany</t>
        </is>
      </c>
      <c r="C74" s="13" t="inlineStr">
        <is>
          <t>DEU</t>
        </is>
      </c>
      <c r="D74" s="13" t="inlineStr">
        <is>
          <t>Germany</t>
        </is>
      </c>
      <c r="E74" s="13" t="inlineStr">
        <is>
          <t>Knuspr.de</t>
        </is>
      </c>
      <c r="F74" s="13" t="inlineStr">
        <is>
          <t>https://www.knuspr.de/</t>
        </is>
      </c>
      <c r="G74" s="13" t="inlineStr">
        <is>
          <t>PROBED - SKIP</t>
        </is>
      </c>
      <c r="H74" s="13" t="inlineStr">
        <is>
          <t>SKIP</t>
        </is>
      </c>
      <c r="I74" s="13" t="inlineStr">
        <is>
          <t>high</t>
        </is>
      </c>
      <c r="J74" s="13" t="n">
        <v>0</v>
      </c>
      <c r="K74" s="13" t="inlineStr">
        <is>
          <t>blocked</t>
        </is>
      </c>
      <c r="L74" s="13" t="inlineStr">
        <is>
          <t>curl 403 title 'Just a moment...'; Playwright ALSO 403 title 'Just a moment...' (confirmed both channels)</t>
        </is>
      </c>
      <c r="M74" s="13" t="inlineStr">
        <is>
          <t>ACCEPT</t>
        </is>
      </c>
      <c r="N74" s="13" t="inlineStr">
        <is>
          <t>B - moderate effort</t>
        </is>
      </c>
      <c r="O74" s="13" t="n">
        <v>4</v>
      </c>
      <c r="P74" s="13" t="inlineStr">
        <is>
          <t>Custom (Rohlik stack)</t>
        </is>
      </c>
      <c r="Q74" s="13" t="inlineStr"/>
      <c r="R74" s="13" t="inlineStr">
        <is>
          <t>/services/frontend-service/products</t>
        </is>
      </c>
      <c r="S74" s="13" t="inlineStr">
        <is>
          <t>current, was_price, unit_price, promo_end_date</t>
        </is>
      </c>
      <c r="T74" s="13" t="inlineStr">
        <is>
          <t>Rohlik-family German operation - SAME ADAPTER as Kifli.hu and Gurkerl.at. If you build the Rohlik adapter once you get Czechia, Slovakia, Hungary, Austria, Germany, Italy, Spain and Romania.</t>
        </is>
      </c>
      <c r="U74" s="13" t="inlineStr">
        <is>
          <t>-</t>
        </is>
      </c>
      <c r="V74" s="13" t="inlineStr">
        <is>
          <t>P8-EU</t>
        </is>
      </c>
    </row>
    <row r="75">
      <c r="A75" s="13" t="inlineStr">
        <is>
          <t>eca</t>
        </is>
      </c>
      <c r="B75" s="13" t="inlineStr">
        <is>
          <t>germany</t>
        </is>
      </c>
      <c r="C75" s="13" t="inlineStr">
        <is>
          <t>DEU</t>
        </is>
      </c>
      <c r="D75" s="13" t="inlineStr">
        <is>
          <t>Germany</t>
        </is>
      </c>
      <c r="E75" s="13" t="inlineStr">
        <is>
          <t>REWE Onlineshop</t>
        </is>
      </c>
      <c r="F75" s="13" t="inlineStr">
        <is>
          <t>https://shop.rewe.de/</t>
        </is>
      </c>
      <c r="G75" s="13" t="inlineStr">
        <is>
          <t>PROBED - SKIP</t>
        </is>
      </c>
      <c r="H75" s="13" t="inlineStr">
        <is>
          <t>SKIP</t>
        </is>
      </c>
      <c r="I75" s="13" t="inlineStr">
        <is>
          <t>high</t>
        </is>
      </c>
      <c r="J75" s="13" t="n">
        <v>0</v>
      </c>
      <c r="K75" s="13" t="inlineStr">
        <is>
          <t>blocked</t>
        </is>
      </c>
      <c r="L75" s="13" t="inlineStr">
        <is>
          <t>curl 403, 252KB body with a real-looking &lt;title&gt; but zero extractable price/product content matching known patterns</t>
        </is>
      </c>
      <c r="M75" s="13" t="inlineStr">
        <is>
          <t>SUSPECT</t>
        </is>
      </c>
      <c r="N75" s="13" t="inlineStr">
        <is>
          <t>D - hard / app / index only</t>
        </is>
      </c>
      <c r="O75" s="13" t="n">
        <v>2</v>
      </c>
      <c r="P75" s="13" t="inlineStr">
        <is>
          <t>Custom/Enterprise</t>
        </is>
      </c>
      <c r="Q75" s="13" t="inlineStr"/>
      <c r="R75" s="13" t="inlineStr">
        <is>
          <t>-</t>
        </is>
      </c>
      <c r="S75" s="13" t="inlineStr">
        <is>
          <t>current, unit_price, bonus_price</t>
        </is>
      </c>
      <c r="T75" s="13" t="inlineStr">
        <is>
          <t>Largest German full-assortment online grocer, nationwide, with REWE Bonus loyalty pricing.</t>
        </is>
      </c>
      <c r="U75" s="13" t="inlineStr">
        <is>
          <t>Enterprise stack behind a CDN; requires postcode/market selection first.</t>
        </is>
      </c>
      <c r="V75" s="13" t="inlineStr">
        <is>
          <t>P8-EU</t>
        </is>
      </c>
    </row>
    <row r="76">
      <c r="A76" s="13" t="inlineStr">
        <is>
          <t>eca</t>
        </is>
      </c>
      <c r="B76" s="13" t="inlineStr">
        <is>
          <t>germany</t>
        </is>
      </c>
      <c r="C76" s="13" t="inlineStr">
        <is>
          <t>DEU</t>
        </is>
      </c>
      <c r="D76" s="13" t="inlineStr">
        <is>
          <t>Germany</t>
        </is>
      </c>
      <c r="E76" s="13" t="inlineStr">
        <is>
          <t>Edeka24</t>
        </is>
      </c>
      <c r="F76" s="13" t="inlineStr">
        <is>
          <t>https://www.edeka24.de/</t>
        </is>
      </c>
      <c r="G76" s="13" t="inlineStr">
        <is>
          <t>PROBED - VIABLE</t>
        </is>
      </c>
      <c r="H76" s="13" t="inlineStr">
        <is>
          <t>TIER_1A</t>
        </is>
      </c>
      <c r="I76" s="13" t="inlineStr">
        <is>
          <t>low</t>
        </is>
      </c>
      <c r="J76" s="13" t="n">
        <v>70</v>
      </c>
      <c r="K76" s="13" t="inlineStr">
        <is>
          <t>SSR HTML</t>
        </is>
      </c>
      <c r="L76" s="13" t="inlineStr">
        <is>
          <t>curl 200, 1.45MB, real prices in raw HTML: '10,49 €', '20,98 €', '20,99 €', '2,49 €', '16,60 €'</t>
        </is>
      </c>
      <c r="M76" s="13" t="inlineStr">
        <is>
          <t>ACCEPT</t>
        </is>
      </c>
      <c r="N76" s="13" t="inlineStr">
        <is>
          <t>C - engineering required</t>
        </is>
      </c>
      <c r="O76" s="13" t="n">
        <v>3</v>
      </c>
      <c r="P76" s="13" t="inlineStr">
        <is>
          <t>Custom</t>
        </is>
      </c>
      <c r="Q76" s="13" t="inlineStr"/>
      <c r="R76" s="13" t="inlineStr">
        <is>
          <t>-</t>
        </is>
      </c>
      <c r="S76" s="13" t="inlineStr">
        <is>
          <t>current, unit_price</t>
        </is>
      </c>
      <c r="T76" s="13" t="inlineStr">
        <is>
          <t>Shelf-stable only (no fresh) but nationwide shipping - reaches rural Germany.</t>
        </is>
      </c>
      <c r="U76" s="13" t="inlineStr">
        <is>
          <t>No fresh products; basket not comparable to a full supermarket basket.</t>
        </is>
      </c>
      <c r="V76" s="13" t="inlineStr">
        <is>
          <t>P8-EU</t>
        </is>
      </c>
    </row>
    <row r="77">
      <c r="A77" s="13" t="inlineStr">
        <is>
          <t>eca</t>
        </is>
      </c>
      <c r="B77" s="13" t="inlineStr">
        <is>
          <t>germany</t>
        </is>
      </c>
      <c r="C77" s="13" t="inlineStr">
        <is>
          <t>DEU</t>
        </is>
      </c>
      <c r="D77" s="13" t="inlineStr">
        <is>
          <t>Germany</t>
        </is>
      </c>
      <c r="E77" s="13" t="inlineStr">
        <is>
          <t>Flaschenpost</t>
        </is>
      </c>
      <c r="F77" s="13" t="inlineStr">
        <is>
          <t>https://www.flaschenpost.de/</t>
        </is>
      </c>
      <c r="G77" s="13" t="inlineStr">
        <is>
          <t>PROBED - VIABLE</t>
        </is>
      </c>
      <c r="H77" s="13" t="inlineStr">
        <is>
          <t>TIER_2</t>
        </is>
      </c>
      <c r="I77" s="13" t="inlineStr">
        <is>
          <t>medium</t>
        </is>
      </c>
      <c r="J77" s="13" t="n">
        <v>0</v>
      </c>
      <c r="K77" s="13" t="inlineStr">
        <is>
          <t>not found</t>
        </is>
      </c>
      <c r="L77" s="13" t="inlineStr">
        <is>
          <t>curl 200, 2.5MB, no price pattern matched on homepage</t>
        </is>
      </c>
      <c r="M77" s="13" t="inlineStr">
        <is>
          <t>ACCEPT</t>
        </is>
      </c>
      <c r="N77" s="13" t="inlineStr">
        <is>
          <t>C - engineering required</t>
        </is>
      </c>
      <c r="O77" s="13" t="n">
        <v>3</v>
      </c>
      <c r="P77" s="13" t="inlineStr">
        <is>
          <t>Custom</t>
        </is>
      </c>
      <c r="Q77" s="13" t="inlineStr"/>
      <c r="R77" s="13" t="inlineStr">
        <is>
          <t>-</t>
        </is>
      </c>
      <c r="S77" s="13" t="inlineStr">
        <is>
          <t>current</t>
        </is>
      </c>
      <c r="T77" s="13" t="inlineStr">
        <is>
          <t>Beverage specialist, rapid delivery - good for COICOP 2.1/2.2 depth.</t>
        </is>
      </c>
      <c r="U77" s="13" t="inlineStr">
        <is>
          <t>-</t>
        </is>
      </c>
      <c r="V77" s="13" t="inlineStr">
        <is>
          <t>P8-EU</t>
        </is>
      </c>
    </row>
    <row r="78">
      <c r="A78" s="13" t="inlineStr">
        <is>
          <t>eca</t>
        </is>
      </c>
      <c r="B78" s="13" t="inlineStr">
        <is>
          <t>germany</t>
        </is>
      </c>
      <c r="C78" s="13" t="inlineStr">
        <is>
          <t>DEU</t>
        </is>
      </c>
      <c r="D78" s="13" t="inlineStr">
        <is>
          <t>Germany</t>
        </is>
      </c>
      <c r="E78" s="13" t="inlineStr">
        <is>
          <t>Liefershop.de</t>
        </is>
      </c>
      <c r="F78" s="13" t="inlineStr">
        <is>
          <t>https://www.liefershop.de/</t>
        </is>
      </c>
      <c r="G78" s="13" t="inlineStr">
        <is>
          <t>PROBED - VIABLE</t>
        </is>
      </c>
      <c r="H78" s="13" t="inlineStr">
        <is>
          <t>TIER_1B</t>
        </is>
      </c>
      <c r="I78" s="13" t="inlineStr">
        <is>
          <t>medium</t>
        </is>
      </c>
      <c r="J78" s="13" t="n">
        <v>60</v>
      </c>
      <c r="K78" s="13" t="inlineStr">
        <is>
          <t>/wp-json/wc/store/v1/products?per_page=N&amp;page=N</t>
        </is>
      </c>
      <c r="L78" s="13" t="inlineStr">
        <is>
          <t>WooCommerce Store API /wp-json/wc/store/v1/products confirmed working (HTTP 200). Page 1 returned mostly Juice Plus+ MLM products, but page 5 (offset) returned genuine F&amp;B SKUs: 'Lamotte &amp; Cie Champagne Brut', 'Tavernello Vino Rosato d'Italia', 'Kosakenkaffee', 'Carpe Diem Kombucha Classic', 'Saupiquet Thunfisch-Salat Mexicana', 'Küstengold Spargelabschnitte', 'Cinema Popcorn süss', 'Heisse Tasse Tomaten-Creme-Suppe', 'Nestlé Cerealien Mini Packs', 'Corny Müsli-Riegel'</t>
        </is>
      </c>
      <c r="M78" s="13" t="inlineStr">
        <is>
          <t>ACCEPT</t>
        </is>
      </c>
      <c r="N78" s="13" t="inlineStr">
        <is>
          <t>C - engineering required</t>
        </is>
      </c>
      <c r="O78" s="13" t="n">
        <v>3</v>
      </c>
      <c r="P78" s="13" t="inlineStr">
        <is>
          <t>Custom</t>
        </is>
      </c>
      <c r="Q78" s="13" t="inlineStr"/>
      <c r="R78" s="13" t="inlineStr">
        <is>
          <t>-</t>
        </is>
      </c>
      <c r="S78" s="13" t="inlineStr">
        <is>
          <t>current</t>
        </is>
      </c>
      <c r="T78" s="13" t="inlineStr">
        <is>
          <t>13,000+ products, Germany-wide, aggregating offers from named partners.</t>
        </is>
      </c>
      <c r="U78" s="13" t="inlineStr">
        <is>
          <t>Heavily Amazon-affiliate; verify prices are retailer prices not marketplace listings.</t>
        </is>
      </c>
      <c r="V78" s="13" t="inlineStr">
        <is>
          <t>P8-EU</t>
        </is>
      </c>
    </row>
    <row r="79">
      <c r="A79" s="13" t="inlineStr">
        <is>
          <t>eca</t>
        </is>
      </c>
      <c r="B79" s="13" t="inlineStr">
        <is>
          <t>germany</t>
        </is>
      </c>
      <c r="C79" s="13" t="inlineStr">
        <is>
          <t>DEU</t>
        </is>
      </c>
      <c r="D79" s="13" t="inlineStr">
        <is>
          <t>Germany</t>
        </is>
      </c>
      <c r="E79" s="13" t="inlineStr">
        <is>
          <t>Picnic Germany</t>
        </is>
      </c>
      <c r="F79" s="13" t="inlineStr">
        <is>
          <t>https://picnic.app/de/</t>
        </is>
      </c>
      <c r="G79" s="13" t="inlineStr">
        <is>
          <t>PROBED - VIABLE</t>
        </is>
      </c>
      <c r="H79" s="13" t="inlineStr">
        <is>
          <t>TIER_2</t>
        </is>
      </c>
      <c r="I79" s="13" t="inlineStr">
        <is>
          <t>medium</t>
        </is>
      </c>
      <c r="J79" s="13" t="n">
        <v>0</v>
      </c>
      <c r="K79" s="13" t="inlineStr">
        <is>
          <t>not checked</t>
        </is>
      </c>
      <c r="L79" s="13" t="inlineStr">
        <is>
          <t>curl 200, 57KB, real supermarket landing page (not blocked), prices not checked within budget</t>
        </is>
      </c>
      <c r="M79" s="13" t="inlineStr">
        <is>
          <t>ACCEPT</t>
        </is>
      </c>
      <c r="N79" s="13" t="inlineStr">
        <is>
          <t>C - engineering required</t>
        </is>
      </c>
      <c r="O79" s="13" t="n">
        <v>3</v>
      </c>
      <c r="P79" s="13" t="inlineStr">
        <is>
          <t>Custom</t>
        </is>
      </c>
      <c r="Q79" s="13" t="inlineStr"/>
      <c r="R79" s="13" t="inlineStr">
        <is>
          <t>-</t>
        </is>
      </c>
      <c r="S79" s="13" t="inlineStr">
        <is>
          <t>current</t>
        </is>
      </c>
      <c r="T79" s="13" t="inlineStr">
        <is>
          <t>Fixed-route delivery-only model; own pricing independent of the big chains.</t>
        </is>
      </c>
      <c r="U79" s="13" t="inlineStr">
        <is>
          <t>-</t>
        </is>
      </c>
      <c r="V79" s="13" t="inlineStr">
        <is>
          <t>P8-EU</t>
        </is>
      </c>
    </row>
    <row r="80">
      <c r="A80" s="13" t="inlineStr">
        <is>
          <t>eca</t>
        </is>
      </c>
      <c r="B80" s="13" t="inlineStr">
        <is>
          <t>germany</t>
        </is>
      </c>
      <c r="C80" s="13" t="inlineStr">
        <is>
          <t>DEU</t>
        </is>
      </c>
      <c r="D80" s="13" t="inlineStr">
        <is>
          <t>Germany</t>
        </is>
      </c>
      <c r="E80" s="13" t="inlineStr">
        <is>
          <t>getnow</t>
        </is>
      </c>
      <c r="F80" s="13" t="inlineStr">
        <is>
          <t>https://www.getnow.de/</t>
        </is>
      </c>
      <c r="G80" s="13" t="inlineStr">
        <is>
          <t>PROBED - VIABLE</t>
        </is>
      </c>
      <c r="H80" s="13" t="inlineStr">
        <is>
          <t>TIER_2</t>
        </is>
      </c>
      <c r="I80" s="13" t="inlineStr">
        <is>
          <t>medium</t>
        </is>
      </c>
      <c r="J80" s="13" t="n">
        <v>0</v>
      </c>
      <c r="K80" s="13" t="inlineStr">
        <is>
          <t>not resolved</t>
        </is>
      </c>
      <c r="L80" s="13" t="inlineStr">
        <is>
          <t>curl 301 redirect, not fully resolved within budget</t>
        </is>
      </c>
      <c r="M80" s="13" t="inlineStr">
        <is>
          <t>ACCEPT</t>
        </is>
      </c>
      <c r="N80" s="13" t="inlineStr">
        <is>
          <t>C - engineering required</t>
        </is>
      </c>
      <c r="O80" s="13" t="n">
        <v>3</v>
      </c>
      <c r="P80" s="13" t="inlineStr">
        <is>
          <t>Custom</t>
        </is>
      </c>
      <c r="Q80" s="13" t="inlineStr"/>
      <c r="R80" s="13" t="inlineStr">
        <is>
          <t>-</t>
        </is>
      </c>
      <c r="S80" s="13" t="inlineStr">
        <is>
          <t>current</t>
        </is>
      </c>
      <c r="T80" s="13" t="inlineStr">
        <is>
          <t>METRO-supplied online supermarket.</t>
        </is>
      </c>
      <c r="U80" s="13" t="inlineStr">
        <is>
          <t>-</t>
        </is>
      </c>
      <c r="V80" s="13" t="inlineStr">
        <is>
          <t>P8-EU</t>
        </is>
      </c>
    </row>
    <row r="81">
      <c r="A81" s="13" t="inlineStr">
        <is>
          <t>eca</t>
        </is>
      </c>
      <c r="B81" s="13" t="inlineStr">
        <is>
          <t>germany</t>
        </is>
      </c>
      <c r="C81" s="13" t="inlineStr">
        <is>
          <t>DEU</t>
        </is>
      </c>
      <c r="D81" s="13" t="inlineStr">
        <is>
          <t>Germany</t>
        </is>
      </c>
      <c r="E81" s="13" t="inlineStr">
        <is>
          <t>mytime.de</t>
        </is>
      </c>
      <c r="F81" s="13" t="inlineStr">
        <is>
          <t>https://www.mytime.de/</t>
        </is>
      </c>
      <c r="G81" s="13" t="inlineStr">
        <is>
          <t>PROBED - VIABLE</t>
        </is>
      </c>
      <c r="H81" s="13" t="inlineStr">
        <is>
          <t>TIER_2</t>
        </is>
      </c>
      <c r="I81" s="13" t="inlineStr">
        <is>
          <t>medium</t>
        </is>
      </c>
      <c r="J81" s="13" t="n">
        <v>40</v>
      </c>
      <c r="K81" s="13" t="inlineStr">
        <is>
          <t>not fully isolated</t>
        </is>
      </c>
      <c r="L81" s="13" t="inlineStr">
        <is>
          <t>curl 200, 300KB, some real prices found in raw HTML: '2,49 €', '3,49 €' mixed with '0,00 €' cart placeholders</t>
        </is>
      </c>
      <c r="M81" s="13" t="inlineStr">
        <is>
          <t>ACCEPT</t>
        </is>
      </c>
      <c r="N81" s="13" t="inlineStr">
        <is>
          <t>C - engineering required</t>
        </is>
      </c>
      <c r="O81" s="13" t="n">
        <v>3</v>
      </c>
      <c r="P81" s="13" t="inlineStr">
        <is>
          <t>Custom</t>
        </is>
      </c>
      <c r="Q81" s="13" t="inlineStr"/>
      <c r="R81" s="13" t="inlineStr">
        <is>
          <t>-</t>
        </is>
      </c>
      <c r="S81" s="13" t="inlineStr">
        <is>
          <t>current</t>
        </is>
      </c>
      <c r="T81" s="13" t="inlineStr">
        <is>
          <t>Full-assortment online supermarket, nationwide.</t>
        </is>
      </c>
      <c r="U81" s="13" t="inlineStr">
        <is>
          <t>-</t>
        </is>
      </c>
      <c r="V81" s="13" t="inlineStr">
        <is>
          <t>P8-EU</t>
        </is>
      </c>
    </row>
    <row r="82">
      <c r="A82" s="13" t="inlineStr">
        <is>
          <t>eca</t>
        </is>
      </c>
      <c r="B82" s="13" t="inlineStr">
        <is>
          <t>denmark</t>
        </is>
      </c>
      <c r="C82" s="13" t="inlineStr">
        <is>
          <t>DNK</t>
        </is>
      </c>
      <c r="D82" s="13" t="inlineStr">
        <is>
          <t>Denmark</t>
        </is>
      </c>
      <c r="E82" s="13" t="inlineStr">
        <is>
          <t>Nemlig.com</t>
        </is>
      </c>
      <c r="F82" s="13" t="inlineStr">
        <is>
          <t>https://www.nemlig.com/</t>
        </is>
      </c>
      <c r="G82" s="13" t="inlineStr">
        <is>
          <t>PROBED - SKIP</t>
        </is>
      </c>
      <c r="H82" s="13" t="inlineStr">
        <is>
          <t>SKIP</t>
        </is>
      </c>
      <c r="I82" s="13" t="inlineStr">
        <is>
          <t>high</t>
        </is>
      </c>
      <c r="J82" s="13" t="n">
        <v>0</v>
      </c>
      <c r="K82" s="13" t="inlineStr">
        <is>
          <t>blocked (Queue-it waiting room)</t>
        </is>
      </c>
      <c r="L82" s="13" t="inlineStr">
        <is>
          <t>curl exceeded max redirects (50) looping on https://www.nemlig.com/?queueittoken=e_nemligprod~ts_...~rt_safetynet~... - a Queue-it virtual waiting-room gate, not a normal WAF</t>
        </is>
      </c>
      <c r="M82" s="13" t="inlineStr">
        <is>
          <t>ACCEPT</t>
        </is>
      </c>
      <c r="N82" s="13" t="inlineStr">
        <is>
          <t>C - engineering required</t>
        </is>
      </c>
      <c r="O82" s="13" t="n">
        <v>3</v>
      </c>
      <c r="P82" s="13" t="inlineStr">
        <is>
          <t>Custom</t>
        </is>
      </c>
      <c r="Q82" s="13" t="inlineStr"/>
      <c r="R82" s="13" t="inlineStr">
        <is>
          <t>-</t>
        </is>
      </c>
      <c r="S82" s="13" t="inlineStr">
        <is>
          <t>current</t>
        </is>
      </c>
      <c r="T82" s="13" t="inlineStr">
        <is>
          <t>Denmark's dominant pure-play online grocer.</t>
        </is>
      </c>
      <c r="U82" s="13" t="inlineStr">
        <is>
          <t>-</t>
        </is>
      </c>
      <c r="V82" s="13" t="inlineStr">
        <is>
          <t>P8-EU</t>
        </is>
      </c>
    </row>
    <row r="83">
      <c r="A83" s="13" t="inlineStr">
        <is>
          <t>eca</t>
        </is>
      </c>
      <c r="B83" s="13" t="inlineStr">
        <is>
          <t>denmark</t>
        </is>
      </c>
      <c r="C83" s="13" t="inlineStr">
        <is>
          <t>DNK</t>
        </is>
      </c>
      <c r="D83" s="13" t="inlineStr">
        <is>
          <t>Denmark</t>
        </is>
      </c>
      <c r="E83" s="13" t="inlineStr">
        <is>
          <t>Rema 1000 DK</t>
        </is>
      </c>
      <c r="F83" s="13" t="inlineStr">
        <is>
          <t>https://shop.rema1000.dk/</t>
        </is>
      </c>
      <c r="G83" s="13" t="inlineStr">
        <is>
          <t>PROBED - SKIP</t>
        </is>
      </c>
      <c r="H83" s="13" t="inlineStr">
        <is>
          <t>SKIP</t>
        </is>
      </c>
      <c r="I83" s="13" t="inlineStr">
        <is>
          <t>high</t>
        </is>
      </c>
      <c r="J83" s="13" t="n">
        <v>0</v>
      </c>
      <c r="K83" s="13" t="inlineStr">
        <is>
          <t>blocked (geo-fence)</t>
        </is>
      </c>
      <c r="L83" s="13" t="inlineStr">
        <is>
          <t>curl 403, 41-byte body: 'This site is not available in your region'</t>
        </is>
      </c>
      <c r="M83" s="13" t="inlineStr">
        <is>
          <t>ACCEPT</t>
        </is>
      </c>
      <c r="N83" s="13" t="inlineStr">
        <is>
          <t>C - engineering required</t>
        </is>
      </c>
      <c r="O83" s="13" t="n">
        <v>3</v>
      </c>
      <c r="P83" s="13" t="inlineStr">
        <is>
          <t>Custom</t>
        </is>
      </c>
      <c r="Q83" s="13" t="inlineStr"/>
      <c r="R83" s="13" t="inlineStr">
        <is>
          <t>-</t>
        </is>
      </c>
      <c r="S83" s="13" t="inlineStr">
        <is>
          <t>current</t>
        </is>
      </c>
      <c r="T83" s="13" t="inlineStr">
        <is>
          <t>Discounter - Danish value tier.</t>
        </is>
      </c>
      <c r="U83" s="13" t="inlineStr">
        <is>
          <t>-</t>
        </is>
      </c>
      <c r="V83" s="13" t="inlineStr">
        <is>
          <t>P8-EU</t>
        </is>
      </c>
    </row>
    <row r="84">
      <c r="A84" s="13" t="inlineStr">
        <is>
          <t>eca</t>
        </is>
      </c>
      <c r="B84" s="13" t="inlineStr">
        <is>
          <t>denmark</t>
        </is>
      </c>
      <c r="C84" s="13" t="inlineStr">
        <is>
          <t>DNK</t>
        </is>
      </c>
      <c r="D84" s="13" t="inlineStr">
        <is>
          <t>Denmark</t>
        </is>
      </c>
      <c r="E84" s="13" t="inlineStr">
        <is>
          <t>Bilka ToGo</t>
        </is>
      </c>
      <c r="F84" s="13" t="inlineStr">
        <is>
          <t>https://www.bilkatogo.dk/</t>
        </is>
      </c>
      <c r="G84" s="13" t="inlineStr">
        <is>
          <t>PROBED - VIABLE</t>
        </is>
      </c>
      <c r="H84" s="13" t="inlineStr">
        <is>
          <t>TIER_2</t>
        </is>
      </c>
      <c r="I84" s="13" t="inlineStr">
        <is>
          <t>medium</t>
        </is>
      </c>
      <c r="J84" s="13" t="n">
        <v>0</v>
      </c>
      <c r="K84" s="13" t="inlineStr">
        <is>
          <t>not found (Algolia key not extracted)</t>
        </is>
      </c>
      <c r="L84" s="13" t="inlineStr">
        <is>
          <t>curl 200, 88KB, Nuxt + Algolia detected on homepage; no Algolia app-id/key found in this pass, no category evidence captured</t>
        </is>
      </c>
      <c r="M84" s="13" t="inlineStr">
        <is>
          <t>ACCEPT</t>
        </is>
      </c>
      <c r="N84" s="13" t="inlineStr">
        <is>
          <t>C - engineering required</t>
        </is>
      </c>
      <c r="O84" s="13" t="n">
        <v>3</v>
      </c>
      <c r="P84" s="13" t="inlineStr">
        <is>
          <t>Custom</t>
        </is>
      </c>
      <c r="Q84" s="13" t="inlineStr"/>
      <c r="R84" s="13" t="inlineStr">
        <is>
          <t>-</t>
        </is>
      </c>
      <c r="S84" s="13" t="inlineStr">
        <is>
          <t>current</t>
        </is>
      </c>
      <c r="T84" s="13" t="inlineStr">
        <is>
          <t>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84" s="13" t="inlineStr">
        <is>
          <t>-</t>
        </is>
      </c>
      <c r="V84" s="13" t="inlineStr">
        <is>
          <t>P8-EU</t>
        </is>
      </c>
    </row>
    <row r="85">
      <c r="A85" s="13" t="inlineStr">
        <is>
          <t>eca</t>
        </is>
      </c>
      <c r="B85" s="13" t="inlineStr">
        <is>
          <t>denmark</t>
        </is>
      </c>
      <c r="C85" s="13" t="inlineStr">
        <is>
          <t>DNK</t>
        </is>
      </c>
      <c r="D85" s="13" t="inlineStr">
        <is>
          <t>Denmark</t>
        </is>
      </c>
      <c r="E85" s="13" t="inlineStr">
        <is>
          <t>Coop.dk MAD</t>
        </is>
      </c>
      <c r="F85" s="13" t="inlineStr">
        <is>
          <t>https://mad.coop.dk/</t>
        </is>
      </c>
      <c r="G85" s="13" t="inlineStr">
        <is>
          <t>PROBED - VIABLE</t>
        </is>
      </c>
      <c r="H85" s="13" t="inlineStr">
        <is>
          <t>TIER_2</t>
        </is>
      </c>
      <c r="I85" s="13" t="inlineStr">
        <is>
          <t>medium</t>
        </is>
      </c>
      <c r="J85" s="13" t="n">
        <v>0</v>
      </c>
      <c r="K85" s="13" t="inlineStr">
        <is>
          <t>not found</t>
        </is>
      </c>
      <c r="L85" s="13" t="inlineStr">
        <is>
          <t>curl 301 -&gt; follows to https://coop.dk/mad/, 135KB, no F&amp;B category or price evidence found in nav grep (only corporate/careers menu items)</t>
        </is>
      </c>
      <c r="M85" s="13" t="inlineStr">
        <is>
          <t>ACCEPT</t>
        </is>
      </c>
      <c r="N85" s="13" t="inlineStr">
        <is>
          <t>C - engineering required</t>
        </is>
      </c>
      <c r="O85" s="13" t="n">
        <v>3</v>
      </c>
      <c r="P85" s="13" t="inlineStr">
        <is>
          <t>Custom</t>
        </is>
      </c>
      <c r="Q85" s="13" t="inlineStr"/>
      <c r="R85" s="13" t="inlineStr">
        <is>
          <t>-</t>
        </is>
      </c>
      <c r="S85" s="13" t="inlineStr">
        <is>
          <t>current</t>
        </is>
      </c>
      <c r="T85" s="13" t="inlineStr">
        <is>
          <t>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85" s="13" t="inlineStr">
        <is>
          <t>-</t>
        </is>
      </c>
      <c r="V85" s="13" t="inlineStr">
        <is>
          <t>P8-EU</t>
        </is>
      </c>
    </row>
    <row r="86">
      <c r="A86" s="13" t="inlineStr">
        <is>
          <t>eca</t>
        </is>
      </c>
      <c r="B86" s="13" t="inlineStr">
        <is>
          <t>denmark</t>
        </is>
      </c>
      <c r="C86" s="13" t="inlineStr">
        <is>
          <t>DNK</t>
        </is>
      </c>
      <c r="D86" s="13" t="inlineStr">
        <is>
          <t>Denmark</t>
        </is>
      </c>
      <c r="E86" s="13" t="inlineStr">
        <is>
          <t>Foetex</t>
        </is>
      </c>
      <c r="F86" s="13" t="inlineStr">
        <is>
          <t>https://www.foetex.dk/</t>
        </is>
      </c>
      <c r="G86" s="13" t="inlineStr">
        <is>
          <t>PROBED - VIABLE</t>
        </is>
      </c>
      <c r="H86" s="13" t="inlineStr">
        <is>
          <t>TIER_2</t>
        </is>
      </c>
      <c r="I86" s="13" t="inlineStr">
        <is>
          <t>medium</t>
        </is>
      </c>
      <c r="J86" s="13" t="n">
        <v>0</v>
      </c>
      <c r="K86" s="13" t="inlineStr">
        <is>
          <t>not found (guess 404'd)</t>
        </is>
      </c>
      <c r="L86" s="13" t="inlineStr">
        <is>
          <t>curl 200, 174KB, Nuxt detected; nav grep found mostly non-food category names (yarn/sewing, lamps, gift categories) with no F&amp;B categories visible pre-render; a guessed category URL 404'd</t>
        </is>
      </c>
      <c r="M86" s="13" t="inlineStr">
        <is>
          <t>ACCEPT</t>
        </is>
      </c>
      <c r="N86" s="13" t="inlineStr">
        <is>
          <t>C - engineering required</t>
        </is>
      </c>
      <c r="O86" s="13" t="n">
        <v>3</v>
      </c>
      <c r="P86" s="13" t="inlineStr">
        <is>
          <t>Custom</t>
        </is>
      </c>
      <c r="Q86" s="13" t="inlineStr"/>
      <c r="R86" s="13" t="inlineStr">
        <is>
          <t>-</t>
        </is>
      </c>
      <c r="S86" s="13" t="inlineStr">
        <is>
          <t>current</t>
        </is>
      </c>
      <c r="T86" s="13" t="inlineStr">
        <is>
          <t>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86" s="13" t="inlineStr">
        <is>
          <t>-</t>
        </is>
      </c>
      <c r="V86" s="13" t="inlineStr">
        <is>
          <t>P8-EU</t>
        </is>
      </c>
    </row>
    <row r="87">
      <c r="A87" s="13" t="inlineStr">
        <is>
          <t>eca</t>
        </is>
      </c>
      <c r="B87" s="13" t="inlineStr">
        <is>
          <t>spain</t>
        </is>
      </c>
      <c r="C87" s="13" t="inlineStr">
        <is>
          <t>ESP</t>
        </is>
      </c>
      <c r="D87" s="13" t="inlineStr">
        <is>
          <t>Spain</t>
        </is>
      </c>
      <c r="E87" s="13" t="inlineStr">
        <is>
          <t>Alcampo</t>
        </is>
      </c>
      <c r="F87" s="13" t="inlineStr">
        <is>
          <t>https://www.compraonline.alcampo.es/</t>
        </is>
      </c>
      <c r="G87" s="13" t="inlineStr">
        <is>
          <t>NOT PROBED - deduped, already onboarded, or time-boxed</t>
        </is>
      </c>
      <c r="H87" s="13" t="inlineStr"/>
      <c r="I87" s="13" t="inlineStr"/>
      <c r="J87" s="13" t="inlineStr"/>
      <c r="K87" s="13" t="inlineStr"/>
      <c r="L87" s="13" t="inlineStr"/>
      <c r="M87" s="13" t="inlineStr">
        <is>
          <t>SUSPECT</t>
        </is>
      </c>
      <c r="N87" s="13" t="inlineStr">
        <is>
          <t>D - hard / app / index only</t>
        </is>
      </c>
      <c r="O87" s="13" t="n">
        <v>2</v>
      </c>
      <c r="P87" s="13" t="inlineStr">
        <is>
          <t>Custom/Enterprise</t>
        </is>
      </c>
      <c r="Q87" s="13" t="inlineStr"/>
      <c r="R87" s="13" t="inlineStr">
        <is>
          <t>-</t>
        </is>
      </c>
      <c r="S87" s="13" t="inlineStr">
        <is>
          <t>current</t>
        </is>
      </c>
      <c r="T87" s="13" t="inlineStr">
        <is>
          <t>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87" s="13" t="inlineStr">
        <is>
          <t>-</t>
        </is>
      </c>
      <c r="V87" s="13" t="inlineStr">
        <is>
          <t>P8-EU</t>
        </is>
      </c>
    </row>
    <row r="88">
      <c r="A88" s="13" t="inlineStr">
        <is>
          <t>eca</t>
        </is>
      </c>
      <c r="B88" s="13" t="inlineStr">
        <is>
          <t>spain</t>
        </is>
      </c>
      <c r="C88" s="13" t="inlineStr">
        <is>
          <t>ESP</t>
        </is>
      </c>
      <c r="D88" s="13" t="inlineStr">
        <is>
          <t>Spain</t>
        </is>
      </c>
      <c r="E88" s="13" t="inlineStr">
        <is>
          <t>El Corte Ingles Supermercado</t>
        </is>
      </c>
      <c r="F88" s="13" t="inlineStr">
        <is>
          <t>https://www.elcorteingles.es/supermercado/</t>
        </is>
      </c>
      <c r="G88" s="13" t="inlineStr">
        <is>
          <t>NOT PROBED - deduped, already onboarded, or time-boxed</t>
        </is>
      </c>
      <c r="H88" s="13" t="inlineStr"/>
      <c r="I88" s="13" t="inlineStr"/>
      <c r="J88" s="13" t="inlineStr"/>
      <c r="K88" s="13" t="inlineStr"/>
      <c r="L88" s="13" t="inlineStr"/>
      <c r="M88" s="13" t="inlineStr">
        <is>
          <t>SUSPECT</t>
        </is>
      </c>
      <c r="N88" s="13" t="inlineStr">
        <is>
          <t>D - hard / app / index only</t>
        </is>
      </c>
      <c r="O88" s="13" t="n">
        <v>2</v>
      </c>
      <c r="P88" s="13" t="inlineStr">
        <is>
          <t>Custom/Enterprise</t>
        </is>
      </c>
      <c r="Q88" s="13" t="inlineStr"/>
      <c r="R88" s="13" t="inlineStr">
        <is>
          <t>-</t>
        </is>
      </c>
      <c r="S88" s="13" t="inlineStr">
        <is>
          <t>current</t>
        </is>
      </c>
      <c r="T88" s="13" t="inlineStr">
        <is>
          <t>Premium tier - upper bound of the Spanish distribution.</t>
        </is>
      </c>
      <c r="U88" s="13" t="inlineStr">
        <is>
          <t>-</t>
        </is>
      </c>
      <c r="V88" s="13" t="inlineStr">
        <is>
          <t>P8-EU</t>
        </is>
      </c>
    </row>
    <row r="89">
      <c r="A89" s="13" t="inlineStr">
        <is>
          <t>eca</t>
        </is>
      </c>
      <c r="B89" s="13" t="inlineStr">
        <is>
          <t>spain</t>
        </is>
      </c>
      <c r="C89" s="13" t="inlineStr">
        <is>
          <t>ESP</t>
        </is>
      </c>
      <c r="D89" s="13" t="inlineStr">
        <is>
          <t>Spain</t>
        </is>
      </c>
      <c r="E89" s="13" t="inlineStr">
        <is>
          <t>Lidl Spain</t>
        </is>
      </c>
      <c r="F89" s="13" t="inlineStr">
        <is>
          <t>https://www.lidl.es/</t>
        </is>
      </c>
      <c r="G89" s="13" t="inlineStr">
        <is>
          <t>NOT PROBED - deduped, already onboarded, or time-boxed</t>
        </is>
      </c>
      <c r="H89" s="13" t="inlineStr"/>
      <c r="I89" s="13" t="inlineStr"/>
      <c r="J89" s="13" t="inlineStr"/>
      <c r="K89" s="13" t="inlineStr"/>
      <c r="L89" s="13" t="inlineStr"/>
      <c r="M89" s="13" t="inlineStr">
        <is>
          <t>SUSPECT</t>
        </is>
      </c>
      <c r="N89" s="13" t="inlineStr">
        <is>
          <t>D - hard / app / index only</t>
        </is>
      </c>
      <c r="O89" s="13" t="n">
        <v>2</v>
      </c>
      <c r="P89" s="13" t="inlineStr">
        <is>
          <t>Custom/Enterprise</t>
        </is>
      </c>
      <c r="Q89" s="13" t="inlineStr"/>
      <c r="R89" s="13" t="inlineStr">
        <is>
          <t>-</t>
        </is>
      </c>
      <c r="S89" s="13" t="inlineStr">
        <is>
          <t>promo</t>
        </is>
      </c>
      <c r="T89" s="13" t="inlineStr">
        <is>
          <t>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89" s="13" t="inlineStr">
        <is>
          <t>Leaflet-led.</t>
        </is>
      </c>
      <c r="V89" s="13" t="inlineStr">
        <is>
          <t>P8-EU</t>
        </is>
      </c>
    </row>
    <row r="90">
      <c r="A90" s="13" t="inlineStr">
        <is>
          <t>eca</t>
        </is>
      </c>
      <c r="B90" s="13" t="inlineStr">
        <is>
          <t>spain</t>
        </is>
      </c>
      <c r="C90" s="13" t="inlineStr">
        <is>
          <t>ESP</t>
        </is>
      </c>
      <c r="D90" s="13" t="inlineStr">
        <is>
          <t>Spain</t>
        </is>
      </c>
      <c r="E90" s="13" t="inlineStr">
        <is>
          <t>losmejoresproductos.es comparativas</t>
        </is>
      </c>
      <c r="F90" s="13" t="inlineStr">
        <is>
          <t>https://losmejoresproductos.es/comparativas/</t>
        </is>
      </c>
      <c r="G90" s="13" t="inlineStr">
        <is>
          <t>NOT PROBED - deduped, already onboarded, or time-boxed</t>
        </is>
      </c>
      <c r="H90" s="13" t="inlineStr"/>
      <c r="I90" s="13" t="inlineStr"/>
      <c r="J90" s="13" t="inlineStr"/>
      <c r="K90" s="13" t="inlineStr"/>
      <c r="L90" s="13" t="inlineStr"/>
      <c r="M90" s="13" t="inlineStr">
        <is>
          <t>ACCEPT</t>
        </is>
      </c>
      <c r="N90" s="13" t="inlineStr">
        <is>
          <t>C - engineering required</t>
        </is>
      </c>
      <c r="O90" s="13" t="n">
        <v>3</v>
      </c>
      <c r="P90" s="13" t="inlineStr">
        <is>
          <t>Custom</t>
        </is>
      </c>
      <c r="Q90" s="13" t="inlineStr"/>
      <c r="R90" s="13" t="inlineStr">
        <is>
          <t>-</t>
        </is>
      </c>
      <c r="S90" s="13" t="inlineStr">
        <is>
          <t>price_per_retailer</t>
        </is>
      </c>
      <c r="T90" s="13" t="inlineStr">
        <is>
          <t>Methodologically careful: tracks 832 IDENTICAL products (same brand, format, size) sold in two or more chains, updated daily, with head-to-head win counts (Mercadona vs DIA vs Carrefour). Matched-product discipline is exactly right for price comparison.</t>
        </is>
      </c>
      <c r="U90" s="13" t="inlineStr">
        <is>
          <t>-</t>
        </is>
      </c>
      <c r="V90" s="13" t="inlineStr">
        <is>
          <t>P8-EU</t>
        </is>
      </c>
    </row>
    <row r="91">
      <c r="A91" s="13" t="inlineStr">
        <is>
          <t>eca</t>
        </is>
      </c>
      <c r="B91" s="13" t="inlineStr">
        <is>
          <t>spain</t>
        </is>
      </c>
      <c r="C91" s="13" t="inlineStr">
        <is>
          <t>ESP</t>
        </is>
      </c>
      <c r="D91" s="13" t="inlineStr">
        <is>
          <t>Spain</t>
        </is>
      </c>
      <c r="E91" s="13" t="inlineStr">
        <is>
          <t>Carrefour Spain</t>
        </is>
      </c>
      <c r="F91" s="13" t="inlineStr">
        <is>
          <t>https://www.carrefour.es/supermercado</t>
        </is>
      </c>
      <c r="G91" s="13" t="inlineStr">
        <is>
          <t>PROBED - SKIP</t>
        </is>
      </c>
      <c r="H91" s="13" t="inlineStr">
        <is>
          <t>SKIP</t>
        </is>
      </c>
      <c r="I91" s="13" t="inlineStr">
        <is>
          <t>high</t>
        </is>
      </c>
      <c r="J91" s="13" t="n">
        <v>0</v>
      </c>
      <c r="K91" s="13" t="inlineStr"/>
      <c r="L91" s="13" t="inlineStr">
        <is>
          <t>Carrefour.es GET -&gt; 403, IE6/IE7-branch bot-challenge page (same shape as carrefour.pl/asda.com). Elcorteingles.es GET -&gt; 403, 391-byte 'Access Denied' Akamai-style body.</t>
        </is>
      </c>
      <c r="M91" s="13" t="inlineStr">
        <is>
          <t>SUSPECT</t>
        </is>
      </c>
      <c r="N91" s="13" t="inlineStr">
        <is>
          <t>D - hard / app / index only</t>
        </is>
      </c>
      <c r="O91" s="13" t="n">
        <v>2</v>
      </c>
      <c r="P91" s="13" t="inlineStr">
        <is>
          <t>Custom/Enterprise</t>
        </is>
      </c>
      <c r="Q91" s="13" t="inlineStr"/>
      <c r="R91" s="13" t="inlineStr">
        <is>
          <t>-</t>
        </is>
      </c>
      <c r="S91" s="13" t="inlineStr">
        <is>
          <t>current, unit_price, club_price</t>
        </is>
      </c>
      <c r="T91" s="13" t="inlineStr">
        <is>
          <t>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91" s="13" t="inlineStr">
        <is>
          <t>-</t>
        </is>
      </c>
      <c r="V91" s="13" t="inlineStr">
        <is>
          <t>P8-EU</t>
        </is>
      </c>
    </row>
    <row r="92">
      <c r="A92" s="13" t="inlineStr">
        <is>
          <t>eca</t>
        </is>
      </c>
      <c r="B92" s="13" t="inlineStr">
        <is>
          <t>spain</t>
        </is>
      </c>
      <c r="C92" s="13" t="inlineStr">
        <is>
          <t>ESP</t>
        </is>
      </c>
      <c r="D92" s="13" t="inlineStr">
        <is>
          <t>Spain</t>
        </is>
      </c>
      <c r="E92" s="13" t="inlineStr">
        <is>
          <t>Consum</t>
        </is>
      </c>
      <c r="F92" s="13" t="inlineStr">
        <is>
          <t>https://tienda.consum.es/</t>
        </is>
      </c>
      <c r="G92" s="13" t="inlineStr">
        <is>
          <t>PROBED - SKIP</t>
        </is>
      </c>
      <c r="H92" s="13" t="inlineStr">
        <is>
          <t>SKIP</t>
        </is>
      </c>
      <c r="I92" s="13" t="inlineStr">
        <is>
          <t>high</t>
        </is>
      </c>
      <c r="J92" s="13" t="n">
        <v>0</v>
      </c>
      <c r="K92" s="13" t="inlineStr"/>
      <c r="L92" s="13" t="inlineStr">
        <is>
          <t>GET -&gt; 403, 861-byte body with '_Incapsula_Resource' iframe stub, same shape as Coop NL/PLUS/Coop UK.</t>
        </is>
      </c>
      <c r="M92" s="13" t="inlineStr">
        <is>
          <t>ACCEPT</t>
        </is>
      </c>
      <c r="N92" s="13" t="inlineStr">
        <is>
          <t>C - engineering required</t>
        </is>
      </c>
      <c r="O92" s="13" t="n">
        <v>3</v>
      </c>
      <c r="P92" s="13" t="inlineStr">
        <is>
          <t>Custom</t>
        </is>
      </c>
      <c r="Q92" s="13" t="inlineStr"/>
      <c r="R92" s="13" t="inlineStr">
        <is>
          <t>-</t>
        </is>
      </c>
      <c r="S92" s="13" t="inlineStr">
        <is>
          <t>current</t>
        </is>
      </c>
      <c r="T92" s="13" t="inlineStr">
        <is>
          <t>Valencian cooperative - regional coverage the nationals miss.</t>
        </is>
      </c>
      <c r="U92" s="13" t="inlineStr">
        <is>
          <t>-</t>
        </is>
      </c>
      <c r="V92" s="13" t="inlineStr">
        <is>
          <t>P8-EU</t>
        </is>
      </c>
    </row>
    <row r="93">
      <c r="A93" s="13" t="inlineStr">
        <is>
          <t>eca</t>
        </is>
      </c>
      <c r="B93" s="13" t="inlineStr">
        <is>
          <t>spain</t>
        </is>
      </c>
      <c r="C93" s="13" t="inlineStr">
        <is>
          <t>ESP</t>
        </is>
      </c>
      <c r="D93" s="13" t="inlineStr">
        <is>
          <t>Spain</t>
        </is>
      </c>
      <c r="E93" s="13" t="inlineStr">
        <is>
          <t>Sezamo.es</t>
        </is>
      </c>
      <c r="F93" s="13" t="inlineStr">
        <is>
          <t>https://www.sezamo.es/</t>
        </is>
      </c>
      <c r="G93" s="13" t="inlineStr">
        <is>
          <t>PROBED - SKIP</t>
        </is>
      </c>
      <c r="H93" s="13" t="inlineStr">
        <is>
          <t>SKIP</t>
        </is>
      </c>
      <c r="I93" s="13" t="inlineStr">
        <is>
          <t>high</t>
        </is>
      </c>
      <c r="J93" s="13" t="n">
        <v>0</v>
      </c>
      <c r="K93" s="13" t="inlineStr"/>
      <c r="L93" s="13" t="inlineStr">
        <is>
          <t>GET https://sezamo.es/ (no www) -&gt; connection timeout (curl exit 28, 000). GET https://www.sezamo.es/ -&gt; 404. Same Rohlik-family stack as rohlik.cz which is confirmed Cloudflare-challenged.</t>
        </is>
      </c>
      <c r="M93" s="13" t="inlineStr">
        <is>
          <t>ACCEPT</t>
        </is>
      </c>
      <c r="N93" s="13" t="inlineStr">
        <is>
          <t>B - moderate effort</t>
        </is>
      </c>
      <c r="O93" s="13" t="n">
        <v>4</v>
      </c>
      <c r="P93" s="13" t="inlineStr">
        <is>
          <t>Custom (Rohlik stack)</t>
        </is>
      </c>
      <c r="Q93" s="13" t="inlineStr"/>
      <c r="R93" s="13" t="inlineStr">
        <is>
          <t>/services/frontend-service/products</t>
        </is>
      </c>
      <c r="S93" s="13" t="inlineStr">
        <is>
          <t>current, was_price, unit_price</t>
        </is>
      </c>
      <c r="T93" s="13" t="inlineStr">
        <is>
          <t>Rohlik-family Spain.</t>
        </is>
      </c>
      <c r="U93" s="13" t="inlineStr">
        <is>
          <t>-</t>
        </is>
      </c>
      <c r="V93" s="13" t="inlineStr">
        <is>
          <t>P8-EU</t>
        </is>
      </c>
    </row>
    <row r="94">
      <c r="A94" s="13" t="inlineStr">
        <is>
          <t>eca</t>
        </is>
      </c>
      <c r="B94" s="13" t="inlineStr">
        <is>
          <t>spain</t>
        </is>
      </c>
      <c r="C94" s="13" t="inlineStr">
        <is>
          <t>ESP</t>
        </is>
      </c>
      <c r="D94" s="13" t="inlineStr">
        <is>
          <t>Spain</t>
        </is>
      </c>
      <c r="E94" s="13" t="inlineStr">
        <is>
          <t>Cartio</t>
        </is>
      </c>
      <c r="F94" s="13" t="inlineStr">
        <is>
          <t>https://cartio.es/landing/</t>
        </is>
      </c>
      <c r="G94" s="13" t="inlineStr">
        <is>
          <t>PROBED - VIABLE</t>
        </is>
      </c>
      <c r="H94" s="13" t="inlineStr">
        <is>
          <t>TIER_1A</t>
        </is>
      </c>
      <c r="I94" s="13" t="inlineStr">
        <is>
          <t>low</t>
        </is>
      </c>
      <c r="J94" s="13" t="n">
        <v>130</v>
      </c>
      <c r="K94" s="13" t="inlineStr">
        <is>
          <t>SSR landing HTML</t>
        </is>
      </c>
      <c r="L94" s="13" t="inlineStr">
        <is>
          <t>GET -&gt; 200, 120KB SSR. Direct prices '6,99€' / '0,31€' / '1,95€' in HTML.</t>
        </is>
      </c>
      <c r="M94" s="13" t="inlineStr">
        <is>
          <t>ACCEPT</t>
        </is>
      </c>
      <c r="N94" s="13" t="inlineStr">
        <is>
          <t>C - engineering required</t>
        </is>
      </c>
      <c r="O94" s="13" t="n">
        <v>3</v>
      </c>
      <c r="P94" s="13" t="inlineStr">
        <is>
          <t>Custom</t>
        </is>
      </c>
      <c r="Q94" s="13" t="inlineStr"/>
      <c r="R94" s="13" t="inlineStr">
        <is>
          <t>-</t>
        </is>
      </c>
      <c r="S94" s="13" t="inlineStr">
        <is>
          <t>basket_total</t>
        </is>
      </c>
      <c r="T94" s="13" t="inlineStr">
        <is>
          <t>Basket-level comparison across Mercadona, Carrefour, Lidl, Alcampo.</t>
        </is>
      </c>
      <c r="U94" s="13" t="inlineStr">
        <is>
          <t>Account required.</t>
        </is>
      </c>
      <c r="V94" s="13" t="inlineStr">
        <is>
          <t>P8-EU</t>
        </is>
      </c>
    </row>
    <row r="95">
      <c r="A95" s="13" t="inlineStr">
        <is>
          <t>eca</t>
        </is>
      </c>
      <c r="B95" s="13" t="inlineStr">
        <is>
          <t>spain</t>
        </is>
      </c>
      <c r="C95" s="13" t="inlineStr">
        <is>
          <t>ESP</t>
        </is>
      </c>
      <c r="D95" s="13" t="inlineStr">
        <is>
          <t>Spain</t>
        </is>
      </c>
      <c r="E95" s="13" t="inlineStr">
        <is>
          <t>Comparaloo</t>
        </is>
      </c>
      <c r="F95" s="13" t="inlineStr">
        <is>
          <t>https://comparaloo.es/</t>
        </is>
      </c>
      <c r="G95" s="13" t="inlineStr">
        <is>
          <t>PROBED - VIABLE</t>
        </is>
      </c>
      <c r="H95" s="13" t="inlineStr">
        <is>
          <t>TIER_2</t>
        </is>
      </c>
      <c r="I95" s="13" t="inlineStr">
        <is>
          <t>medium</t>
        </is>
      </c>
      <c r="J95" s="13" t="n">
        <v>0</v>
      </c>
      <c r="K95" s="13" t="inlineStr"/>
      <c r="L95" s="13" t="inlineStr">
        <is>
          <t>All 4 GET -&gt; 200 (382KB / 31KB / 688KB / 197KB), none WAF-blocked, but Alcampo showed only '0,00€' placeholders and the other 3 had no price pattern match on the fetched page.</t>
        </is>
      </c>
      <c r="M95" s="13" t="inlineStr">
        <is>
          <t>ACCEPT</t>
        </is>
      </c>
      <c r="N95" s="13" t="inlineStr">
        <is>
          <t>C - engineering required</t>
        </is>
      </c>
      <c r="O95" s="13" t="n">
        <v>3</v>
      </c>
      <c r="P95" s="13" t="inlineStr">
        <is>
          <t>Custom</t>
        </is>
      </c>
      <c r="Q95" s="13" t="inlineStr"/>
      <c r="R95" s="13" t="inlineStr">
        <is>
          <t>-</t>
        </is>
      </c>
      <c r="S95" s="13" t="inlineStr">
        <is>
          <t>current, price_history, fake_discount_flag</t>
        </is>
      </c>
      <c r="T95" s="13" t="inlineStr">
        <is>
          <t>84 stores. Has an explicit FALSE-DISCOUNT DETECTOR that shows the price history and flags artificial pre-sale price inflation - i.e. it is independently policing Omnibus Art.6a compliance. Its worked example shows a 45% artificial hike 3 days before a '-30%' sale.</t>
        </is>
      </c>
      <c r="U95" s="13" t="inlineStr">
        <is>
          <t>Detector is the point of interest, not the catalogue.</t>
        </is>
      </c>
      <c r="V95" s="13" t="inlineStr">
        <is>
          <t>P8-EU</t>
        </is>
      </c>
    </row>
    <row r="96">
      <c r="A96" s="13" t="inlineStr">
        <is>
          <t>eca</t>
        </is>
      </c>
      <c r="B96" s="13" t="inlineStr">
        <is>
          <t>spain</t>
        </is>
      </c>
      <c r="C96" s="13" t="inlineStr">
        <is>
          <t>ESP</t>
        </is>
      </c>
      <c r="D96" s="13" t="inlineStr">
        <is>
          <t>Spain</t>
        </is>
      </c>
      <c r="E96" s="13" t="inlineStr">
        <is>
          <t>Dia</t>
        </is>
      </c>
      <c r="F96" s="13" t="inlineStr">
        <is>
          <t>https://www.dia.es/</t>
        </is>
      </c>
      <c r="G96" s="13" t="inlineStr">
        <is>
          <t>PROBED - VIABLE</t>
        </is>
      </c>
      <c r="H96" s="13" t="inlineStr">
        <is>
          <t>TIER_1A</t>
        </is>
      </c>
      <c r="I96" s="13" t="inlineStr">
        <is>
          <t>low</t>
        </is>
      </c>
      <c r="J96" s="13" t="n">
        <v>140</v>
      </c>
      <c r="K96" s="13" t="inlineStr">
        <is>
          <t>SSR homepage/category HTML</t>
        </is>
      </c>
      <c r="L96" s="13" t="inlineStr">
        <is>
          <t>GET -&gt; 200, 218KB SSR. Direct price '4,99€' in HTML.</t>
        </is>
      </c>
      <c r="M96" s="13" t="inlineStr">
        <is>
          <t>ACCEPT</t>
        </is>
      </c>
      <c r="N96" s="13" t="inlineStr">
        <is>
          <t>C - engineering required</t>
        </is>
      </c>
      <c r="O96" s="13" t="n">
        <v>3</v>
      </c>
      <c r="P96" s="13" t="inlineStr">
        <is>
          <t>Custom</t>
        </is>
      </c>
      <c r="Q96" s="13" t="inlineStr"/>
      <c r="R96" s="13" t="inlineStr">
        <is>
          <t>-</t>
        </is>
      </c>
      <c r="S96" s="13" t="inlineStr">
        <is>
          <t>current</t>
        </is>
      </c>
      <c r="T96" s="13" t="inlineStr">
        <is>
          <t>Discounter. Independent tracking (832 matched products) finds DIA wins most head-to-heads against both Mercadona and Carrefour.</t>
        </is>
      </c>
      <c r="U96" s="13" t="inlineStr">
        <is>
          <t>-</t>
        </is>
      </c>
      <c r="V96" s="13" t="inlineStr">
        <is>
          <t>P8-EU</t>
        </is>
      </c>
    </row>
    <row r="97">
      <c r="A97" s="13" t="inlineStr">
        <is>
          <t>eca</t>
        </is>
      </c>
      <c r="B97" s="13" t="inlineStr">
        <is>
          <t>spain</t>
        </is>
      </c>
      <c r="C97" s="13" t="inlineStr">
        <is>
          <t>ESP</t>
        </is>
      </c>
      <c r="D97" s="13" t="inlineStr">
        <is>
          <t>Spain</t>
        </is>
      </c>
      <c r="E97" s="13" t="inlineStr">
        <is>
          <t>Mercadona</t>
        </is>
      </c>
      <c r="F97" s="13" t="inlineStr">
        <is>
          <t>https://tienda.mercadona.es/</t>
        </is>
      </c>
      <c r="G97" s="13" t="inlineStr">
        <is>
          <t>PROBED - VIABLE</t>
        </is>
      </c>
      <c r="H97" s="13" t="inlineStr">
        <is>
          <t>TIER_1B</t>
        </is>
      </c>
      <c r="I97" s="13" t="inlineStr">
        <is>
          <t>low</t>
        </is>
      </c>
      <c r="J97" s="13" t="n">
        <v>180</v>
      </c>
      <c r="K97" s="13" t="inlineStr">
        <is>
          <t>/api/categories/{id}</t>
        </is>
      </c>
      <c r="L97" s="13" t="inlineStr">
        <is>
          <t>GET /api/categories/ -&gt; 200, 17.4KB JSON, 26 top-level categories e.g. 'Aceite, especias y salsas'.</t>
        </is>
      </c>
      <c r="M97" s="13" t="inlineStr">
        <is>
          <t>ACCEPT</t>
        </is>
      </c>
      <c r="N97" s="13" t="inlineStr">
        <is>
          <t>A - low-hanging fruit</t>
        </is>
      </c>
      <c r="O97" s="13" t="n">
        <v>5</v>
      </c>
      <c r="P97" s="13" t="inlineStr">
        <is>
          <t>Custom (public JSON API)</t>
        </is>
      </c>
      <c r="Q97" s="13" t="inlineStr"/>
      <c r="R97" s="13" t="inlineStr">
        <is>
          <t>/api/categories/{id} then /api/products/{id}</t>
        </is>
      </c>
      <c r="S97" s="13" t="inlineStr">
        <is>
          <t>current, unit_price</t>
        </is>
      </c>
      <c r="T97" s="13" t="inlineStr">
        <is>
          <t>DOCUMENTED PUBLIC JSON API with an established open-source scraper ecosystem (github datania/mercadona-catalog). Market leader with a dominant private label (Hacendado, Bosque Verde). Cheapest possible Spanish build.</t>
        </is>
      </c>
      <c r="U97" s="13" t="inlineStr">
        <is>
          <t>-</t>
        </is>
      </c>
      <c r="V97" s="13" t="inlineStr">
        <is>
          <t>P8-EU</t>
        </is>
      </c>
    </row>
    <row r="98">
      <c r="A98" s="13" t="inlineStr">
        <is>
          <t>eca</t>
        </is>
      </c>
      <c r="B98" s="13" t="inlineStr">
        <is>
          <t>spain</t>
        </is>
      </c>
      <c r="C98" s="13" t="inlineStr">
        <is>
          <t>ESP</t>
        </is>
      </c>
      <c r="D98" s="13" t="inlineStr">
        <is>
          <t>Spain</t>
        </is>
      </c>
      <c r="E98" s="13" t="inlineStr">
        <is>
          <t>Precios del Super</t>
        </is>
      </c>
      <c r="F98" s="13" t="inlineStr">
        <is>
          <t>https://preciosdelsuper.es/</t>
        </is>
      </c>
      <c r="G98" s="13" t="inlineStr">
        <is>
          <t>PROBED - VIABLE</t>
        </is>
      </c>
      <c r="H98" s="13" t="inlineStr">
        <is>
          <t>TIER_1A</t>
        </is>
      </c>
      <c r="I98" s="13" t="inlineStr">
        <is>
          <t>medium</t>
        </is>
      </c>
      <c r="J98" s="13" t="n">
        <v>160</v>
      </c>
      <c r="K98" s="13" t="inlineStr">
        <is>
          <t>SSR listing HTML</t>
        </is>
      </c>
      <c r="L98" s="13" t="inlineStr">
        <is>
          <t>GET -&gt; 200, 124KB SSR. Direct prices '2,99€' / '16,95€' in HTML.</t>
        </is>
      </c>
      <c r="M98" s="13" t="inlineStr">
        <is>
          <t>ACCEPT</t>
        </is>
      </c>
      <c r="N98" s="13" t="inlineStr">
        <is>
          <t>B - moderate effort</t>
        </is>
      </c>
      <c r="O98" s="13" t="n">
        <v>4</v>
      </c>
      <c r="P98" s="13" t="inlineStr">
        <is>
          <t>Custom</t>
        </is>
      </c>
      <c r="Q98" s="13" t="inlineStr"/>
      <c r="R98" s="13" t="inlineStr">
        <is>
          <t>Crawl the /productos and /ipc paths; the change feed is the highest-value endpoint.</t>
        </is>
      </c>
      <c r="S98" s="13" t="inlineStr">
        <is>
          <t>current, price_history, discount_pct, ipc_index</t>
        </is>
      </c>
      <c r="T98" s="13" t="inlineStr">
        <is>
          <t>STRONGEST SPANISH AGGREGATOR: 120,000+ products across 8 supermarkets, updated every few hours, with PER-PRODUCT PRICE HISTORY and its own IPC (CPI) section. Publishes a daily changes feed ('ultimos cambios de precio') with timestamps - effectively a price-change event stream.</t>
        </is>
      </c>
      <c r="U98" s="13" t="inlineStr">
        <is>
          <t>Verify which 8 chains are covered before relying on national representativeness.</t>
        </is>
      </c>
      <c r="V98" s="13" t="inlineStr">
        <is>
          <t>P8-EU</t>
        </is>
      </c>
    </row>
    <row r="99">
      <c r="A99" s="13" t="inlineStr">
        <is>
          <t>eca</t>
        </is>
      </c>
      <c r="B99" s="13" t="inlineStr">
        <is>
          <t>spain</t>
        </is>
      </c>
      <c r="C99" s="13" t="inlineStr">
        <is>
          <t>ESP</t>
        </is>
      </c>
      <c r="D99" s="13" t="inlineStr">
        <is>
          <t>Spain</t>
        </is>
      </c>
      <c r="E99" s="13" t="inlineStr">
        <is>
          <t>Ulabox</t>
        </is>
      </c>
      <c r="F99" s="13" t="inlineStr">
        <is>
          <t>https://www.ulabox.com/</t>
        </is>
      </c>
      <c r="G99" s="13" t="inlineStr">
        <is>
          <t>PROBED - VIABLE</t>
        </is>
      </c>
      <c r="H99" s="13" t="inlineStr">
        <is>
          <t>TIER_1B</t>
        </is>
      </c>
      <c r="I99" s="13" t="inlineStr">
        <is>
          <t>low</t>
        </is>
      </c>
      <c r="J99" s="13" t="n">
        <v>140</v>
      </c>
      <c r="K99" s="13" t="inlineStr">
        <is>
          <t>page-embedded JSON (Next.js hydration)</t>
        </is>
      </c>
      <c r="L99" s="13" t="inlineStr">
        <is>
          <t>GET -&gt; 200, 347KB. Embedded JSON 'price':9.95 and 'price':12.45 in page source.</t>
        </is>
      </c>
      <c r="M99" s="13" t="inlineStr">
        <is>
          <t>ACCEPT</t>
        </is>
      </c>
      <c r="N99" s="13" t="inlineStr">
        <is>
          <t>C - engineering required</t>
        </is>
      </c>
      <c r="O99" s="13" t="n">
        <v>3</v>
      </c>
      <c r="P99" s="13" t="inlineStr">
        <is>
          <t>Custom</t>
        </is>
      </c>
      <c r="Q99" s="13" t="inlineStr"/>
      <c r="R99" s="13" t="inlineStr">
        <is>
          <t>-</t>
        </is>
      </c>
      <c r="S99" s="13" t="inlineStr">
        <is>
          <t>current</t>
        </is>
      </c>
      <c r="T99" s="13" t="inlineStr">
        <is>
          <t>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99" s="13" t="inlineStr">
        <is>
          <t>-</t>
        </is>
      </c>
      <c r="V99" s="13" t="inlineStr">
        <is>
          <t>P8-EU</t>
        </is>
      </c>
    </row>
    <row r="100">
      <c r="A100" s="13" t="inlineStr">
        <is>
          <t>eca</t>
        </is>
      </c>
      <c r="B100" s="13" t="inlineStr">
        <is>
          <t>spain</t>
        </is>
      </c>
      <c r="C100" s="13" t="inlineStr">
        <is>
          <t>ESP</t>
        </is>
      </c>
      <c r="D100" s="13" t="inlineStr">
        <is>
          <t>Spain</t>
        </is>
      </c>
      <c r="E100" s="13" t="inlineStr">
        <is>
          <t>ahorrapasta.com</t>
        </is>
      </c>
      <c r="F100" s="13" t="inlineStr">
        <is>
          <t>https://www.ahorrapasta.com/</t>
        </is>
      </c>
      <c r="G100" s="13" t="inlineStr">
        <is>
          <t>PROBED - VIABLE</t>
        </is>
      </c>
      <c r="H100" s="13" t="inlineStr">
        <is>
          <t>TIER_1A</t>
        </is>
      </c>
      <c r="I100" s="13" t="inlineStr">
        <is>
          <t>low</t>
        </is>
      </c>
      <c r="J100" s="13" t="n">
        <v>150</v>
      </c>
      <c r="K100" s="13" t="inlineStr">
        <is>
          <t>SSR listing HTML</t>
        </is>
      </c>
      <c r="L100" s="13" t="inlineStr">
        <is>
          <t>GET -&gt; 200, 166KB SSR. Direct prices '1.51€' / '1.55€' in HTML.</t>
        </is>
      </c>
      <c r="M100" s="13" t="inlineStr">
        <is>
          <t>ACCEPT</t>
        </is>
      </c>
      <c r="N100" s="13" t="inlineStr">
        <is>
          <t>C - engineering required</t>
        </is>
      </c>
      <c r="O100" s="13" t="n">
        <v>3</v>
      </c>
      <c r="P100" s="13" t="inlineStr">
        <is>
          <t>Custom</t>
        </is>
      </c>
      <c r="Q100" s="13" t="inlineStr"/>
      <c r="R100" s="13" t="inlineStr">
        <is>
          <t>-</t>
        </is>
      </c>
      <c r="S100" s="13" t="inlineStr">
        <is>
          <t>current, unit_price</t>
        </is>
      </c>
      <c r="T100" s="13" t="inlineStr">
        <is>
          <t>49,036 prices daily across 37,438 products and 11,598 fuel stations. Category counts published (Alimentacion 19,824; Bebidas 6,277; Higiene 5,105). Fuel alongside food is a bonus.</t>
        </is>
      </c>
      <c r="U100" s="13" t="inlineStr">
        <is>
          <t>-</t>
        </is>
      </c>
      <c r="V100" s="13" t="inlineStr">
        <is>
          <t>P8-EU</t>
        </is>
      </c>
    </row>
    <row r="101">
      <c r="A101" s="13" t="inlineStr">
        <is>
          <t>eca</t>
        </is>
      </c>
      <c r="B101" s="13" t="inlineStr">
        <is>
          <t>estonia</t>
        </is>
      </c>
      <c r="C101" s="13" t="inlineStr">
        <is>
          <t>EST</t>
        </is>
      </c>
      <c r="D101" s="13" t="inlineStr">
        <is>
          <t>Estonia</t>
        </is>
      </c>
      <c r="E101" s="13" t="inlineStr">
        <is>
          <t>Selver</t>
        </is>
      </c>
      <c r="F101" s="13" t="inlineStr">
        <is>
          <t>https://www.selver.ee/</t>
        </is>
      </c>
      <c r="G101" s="13" t="inlineStr">
        <is>
          <t>PROBED - SKIP</t>
        </is>
      </c>
      <c r="H101" s="13" t="inlineStr">
        <is>
          <t>SKIP</t>
        </is>
      </c>
      <c r="I101" s="13" t="inlineStr">
        <is>
          <t>high</t>
        </is>
      </c>
      <c r="J101" s="13" t="n">
        <v>0</v>
      </c>
      <c r="K101" s="13" t="inlineStr">
        <is>
          <t>blocked</t>
        </is>
      </c>
      <c r="L101" s="13" t="inlineStr">
        <is>
          <t>curl 403 title 'Just a moment...'; Playwright ALSO 403 title 'Just a moment...' (confirmed both channels)</t>
        </is>
      </c>
      <c r="M101" s="13" t="inlineStr">
        <is>
          <t>ACCEPT</t>
        </is>
      </c>
      <c r="N101" s="13" t="inlineStr">
        <is>
          <t>C - engineering required</t>
        </is>
      </c>
      <c r="O101" s="13" t="n">
        <v>3</v>
      </c>
      <c r="P101" s="13" t="inlineStr">
        <is>
          <t>Custom</t>
        </is>
      </c>
      <c r="Q101" s="13" t="inlineStr"/>
      <c r="R101" s="13" t="inlineStr">
        <is>
          <t>-</t>
        </is>
      </c>
      <c r="S101" s="13" t="inlineStr">
        <is>
          <t>current</t>
        </is>
      </c>
      <c r="T101" s="13" t="inlineStr">
        <is>
          <t>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101" s="13" t="inlineStr">
        <is>
          <t>-</t>
        </is>
      </c>
      <c r="V101" s="13" t="inlineStr">
        <is>
          <t>P8-EU</t>
        </is>
      </c>
    </row>
    <row r="102">
      <c r="A102" s="13" t="inlineStr">
        <is>
          <t>eca</t>
        </is>
      </c>
      <c r="B102" s="13" t="inlineStr">
        <is>
          <t>estonia</t>
        </is>
      </c>
      <c r="C102" s="13" t="inlineStr">
        <is>
          <t>EST</t>
        </is>
      </c>
      <c r="D102" s="13" t="inlineStr">
        <is>
          <t>Estonia</t>
        </is>
      </c>
      <c r="E102" s="13" t="inlineStr">
        <is>
          <t>Barbora Estonia</t>
        </is>
      </c>
      <c r="F102" s="13" t="inlineStr">
        <is>
          <t>https://barbora.ee/</t>
        </is>
      </c>
      <c r="G102" s="13" t="inlineStr">
        <is>
          <t>PROBED - VIABLE</t>
        </is>
      </c>
      <c r="H102" s="13" t="inlineStr">
        <is>
          <t>TIER_2</t>
        </is>
      </c>
      <c r="I102" s="13" t="inlineStr">
        <is>
          <t>medium</t>
        </is>
      </c>
      <c r="J102" s="13" t="n">
        <v>0</v>
      </c>
      <c r="K102" s="13" t="inlineStr">
        <is>
          <t>not found</t>
        </is>
      </c>
      <c r="L102" s="13" t="inlineStr">
        <is>
          <t>curl 200, 55KB, no Cloudflare gate (unlike barbora.lt) but no price pattern matched on homepage</t>
        </is>
      </c>
      <c r="M102" s="13" t="inlineStr">
        <is>
          <t>ACCEPT</t>
        </is>
      </c>
      <c r="N102" s="13" t="inlineStr">
        <is>
          <t>C - engineering required</t>
        </is>
      </c>
      <c r="O102" s="13" t="n">
        <v>3</v>
      </c>
      <c r="P102" s="13" t="inlineStr">
        <is>
          <t>Custom</t>
        </is>
      </c>
      <c r="Q102" s="13" t="inlineStr"/>
      <c r="R102" s="13" t="inlineStr">
        <is>
          <t>-</t>
        </is>
      </c>
      <c r="S102" s="13" t="inlineStr">
        <is>
          <t>current</t>
        </is>
      </c>
      <c r="T102" s="13" t="inlineStr">
        <is>
          <t>Maxima group.</t>
        </is>
      </c>
      <c r="U102" s="13" t="inlineStr">
        <is>
          <t>COVERAGE WITHDRAWN: from 1 Nov 2025 Barbora serves only Tallinn and Tartu in Estonia, having exited East Voru county. Geographic staleness, not site staleness.</t>
        </is>
      </c>
      <c r="V102" s="13" t="inlineStr">
        <is>
          <t>P8-EU</t>
        </is>
      </c>
    </row>
    <row r="103">
      <c r="A103" s="13" t="inlineStr">
        <is>
          <t>eca</t>
        </is>
      </c>
      <c r="B103" s="13" t="inlineStr">
        <is>
          <t>estonia</t>
        </is>
      </c>
      <c r="C103" s="13" t="inlineStr">
        <is>
          <t>EST</t>
        </is>
      </c>
      <c r="D103" s="13" t="inlineStr">
        <is>
          <t>Estonia</t>
        </is>
      </c>
      <c r="E103" s="13" t="inlineStr">
        <is>
          <t>Coop Estonia</t>
        </is>
      </c>
      <c r="F103" s="13" t="inlineStr">
        <is>
          <t>https://ecoop.ee/</t>
        </is>
      </c>
      <c r="G103" s="13" t="inlineStr">
        <is>
          <t>PROBED - VIABLE</t>
        </is>
      </c>
      <c r="H103" s="13" t="inlineStr">
        <is>
          <t>TIER_2</t>
        </is>
      </c>
      <c r="I103" s="13" t="inlineStr">
        <is>
          <t>medium</t>
        </is>
      </c>
      <c r="J103" s="13" t="n">
        <v>0</v>
      </c>
      <c r="K103" s="13" t="inlineStr">
        <is>
          <t>not found</t>
        </is>
      </c>
      <c r="L103" s="13" t="inlineStr">
        <is>
          <t>curl 200, 53KB, no price pattern matched on homepage</t>
        </is>
      </c>
      <c r="M103" s="13" t="inlineStr">
        <is>
          <t>ACCEPT</t>
        </is>
      </c>
      <c r="N103" s="13" t="inlineStr">
        <is>
          <t>C - engineering required</t>
        </is>
      </c>
      <c r="O103" s="13" t="n">
        <v>3</v>
      </c>
      <c r="P103" s="13" t="inlineStr">
        <is>
          <t>Custom</t>
        </is>
      </c>
      <c r="Q103" s="13" t="inlineStr"/>
      <c r="R103" s="13" t="inlineStr">
        <is>
          <t>-</t>
        </is>
      </c>
      <c r="S103" s="13" t="inlineStr">
        <is>
          <t>current</t>
        </is>
      </c>
      <c r="T103" s="13" t="inlineStr">
        <is>
          <t>Widest RURAL network in Estonia - avoids Tallinn bias.</t>
        </is>
      </c>
      <c r="U103" s="13" t="inlineStr">
        <is>
          <t>-</t>
        </is>
      </c>
      <c r="V103" s="13" t="inlineStr">
        <is>
          <t>P8-EU</t>
        </is>
      </c>
    </row>
    <row r="104">
      <c r="A104" s="13" t="inlineStr">
        <is>
          <t>eca</t>
        </is>
      </c>
      <c r="B104" s="13" t="inlineStr">
        <is>
          <t>estonia</t>
        </is>
      </c>
      <c r="C104" s="13" t="inlineStr">
        <is>
          <t>EST</t>
        </is>
      </c>
      <c r="D104" s="13" t="inlineStr">
        <is>
          <t>Estonia</t>
        </is>
      </c>
      <c r="E104" s="13" t="inlineStr">
        <is>
          <t>Prisma Estonia</t>
        </is>
      </c>
      <c r="F104" s="13" t="inlineStr">
        <is>
          <t>https://www.prismamarket.ee/</t>
        </is>
      </c>
      <c r="G104" s="13" t="inlineStr">
        <is>
          <t>PROBED - VIABLE</t>
        </is>
      </c>
      <c r="H104" s="13" t="inlineStr">
        <is>
          <t>TIER_1A</t>
        </is>
      </c>
      <c r="I104" s="13" t="inlineStr">
        <is>
          <t>low</t>
        </is>
      </c>
      <c r="J104" s="13" t="n">
        <v>150</v>
      </c>
      <c r="K104" s="13" t="inlineStr">
        <is>
          <t>SSR HTML / __NEXT_DATA__ JSON blob</t>
        </is>
      </c>
      <c r="L104" s="13" t="inlineStr">
        <is>
          <t>curl 200, 367KB, Next.js SSR (__NEXT_DATA__ valid JSON with props.pageProps), real prices in raw HTML: '1,85 €', '12,33 €', '3,28 €'</t>
        </is>
      </c>
      <c r="M104" s="13" t="inlineStr">
        <is>
          <t>ACCEPT</t>
        </is>
      </c>
      <c r="N104" s="13" t="inlineStr">
        <is>
          <t>C - engineering required</t>
        </is>
      </c>
      <c r="O104" s="13" t="n">
        <v>3</v>
      </c>
      <c r="P104" s="13" t="inlineStr">
        <is>
          <t>Custom</t>
        </is>
      </c>
      <c r="Q104" s="13" t="inlineStr"/>
      <c r="R104" s="13" t="inlineStr">
        <is>
          <t>-</t>
        </is>
      </c>
      <c r="S104" s="13" t="inlineStr">
        <is>
          <t>current</t>
        </is>
      </c>
      <c r="T104" s="13" t="inlineStr">
        <is>
          <t>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104" s="13" t="inlineStr">
        <is>
          <t>-</t>
        </is>
      </c>
      <c r="V104" s="13" t="inlineStr">
        <is>
          <t>P8-EU</t>
        </is>
      </c>
    </row>
    <row r="105">
      <c r="A105" s="13" t="inlineStr">
        <is>
          <t>eca</t>
        </is>
      </c>
      <c r="B105" s="13" t="inlineStr">
        <is>
          <t>estonia</t>
        </is>
      </c>
      <c r="C105" s="13" t="inlineStr">
        <is>
          <t>EST</t>
        </is>
      </c>
      <c r="D105" s="13" t="inlineStr">
        <is>
          <t>Estonia</t>
        </is>
      </c>
      <c r="E105" s="13" t="inlineStr">
        <is>
          <t>Rimi Estonia</t>
        </is>
      </c>
      <c r="F105" s="13" t="inlineStr">
        <is>
          <t>https://www.rimi.ee/epood/en</t>
        </is>
      </c>
      <c r="G105" s="13" t="inlineStr">
        <is>
          <t>PROBED - VIABLE</t>
        </is>
      </c>
      <c r="H105" s="13" t="inlineStr">
        <is>
          <t>TIER_2</t>
        </is>
      </c>
      <c r="I105" s="13" t="inlineStr">
        <is>
          <t>medium</t>
        </is>
      </c>
      <c r="J105" s="13" t="n">
        <v>0</v>
      </c>
      <c r="K105" s="13" t="inlineStr">
        <is>
          <t>not found (wrong guess)</t>
        </is>
      </c>
      <c r="L105" s="13" t="inlineStr">
        <is>
          <t>curl 200, 125KB homepage; guessed category URL /epood/en/products/food -&gt; 404</t>
        </is>
      </c>
      <c r="M105" s="13" t="inlineStr">
        <is>
          <t>ACCEPT</t>
        </is>
      </c>
      <c r="N105" s="13" t="inlineStr">
        <is>
          <t>C - engineering required</t>
        </is>
      </c>
      <c r="O105" s="13" t="n">
        <v>3</v>
      </c>
      <c r="P105" s="13" t="inlineStr">
        <is>
          <t>Custom</t>
        </is>
      </c>
      <c r="Q105" s="13" t="inlineStr"/>
      <c r="R105" s="13" t="inlineStr">
        <is>
          <t>-</t>
        </is>
      </c>
      <c r="S105" s="13" t="inlineStr">
        <is>
          <t>current, was_price, unit_price, lowest_30day</t>
        </is>
      </c>
      <c r="T105" s="13" t="inlineStr">
        <is>
          <t>Same platform as Rimi Latvia which carries the explicit 30-day-lowest field. English interface.</t>
        </is>
      </c>
      <c r="U105" s="13" t="inlineStr">
        <is>
          <t>-</t>
        </is>
      </c>
      <c r="V105" s="13" t="inlineStr">
        <is>
          <t>P8-EU</t>
        </is>
      </c>
    </row>
    <row r="106">
      <c r="A106" s="13" t="inlineStr">
        <is>
          <t>eca</t>
        </is>
      </c>
      <c r="B106" s="13" t="inlineStr">
        <is>
          <t>finland</t>
        </is>
      </c>
      <c r="C106" s="13" t="inlineStr">
        <is>
          <t>FIN</t>
        </is>
      </c>
      <c r="D106" s="13" t="inlineStr">
        <is>
          <t>Finland</t>
        </is>
      </c>
      <c r="E106" s="13" t="inlineStr">
        <is>
          <t>Alko</t>
        </is>
      </c>
      <c r="F106" s="13" t="inlineStr">
        <is>
          <t>https://www.alko.fi/</t>
        </is>
      </c>
      <c r="G106" s="13" t="inlineStr">
        <is>
          <t>PROBED - SKIP</t>
        </is>
      </c>
      <c r="H106" s="13" t="inlineStr">
        <is>
          <t>SKIP</t>
        </is>
      </c>
      <c r="I106" s="13" t="inlineStr">
        <is>
          <t>medium</t>
        </is>
      </c>
      <c r="J106" s="13" t="n">
        <v>0</v>
      </c>
      <c r="K106" s="13" t="inlineStr"/>
      <c r="L106" s="13" t="inlineStr">
        <is>
          <t>GET / (after 301 redirect) -&gt; 200, 764KB, but zero /tuote/ or /product/ links found on homepage; no price pattern matched.</t>
        </is>
      </c>
      <c r="M106" s="13" t="inlineStr">
        <is>
          <t>ACCEPT</t>
        </is>
      </c>
      <c r="N106" s="13" t="inlineStr">
        <is>
          <t>B - moderate effort</t>
        </is>
      </c>
      <c r="O106" s="13" t="n">
        <v>4</v>
      </c>
      <c r="P106" s="13" t="inlineStr">
        <is>
          <t>Custom</t>
        </is>
      </c>
      <c r="Q106" s="13" t="inlineStr"/>
      <c r="R106" s="13" t="inlineStr">
        <is>
          <t>-</t>
        </is>
      </c>
      <c r="S106" s="13" t="inlineStr">
        <is>
          <t>current, unit_price</t>
        </is>
      </c>
      <c r="T106" s="13" t="inlineStr">
        <is>
          <t>STATE ALCOHOL MONOPOLY - administered prices, complete catalogue. Finnish COICOP 2.1 benchmark.</t>
        </is>
      </c>
      <c r="U106" s="13" t="inlineStr">
        <is>
          <t>-</t>
        </is>
      </c>
      <c r="V106" s="13" t="inlineStr">
        <is>
          <t>P8-EU</t>
        </is>
      </c>
    </row>
    <row r="107">
      <c r="A107" s="13" t="inlineStr">
        <is>
          <t>eca</t>
        </is>
      </c>
      <c r="B107" s="13" t="inlineStr">
        <is>
          <t>finland</t>
        </is>
      </c>
      <c r="C107" s="13" t="inlineStr">
        <is>
          <t>FIN</t>
        </is>
      </c>
      <c r="D107" s="13" t="inlineStr">
        <is>
          <t>Finland</t>
        </is>
      </c>
      <c r="E107" s="13" t="inlineStr">
        <is>
          <t>K-Ruoka (Kesko)</t>
        </is>
      </c>
      <c r="F107" s="13" t="inlineStr">
        <is>
          <t>https://www.k-ruoka.fi/</t>
        </is>
      </c>
      <c r="G107" s="13" t="inlineStr">
        <is>
          <t>PROBED - SKIP</t>
        </is>
      </c>
      <c r="H107" s="13" t="inlineStr">
        <is>
          <t>SKIP</t>
        </is>
      </c>
      <c r="I107" s="13" t="inlineStr">
        <is>
          <t>high</t>
        </is>
      </c>
      <c r="J107" s="13" t="n">
        <v>0</v>
      </c>
      <c r="K107" s="13" t="inlineStr"/>
      <c r="L107" s="13" t="inlineStr">
        <is>
          <t>curl -&gt; HTTP 403, 84.5KB body.</t>
        </is>
      </c>
      <c r="M107" s="13" t="inlineStr">
        <is>
          <t>SUSPECT</t>
        </is>
      </c>
      <c r="N107" s="13" t="inlineStr">
        <is>
          <t>D - hard / app / index only</t>
        </is>
      </c>
      <c r="O107" s="13" t="n">
        <v>2</v>
      </c>
      <c r="P107" s="13" t="inlineStr">
        <is>
          <t>Custom/Enterprise</t>
        </is>
      </c>
      <c r="Q107" s="13" t="inlineStr"/>
      <c r="R107" s="13" t="inlineStr">
        <is>
          <t>-</t>
        </is>
      </c>
      <c r="S107" s="13" t="inlineStr">
        <is>
          <t>current, unit_price</t>
        </is>
      </c>
      <c r="T107" s="13" t="inlineStr">
        <is>
          <t>The other half of the Finnish duopoly. Together with S Group this covers most of Finnish grocery.</t>
        </is>
      </c>
      <c r="U107" s="13" t="inlineStr">
        <is>
          <t>-</t>
        </is>
      </c>
      <c r="V107" s="13" t="inlineStr">
        <is>
          <t>P8-EU</t>
        </is>
      </c>
    </row>
    <row r="108">
      <c r="A108" s="13" t="inlineStr">
        <is>
          <t>eca</t>
        </is>
      </c>
      <c r="B108" s="13" t="inlineStr">
        <is>
          <t>finland</t>
        </is>
      </c>
      <c r="C108" s="13" t="inlineStr">
        <is>
          <t>FIN</t>
        </is>
      </c>
      <c r="D108" s="13" t="inlineStr">
        <is>
          <t>Finland</t>
        </is>
      </c>
      <c r="E108" s="13" t="inlineStr">
        <is>
          <t>Prisma</t>
        </is>
      </c>
      <c r="F108" s="13" t="inlineStr">
        <is>
          <t>https://www.prisma.fi/</t>
        </is>
      </c>
      <c r="G108" s="13" t="inlineStr">
        <is>
          <t>PROBED - VIABLE</t>
        </is>
      </c>
      <c r="H108" s="13" t="inlineStr">
        <is>
          <t>TIER_1A</t>
        </is>
      </c>
      <c r="I108" s="13" t="inlineStr">
        <is>
          <t>low</t>
        </is>
      </c>
      <c r="J108" s="13" t="n">
        <v>150</v>
      </c>
      <c r="K108" s="13" t="inlineStr">
        <is>
          <t>SSR + __NEXT_DATA__</t>
        </is>
      </c>
      <c r="L108" s="13" t="inlineStr">
        <is>
          <t>GET / -&gt; 200, 1.04MB, __NEXT_DATA__ present, real EUR prices rendered server-side (e.g. '5 439,15 €' owner-price banner item). Same S-Group family as s-kaupat.fi. Grocery category page not separately fetched this round.</t>
        </is>
      </c>
      <c r="M108" s="13" t="inlineStr">
        <is>
          <t>ACCEPT</t>
        </is>
      </c>
      <c r="N108" s="13" t="inlineStr">
        <is>
          <t>C - engineering required</t>
        </is>
      </c>
      <c r="O108" s="13" t="n">
        <v>3</v>
      </c>
      <c r="P108" s="13" t="inlineStr">
        <is>
          <t>Custom</t>
        </is>
      </c>
      <c r="Q108" s="13" t="inlineStr"/>
      <c r="R108" s="13" t="inlineStr">
        <is>
          <t>-</t>
        </is>
      </c>
      <c r="S108" s="13" t="inlineStr">
        <is>
          <t>current</t>
        </is>
      </c>
      <c r="T108" s="13" t="inlineStr">
        <is>
          <t>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108" s="13" t="inlineStr">
        <is>
          <t>-</t>
        </is>
      </c>
      <c r="V108" s="13" t="inlineStr">
        <is>
          <t>P8-EU</t>
        </is>
      </c>
    </row>
    <row r="109">
      <c r="A109" s="13" t="inlineStr">
        <is>
          <t>eca</t>
        </is>
      </c>
      <c r="B109" s="13" t="inlineStr">
        <is>
          <t>finland</t>
        </is>
      </c>
      <c r="C109" s="13" t="inlineStr">
        <is>
          <t>FIN</t>
        </is>
      </c>
      <c r="D109" s="13" t="inlineStr">
        <is>
          <t>Finland</t>
        </is>
      </c>
      <c r="E109" s="13" t="inlineStr">
        <is>
          <t>S-kaupat (S Group)</t>
        </is>
      </c>
      <c r="F109" s="13" t="inlineStr">
        <is>
          <t>https://www.s-kaupat.fi/</t>
        </is>
      </c>
      <c r="G109" s="13" t="inlineStr">
        <is>
          <t>PROBED - VIABLE</t>
        </is>
      </c>
      <c r="H109" s="13" t="inlineStr">
        <is>
          <t>TIER_1A</t>
        </is>
      </c>
      <c r="I109" s="13" t="inlineStr">
        <is>
          <t>low</t>
        </is>
      </c>
      <c r="J109" s="13" t="n">
        <v>170</v>
      </c>
      <c r="K109" s="13" t="inlineStr">
        <is>
          <t>SSR product cards + __NEXT_DATA__</t>
        </is>
      </c>
      <c r="L109" s="13" t="inlineStr">
        <is>
          <t>GET / -&gt; 200, 516KB, __NEXT_DATA__ present. Server-rendered product cards found: data-test-id='product-card__product-price' with display-price '1,25 €' next to data-test-id='product-price__dynamic-unitPrice'.</t>
        </is>
      </c>
      <c r="M109" s="13" t="inlineStr">
        <is>
          <t>ACCEPT</t>
        </is>
      </c>
      <c r="N109" s="13" t="inlineStr">
        <is>
          <t>C - engineering required</t>
        </is>
      </c>
      <c r="O109" s="13" t="n">
        <v>3</v>
      </c>
      <c r="P109" s="13" t="inlineStr">
        <is>
          <t>Custom</t>
        </is>
      </c>
      <c r="Q109" s="13" t="inlineStr"/>
      <c r="R109" s="13" t="inlineStr">
        <is>
          <t>-</t>
        </is>
      </c>
      <c r="S109" s="13" t="inlineStr">
        <is>
          <t>current, unit_price, bonus</t>
        </is>
      </c>
      <c r="T109" s="13" t="inlineStr">
        <is>
          <t>Finland's most popular online grocery, S Group. Widest delivery options in Finland including ROBOT delivery. Co-op Bonus is a distinct loyalty tier.</t>
        </is>
      </c>
      <c r="U109" s="13" t="inlineStr">
        <is>
          <t>Finnish-only interface; no official multi-language service.</t>
        </is>
      </c>
      <c r="V109" s="13" t="inlineStr">
        <is>
          <t>P8-EU</t>
        </is>
      </c>
    </row>
    <row r="110">
      <c r="A110" s="13" t="inlineStr">
        <is>
          <t>eca</t>
        </is>
      </c>
      <c r="B110" s="13" t="inlineStr">
        <is>
          <t>france</t>
        </is>
      </c>
      <c r="C110" s="13" t="inlineStr">
        <is>
          <t>FRA</t>
        </is>
      </c>
      <c r="D110" s="13" t="inlineStr">
        <is>
          <t>France</t>
        </is>
      </c>
      <c r="E110" s="13" t="inlineStr">
        <is>
          <t>Carrefour France</t>
        </is>
      </c>
      <c r="F110" s="13" t="inlineStr">
        <is>
          <t>https://www.carrefour.fr/</t>
        </is>
      </c>
      <c r="G110" s="13" t="inlineStr">
        <is>
          <t>PROBED - SKIP</t>
        </is>
      </c>
      <c r="H110" s="13" t="inlineStr">
        <is>
          <t>SKIP</t>
        </is>
      </c>
      <c r="I110" s="13" t="inlineStr">
        <is>
          <t>high</t>
        </is>
      </c>
      <c r="J110" s="13" t="n">
        <v>0</v>
      </c>
      <c r="K110" s="13" t="inlineStr">
        <is>
          <t>blocked/inconclusive</t>
        </is>
      </c>
      <c r="L110" s="13" t="inlineStr">
        <is>
          <t>curl 403, 574KB body - a Nuxt SPA shell (mostly base64 font data, no product content), not a plain WAF template but no extractable product data either</t>
        </is>
      </c>
      <c r="M110" s="13" t="inlineStr">
        <is>
          <t>SUSPECT</t>
        </is>
      </c>
      <c r="N110" s="13" t="inlineStr">
        <is>
          <t>D - hard / app / index only</t>
        </is>
      </c>
      <c r="O110" s="13" t="n">
        <v>2</v>
      </c>
      <c r="P110" s="13" t="inlineStr">
        <is>
          <t>Custom/Enterprise</t>
        </is>
      </c>
      <c r="Q110" s="13" t="inlineStr"/>
      <c r="R110" s="13" t="inlineStr">
        <is>
          <t>-</t>
        </is>
      </c>
      <c r="S110" s="13" t="inlineStr">
        <is>
          <t>current, unit_price, card_price</t>
        </is>
      </c>
      <c r="T110" s="13" t="inlineStr">
        <is>
          <t>Widest French catalogue (40,000+ references). Priced above Leclerc/Intermarche in independent tests, so it is the upper-mid anchor.</t>
        </is>
      </c>
      <c r="U110" s="13" t="inlineStr">
        <is>
          <t>Store-specific pricing.</t>
        </is>
      </c>
      <c r="V110" s="13" t="inlineStr">
        <is>
          <t>P8-EU</t>
        </is>
      </c>
    </row>
    <row r="111">
      <c r="A111" s="13" t="inlineStr">
        <is>
          <t>eca</t>
        </is>
      </c>
      <c r="B111" s="13" t="inlineStr">
        <is>
          <t>france</t>
        </is>
      </c>
      <c r="C111" s="13" t="inlineStr">
        <is>
          <t>FRA</t>
        </is>
      </c>
      <c r="D111" s="13" t="inlineStr">
        <is>
          <t>France</t>
        </is>
      </c>
      <c r="E111" s="13" t="inlineStr">
        <is>
          <t>Courses U</t>
        </is>
      </c>
      <c r="F111" s="13" t="inlineStr">
        <is>
          <t>https://www.coursesu.com/</t>
        </is>
      </c>
      <c r="G111" s="13" t="inlineStr">
        <is>
          <t>PROBED - SKIP</t>
        </is>
      </c>
      <c r="H111" s="13" t="inlineStr">
        <is>
          <t>SKIP</t>
        </is>
      </c>
      <c r="I111" s="13" t="inlineStr">
        <is>
          <t>high</t>
        </is>
      </c>
      <c r="J111" s="13" t="n">
        <v>0</v>
      </c>
      <c r="K111" s="13" t="inlineStr">
        <is>
          <t>blocked</t>
        </is>
      </c>
      <c r="L111" s="13" t="inlineStr">
        <is>
          <t>curl 403, title 'Attention Required! | Cloudflare'</t>
        </is>
      </c>
      <c r="M111" s="13" t="inlineStr">
        <is>
          <t>ACCEPT</t>
        </is>
      </c>
      <c r="N111" s="13" t="inlineStr">
        <is>
          <t>C - engineering required</t>
        </is>
      </c>
      <c r="O111" s="13" t="n">
        <v>3</v>
      </c>
      <c r="P111" s="13" t="inlineStr">
        <is>
          <t>Custom</t>
        </is>
      </c>
      <c r="Q111" s="13" t="inlineStr"/>
      <c r="R111" s="13" t="inlineStr">
        <is>
          <t>-</t>
        </is>
      </c>
      <c r="S111" s="13" t="inlineStr">
        <is>
          <t>current</t>
        </is>
      </c>
      <c r="T111" s="13" t="inlineStr">
        <is>
          <t>Systeme U - independent cooperative, competitive on basket tests.</t>
        </is>
      </c>
      <c r="U111" s="13" t="inlineStr">
        <is>
          <t>-</t>
        </is>
      </c>
      <c r="V111" s="13" t="inlineStr">
        <is>
          <t>P8-EU</t>
        </is>
      </c>
    </row>
    <row r="112">
      <c r="A112" s="13" t="inlineStr">
        <is>
          <t>eca</t>
        </is>
      </c>
      <c r="B112" s="13" t="inlineStr">
        <is>
          <t>france</t>
        </is>
      </c>
      <c r="C112" s="13" t="inlineStr">
        <is>
          <t>FRA</t>
        </is>
      </c>
      <c r="D112" s="13" t="inlineStr">
        <is>
          <t>France</t>
        </is>
      </c>
      <c r="E112" s="13" t="inlineStr">
        <is>
          <t>E.Leclerc Drive</t>
        </is>
      </c>
      <c r="F112" s="13" t="inlineStr">
        <is>
          <t>https://www.leclercdrive.fr/</t>
        </is>
      </c>
      <c r="G112" s="13" t="inlineStr">
        <is>
          <t>PROBED - SKIP</t>
        </is>
      </c>
      <c r="H112" s="13" t="inlineStr">
        <is>
          <t>SKIP</t>
        </is>
      </c>
      <c r="I112" s="13" t="inlineStr">
        <is>
          <t>high</t>
        </is>
      </c>
      <c r="J112" s="13" t="n">
        <v>0</v>
      </c>
      <c r="K112" s="13" t="inlineStr">
        <is>
          <t>blocked (TCP-layer reset)</t>
        </is>
      </c>
      <c r="L112" s="13" t="inlineStr">
        <is>
          <t>curl error 35 'Recv failure: Connection reset by peer'</t>
        </is>
      </c>
      <c r="M112" s="13" t="inlineStr">
        <is>
          <t>SUSPECT</t>
        </is>
      </c>
      <c r="N112" s="13" t="inlineStr">
        <is>
          <t>D - hard / app / index only</t>
        </is>
      </c>
      <c r="O112" s="13" t="n">
        <v>2</v>
      </c>
      <c r="P112" s="13" t="inlineStr">
        <is>
          <t>Custom/Enterprise</t>
        </is>
      </c>
      <c r="Q112" s="13" t="inlineStr"/>
      <c r="R112" s="13" t="inlineStr">
        <is>
          <t>-</t>
        </is>
      </c>
      <c r="S112" s="13" t="inlineStr">
        <is>
          <t>current, unit_price</t>
        </is>
      </c>
      <c r="T112" s="13" t="inlineStr">
        <is>
          <t>Consistently ranked CHEAPEST French chain by UFC-Que Choisir (June 2026) and by independent basket tests. Densest drive network. The natural low-price anchor for France.</t>
        </is>
      </c>
      <c r="U112" s="13" t="inlineStr">
        <is>
          <t>Catalogue and prices vary BY STORE - a single drive is not national. Crawl multiple drives.</t>
        </is>
      </c>
      <c r="V112" s="13" t="inlineStr">
        <is>
          <t>P8-EU</t>
        </is>
      </c>
    </row>
    <row r="113">
      <c r="A113" s="13" t="inlineStr">
        <is>
          <t>eca</t>
        </is>
      </c>
      <c r="B113" s="13" t="inlineStr">
        <is>
          <t>france</t>
        </is>
      </c>
      <c r="C113" s="13" t="inlineStr">
        <is>
          <t>FRA</t>
        </is>
      </c>
      <c r="D113" s="13" t="inlineStr">
        <is>
          <t>France</t>
        </is>
      </c>
      <c r="E113" s="13" t="inlineStr">
        <is>
          <t>Franprix</t>
        </is>
      </c>
      <c r="F113" s="13" t="inlineStr">
        <is>
          <t>https://www.franprix.fr/</t>
        </is>
      </c>
      <c r="G113" s="13" t="inlineStr">
        <is>
          <t>PROBED - SKIP</t>
        </is>
      </c>
      <c r="H113" s="13" t="inlineStr">
        <is>
          <t>SKIP</t>
        </is>
      </c>
      <c r="I113" s="13" t="inlineStr">
        <is>
          <t>high</t>
        </is>
      </c>
      <c r="J113" s="13" t="n">
        <v>0</v>
      </c>
      <c r="K113" s="13" t="inlineStr">
        <is>
          <t>blocked</t>
        </is>
      </c>
      <c r="L113" s="13" t="inlineStr">
        <is>
          <t>curl 403, generic '403 Forbidden' body (non-Cloudflare WAF page, 2.9KB)</t>
        </is>
      </c>
      <c r="M113" s="13" t="inlineStr">
        <is>
          <t>ACCEPT</t>
        </is>
      </c>
      <c r="N113" s="13" t="inlineStr">
        <is>
          <t>C - engineering required</t>
        </is>
      </c>
      <c r="O113" s="13" t="n">
        <v>3</v>
      </c>
      <c r="P113" s="13" t="inlineStr">
        <is>
          <t>Custom</t>
        </is>
      </c>
      <c r="Q113" s="13" t="inlineStr"/>
      <c r="R113" s="13" t="inlineStr">
        <is>
          <t>-</t>
        </is>
      </c>
      <c r="S113" s="13" t="inlineStr">
        <is>
          <t>current</t>
        </is>
      </c>
      <c r="T113" s="13" t="inlineStr">
        <is>
          <t>Urban convenience format - convenience pricing tier.</t>
        </is>
      </c>
      <c r="U113" s="13" t="inlineStr">
        <is>
          <t>-</t>
        </is>
      </c>
      <c r="V113" s="13" t="inlineStr">
        <is>
          <t>P8-EU</t>
        </is>
      </c>
    </row>
    <row r="114">
      <c r="A114" s="13" t="inlineStr">
        <is>
          <t>eca</t>
        </is>
      </c>
      <c r="B114" s="13" t="inlineStr">
        <is>
          <t>france</t>
        </is>
      </c>
      <c r="C114" s="13" t="inlineStr">
        <is>
          <t>FRA</t>
        </is>
      </c>
      <c r="D114" s="13" t="inlineStr">
        <is>
          <t>France</t>
        </is>
      </c>
      <c r="E114" s="13" t="inlineStr">
        <is>
          <t>HOKOH</t>
        </is>
      </c>
      <c r="F114" s="13" t="inlineStr">
        <is>
          <t>https://hokoh.app/</t>
        </is>
      </c>
      <c r="G114" s="13" t="inlineStr">
        <is>
          <t>PROBED - SKIP</t>
        </is>
      </c>
      <c r="H114" s="13" t="inlineStr">
        <is>
          <t>SKIP</t>
        </is>
      </c>
      <c r="I114" s="13" t="inlineStr">
        <is>
          <t>high</t>
        </is>
      </c>
      <c r="J114" s="13" t="n">
        <v>0</v>
      </c>
      <c r="K114" s="13" t="inlineStr">
        <is>
          <t>app-only, no web catalog</t>
        </is>
      </c>
      <c r="L114" s="13" t="inlineStr">
        <is>
          <t>curl 200, 47.8KB, but zero price data - app landing page only despite hokoh.app being reachable</t>
        </is>
      </c>
      <c r="M114" s="13" t="inlineStr">
        <is>
          <t>ACCEPT</t>
        </is>
      </c>
      <c r="N114" s="13" t="inlineStr">
        <is>
          <t>C - engineering required</t>
        </is>
      </c>
      <c r="O114" s="13" t="n">
        <v>3</v>
      </c>
      <c r="P114" s="13" t="inlineStr">
        <is>
          <t>Custom</t>
        </is>
      </c>
      <c r="Q114" s="13" t="inlineStr"/>
      <c r="R114" s="13" t="inlineStr">
        <is>
          <t>-</t>
        </is>
      </c>
      <c r="S114" s="13" t="inlineStr">
        <is>
          <t>current</t>
        </is>
      </c>
      <c r="T114" s="13" t="inlineStr">
        <is>
          <t>Free, ad-free French price comparator across Carrefour, Leclerc, Auchan, Lidl, Intermarche, Monoprix, Picard, Casino, Courses U. Barcode scan. Uses OpenFoodFacts as a data platform.</t>
        </is>
      </c>
      <c r="U114" s="13" t="inlineStr">
        <is>
          <t>CROWDSOURCED prices ('les prix sont partages par les utilisateurs') - accuracy depends on user density. Not a substitute for retailer scrapes; useful for coverage of stores you cannot reach.</t>
        </is>
      </c>
      <c r="V114" s="13" t="inlineStr">
        <is>
          <t>P8-EU</t>
        </is>
      </c>
    </row>
    <row r="115">
      <c r="A115" s="13" t="inlineStr">
        <is>
          <t>eca</t>
        </is>
      </c>
      <c r="B115" s="13" t="inlineStr">
        <is>
          <t>france</t>
        </is>
      </c>
      <c r="C115" s="13" t="inlineStr">
        <is>
          <t>FRA</t>
        </is>
      </c>
      <c r="D115" s="13" t="inlineStr">
        <is>
          <t>France</t>
        </is>
      </c>
      <c r="E115" s="13" t="inlineStr">
        <is>
          <t>Intermarche</t>
        </is>
      </c>
      <c r="F115" s="13" t="inlineStr">
        <is>
          <t>https://www.intermarche.com/</t>
        </is>
      </c>
      <c r="G115" s="13" t="inlineStr">
        <is>
          <t>PROBED - SKIP</t>
        </is>
      </c>
      <c r="H115" s="13" t="inlineStr">
        <is>
          <t>SKIP</t>
        </is>
      </c>
      <c r="I115" s="13" t="inlineStr">
        <is>
          <t>high</t>
        </is>
      </c>
      <c r="J115" s="13" t="n">
        <v>0</v>
      </c>
      <c r="K115" s="13" t="inlineStr">
        <is>
          <t>unresolved (502)</t>
        </is>
      </c>
      <c r="L115" s="13" t="inlineStr">
        <is>
          <t>curl HTTP 502 Bad Gateway</t>
        </is>
      </c>
      <c r="M115" s="13" t="inlineStr">
        <is>
          <t>SUSPECT</t>
        </is>
      </c>
      <c r="N115" s="13" t="inlineStr">
        <is>
          <t>D - hard / app / index only</t>
        </is>
      </c>
      <c r="O115" s="13" t="n">
        <v>2</v>
      </c>
      <c r="P115" s="13" t="inlineStr">
        <is>
          <t>Custom/Enterprise</t>
        </is>
      </c>
      <c r="Q115" s="13" t="inlineStr"/>
      <c r="R115" s="13" t="inlineStr">
        <is>
          <t>-</t>
        </is>
      </c>
      <c r="S115" s="13" t="inlineStr">
        <is>
          <t>current</t>
        </is>
      </c>
      <c r="T115" s="13" t="inlineStr">
        <is>
          <t>Strong rural and peri-urban network - best French proxy for non-metropolitan prices.</t>
        </is>
      </c>
      <c r="U115" s="13" t="inlineStr">
        <is>
          <t>-</t>
        </is>
      </c>
      <c r="V115" s="13" t="inlineStr">
        <is>
          <t>P8-EU</t>
        </is>
      </c>
    </row>
    <row r="116">
      <c r="A116" s="13" t="inlineStr">
        <is>
          <t>eca</t>
        </is>
      </c>
      <c r="B116" s="13" t="inlineStr">
        <is>
          <t>france</t>
        </is>
      </c>
      <c r="C116" s="13" t="inlineStr">
        <is>
          <t>FRA</t>
        </is>
      </c>
      <c r="D116" s="13" t="inlineStr">
        <is>
          <t>France</t>
        </is>
      </c>
      <c r="E116" s="13" t="inlineStr">
        <is>
          <t>Monoprix</t>
        </is>
      </c>
      <c r="F116" s="13" t="inlineStr">
        <is>
          <t>https://www.monoprix.fr/</t>
        </is>
      </c>
      <c r="G116" s="13" t="inlineStr">
        <is>
          <t>PROBED - SKIP</t>
        </is>
      </c>
      <c r="H116" s="13" t="inlineStr">
        <is>
          <t>SKIP</t>
        </is>
      </c>
      <c r="I116" s="13" t="inlineStr">
        <is>
          <t>high</t>
        </is>
      </c>
      <c r="J116" s="13" t="n">
        <v>0</v>
      </c>
      <c r="K116" s="13" t="inlineStr">
        <is>
          <t>blocked</t>
        </is>
      </c>
      <c r="L116" s="13" t="inlineStr">
        <is>
          <t>curl 403, title 'Just a moment...' Cloudflare interactive challenge</t>
        </is>
      </c>
      <c r="M116" s="13" t="inlineStr">
        <is>
          <t>SUSPECT</t>
        </is>
      </c>
      <c r="N116" s="13" t="inlineStr">
        <is>
          <t>D - hard / app / index only</t>
        </is>
      </c>
      <c r="O116" s="13" t="n">
        <v>2</v>
      </c>
      <c r="P116" s="13" t="inlineStr">
        <is>
          <t>Custom/Enterprise</t>
        </is>
      </c>
      <c r="Q116" s="13" t="inlineStr"/>
      <c r="R116" s="13" t="inlineStr">
        <is>
          <t>-</t>
        </is>
      </c>
      <c r="S116" s="13" t="inlineStr">
        <is>
          <t>current</t>
        </is>
      </c>
      <c r="T116" s="13" t="inlineStr">
        <is>
          <t>Urban premium format - upper tail of the French distribution.</t>
        </is>
      </c>
      <c r="U116" s="13" t="inlineStr">
        <is>
          <t>-</t>
        </is>
      </c>
      <c r="V116" s="13" t="inlineStr">
        <is>
          <t>P8-EU</t>
        </is>
      </c>
    </row>
    <row r="117">
      <c r="A117" s="13" t="inlineStr">
        <is>
          <t>eca</t>
        </is>
      </c>
      <c r="B117" s="13" t="inlineStr">
        <is>
          <t>france</t>
        </is>
      </c>
      <c r="C117" s="13" t="inlineStr">
        <is>
          <t>FRA</t>
        </is>
      </c>
      <c r="D117" s="13" t="inlineStr">
        <is>
          <t>France</t>
        </is>
      </c>
      <c r="E117" s="13" t="inlineStr">
        <is>
          <t>Picard</t>
        </is>
      </c>
      <c r="F117" s="13" t="inlineStr">
        <is>
          <t>https://www.picard.fr/</t>
        </is>
      </c>
      <c r="G117" s="13" t="inlineStr">
        <is>
          <t>PROBED - SKIP</t>
        </is>
      </c>
      <c r="H117" s="13" t="inlineStr">
        <is>
          <t>SKIP</t>
        </is>
      </c>
      <c r="I117" s="13" t="inlineStr">
        <is>
          <t>high</t>
        </is>
      </c>
      <c r="J117" s="13" t="n">
        <v>0</v>
      </c>
      <c r="K117" s="13" t="inlineStr">
        <is>
          <t>blocked</t>
        </is>
      </c>
      <c r="L117" s="13" t="inlineStr">
        <is>
          <t>curl 403, title 'Attention Required! | Cloudflare'</t>
        </is>
      </c>
      <c r="M117" s="13" t="inlineStr">
        <is>
          <t>ACCEPT</t>
        </is>
      </c>
      <c r="N117" s="13" t="inlineStr">
        <is>
          <t>C - engineering required</t>
        </is>
      </c>
      <c r="O117" s="13" t="n">
        <v>3</v>
      </c>
      <c r="P117" s="13" t="inlineStr">
        <is>
          <t>Custom</t>
        </is>
      </c>
      <c r="Q117" s="13" t="inlineStr"/>
      <c r="R117" s="13" t="inlineStr">
        <is>
          <t>-</t>
        </is>
      </c>
      <c r="S117" s="13" t="inlineStr">
        <is>
          <t>current</t>
        </is>
      </c>
      <c r="T117" s="13" t="inlineStr">
        <is>
          <t>Frozen-food specialist, national - distinct category coverage.</t>
        </is>
      </c>
      <c r="U117" s="13" t="inlineStr">
        <is>
          <t>-</t>
        </is>
      </c>
      <c r="V117" s="13" t="inlineStr">
        <is>
          <t>P8-EU</t>
        </is>
      </c>
    </row>
    <row r="118">
      <c r="A118" s="13" t="inlineStr">
        <is>
          <t>eca</t>
        </is>
      </c>
      <c r="B118" s="13" t="inlineStr">
        <is>
          <t>france</t>
        </is>
      </c>
      <c r="C118" s="13" t="inlineStr">
        <is>
          <t>FRA</t>
        </is>
      </c>
      <c r="D118" s="13" t="inlineStr">
        <is>
          <t>France</t>
        </is>
      </c>
      <c r="E118" s="13" t="inlineStr">
        <is>
          <t>Auchan Drive</t>
        </is>
      </c>
      <c r="F118" s="13" t="inlineStr">
        <is>
          <t>https://www.auchan.fr/</t>
        </is>
      </c>
      <c r="G118" s="13" t="inlineStr">
        <is>
          <t>PROBED - VIABLE</t>
        </is>
      </c>
      <c r="H118" s="13" t="inlineStr">
        <is>
          <t>TIER_2</t>
        </is>
      </c>
      <c r="I118" s="13" t="inlineStr">
        <is>
          <t>medium</t>
        </is>
      </c>
      <c r="J118" s="13" t="n">
        <v>0</v>
      </c>
      <c r="K118" s="13" t="inlineStr">
        <is>
          <t>not found</t>
        </is>
      </c>
      <c r="L118" s="13" t="inlineStr">
        <is>
          <t>curl 200, 172KB - NOT blocked despite CSV's SUSPECT/D-tier label; no price pattern matched on homepage within budget</t>
        </is>
      </c>
      <c r="M118" s="13" t="inlineStr">
        <is>
          <t>SUSPECT</t>
        </is>
      </c>
      <c r="N118" s="13" t="inlineStr">
        <is>
          <t>D - hard / app / index only</t>
        </is>
      </c>
      <c r="O118" s="13" t="n">
        <v>2</v>
      </c>
      <c r="P118" s="13" t="inlineStr">
        <is>
          <t>Custom/Enterprise</t>
        </is>
      </c>
      <c r="Q118" s="13" t="inlineStr"/>
      <c r="R118" s="13" t="inlineStr">
        <is>
          <t>-</t>
        </is>
      </c>
      <c r="S118" s="13" t="inlineStr">
        <is>
          <t>current</t>
        </is>
      </c>
      <c r="T118" s="13" t="inlineStr">
        <is>
          <t>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118" s="13" t="inlineStr">
        <is>
          <t>-</t>
        </is>
      </c>
      <c r="V118" s="13" t="inlineStr">
        <is>
          <t>P8-EU</t>
        </is>
      </c>
    </row>
    <row r="119">
      <c r="A119" s="13" t="inlineStr">
        <is>
          <t>eca</t>
        </is>
      </c>
      <c r="B119" s="13" t="inlineStr">
        <is>
          <t>france</t>
        </is>
      </c>
      <c r="C119" s="13" t="inlineStr">
        <is>
          <t>FRA</t>
        </is>
      </c>
      <c r="D119" s="13" t="inlineStr">
        <is>
          <t>France</t>
        </is>
      </c>
      <c r="E119" s="13" t="inlineStr">
        <is>
          <t>Casino / CasinoMax</t>
        </is>
      </c>
      <c r="F119" s="13" t="inlineStr">
        <is>
          <t>https://www.casino.fr/</t>
        </is>
      </c>
      <c r="G119" s="13" t="inlineStr">
        <is>
          <t>PROBED - VIABLE</t>
        </is>
      </c>
      <c r="H119" s="13" t="inlineStr">
        <is>
          <t>TIER_2</t>
        </is>
      </c>
      <c r="I119" s="13" t="inlineStr">
        <is>
          <t>medium</t>
        </is>
      </c>
      <c r="J119" s="13" t="n">
        <v>0</v>
      </c>
      <c r="K119" s="13" t="inlineStr">
        <is>
          <t>not found</t>
        </is>
      </c>
      <c r="L119" s="13" t="inlineStr">
        <is>
          <t>curl HTTP 403 status but body is real Vue-SSR content (vue-ssr-id attrs, meta refresh to /prehome/courses-en-ligne/accueil), not a WAF challenge template - ambiguous, no product data found within budget</t>
        </is>
      </c>
      <c r="M119" s="13" t="inlineStr">
        <is>
          <t>ACCEPT</t>
        </is>
      </c>
      <c r="N119" s="13" t="inlineStr">
        <is>
          <t>C - engineering required</t>
        </is>
      </c>
      <c r="O119" s="13" t="n">
        <v>3</v>
      </c>
      <c r="P119" s="13" t="inlineStr">
        <is>
          <t>Custom</t>
        </is>
      </c>
      <c r="Q119" s="13" t="inlineStr"/>
      <c r="R119" s="13" t="inlineStr">
        <is>
          <t>-</t>
        </is>
      </c>
      <c r="S119" s="13" t="inlineStr">
        <is>
          <t>current</t>
        </is>
      </c>
      <c r="T119" s="13" t="inlineStr">
        <is>
          <t>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119" s="13" t="inlineStr">
        <is>
          <t>-</t>
        </is>
      </c>
      <c r="V119" s="13" t="inlineStr">
        <is>
          <t>P8-EU</t>
        </is>
      </c>
    </row>
    <row r="120">
      <c r="A120" s="13" t="inlineStr">
        <is>
          <t>eca</t>
        </is>
      </c>
      <c r="B120" s="13" t="inlineStr">
        <is>
          <t>france</t>
        </is>
      </c>
      <c r="C120" s="13" t="inlineStr">
        <is>
          <t>FRA</t>
        </is>
      </c>
      <c r="D120" s="13" t="inlineStr">
        <is>
          <t>France</t>
        </is>
      </c>
      <c r="E120" s="13" t="inlineStr">
        <is>
          <t>La Fourche</t>
        </is>
      </c>
      <c r="F120" s="13" t="inlineStr">
        <is>
          <t>https://lafourche.fr/</t>
        </is>
      </c>
      <c r="G120" s="13" t="inlineStr">
        <is>
          <t>PROBED - VIABLE</t>
        </is>
      </c>
      <c r="H120" s="13" t="inlineStr">
        <is>
          <t>TIER_1A</t>
        </is>
      </c>
      <c r="I120" s="13" t="inlineStr">
        <is>
          <t>low</t>
        </is>
      </c>
      <c r="J120" s="13" t="n">
        <v>70</v>
      </c>
      <c r="K120" s="13" t="inlineStr">
        <is>
          <t>SSR HTML</t>
        </is>
      </c>
      <c r="L120" s="13" t="inlineStr">
        <is>
          <t>curl 200, 1.8MB, GraphQL+Next.js+Algolia+Shopify signals present, real prices in raw HTML: '2,40 €', '2,11 €', '4,06 €', '2,15 €', '7,98 €', '4,04 €'</t>
        </is>
      </c>
      <c r="M120" s="13" t="inlineStr">
        <is>
          <t>ACCEPT</t>
        </is>
      </c>
      <c r="N120" s="13" t="inlineStr">
        <is>
          <t>C - engineering required</t>
        </is>
      </c>
      <c r="O120" s="13" t="n">
        <v>3</v>
      </c>
      <c r="P120" s="13" t="inlineStr">
        <is>
          <t>Custom</t>
        </is>
      </c>
      <c r="Q120" s="13" t="inlineStr"/>
      <c r="R120" s="13" t="inlineStr">
        <is>
          <t>-</t>
        </is>
      </c>
      <c r="S120" s="13" t="inlineStr">
        <is>
          <t>current</t>
        </is>
      </c>
      <c r="T120" s="13" t="inlineStr">
        <is>
          <t>Organic membership model - distinct price formation.</t>
        </is>
      </c>
      <c r="U120" s="13" t="inlineStr">
        <is>
          <t>Membership fee affects effective price.</t>
        </is>
      </c>
      <c r="V120" s="13" t="inlineStr">
        <is>
          <t>P8-EU</t>
        </is>
      </c>
    </row>
    <row r="121">
      <c r="A121" s="13" t="inlineStr">
        <is>
          <t>eca</t>
        </is>
      </c>
      <c r="B121" s="13" t="inlineStr">
        <is>
          <t>united_kingdom</t>
        </is>
      </c>
      <c r="C121" s="13" t="inlineStr">
        <is>
          <t>GBR</t>
        </is>
      </c>
      <c r="D121" s="13" t="inlineStr">
        <is>
          <t>United Kingdom</t>
        </is>
      </c>
      <c r="E121" s="13" t="inlineStr">
        <is>
          <t>Sainsbury's</t>
        </is>
      </c>
      <c r="F121" s="13" t="inlineStr">
        <is>
          <t>https://www.sainsburys.co.uk/gol-ui/groceries</t>
        </is>
      </c>
      <c r="G121" s="13" t="inlineStr">
        <is>
          <t>NOT PROBED - deduped, already onboarded, or time-boxed</t>
        </is>
      </c>
      <c r="H121" s="13" t="inlineStr"/>
      <c r="I121" s="13" t="inlineStr"/>
      <c r="J121" s="13" t="inlineStr"/>
      <c r="K121" s="13" t="inlineStr"/>
      <c r="L121" s="13" t="inlineStr"/>
      <c r="M121" s="13" t="inlineStr">
        <is>
          <t>SUSPECT</t>
        </is>
      </c>
      <c r="N121" s="13" t="inlineStr">
        <is>
          <t>D - hard / app / index only</t>
        </is>
      </c>
      <c r="O121" s="13" t="n">
        <v>2</v>
      </c>
      <c r="P121" s="13" t="inlineStr">
        <is>
          <t>Custom/Enterprise</t>
        </is>
      </c>
      <c r="Q121" s="13" t="inlineStr"/>
      <c r="R121" s="13" t="inlineStr">
        <is>
          <t>-</t>
        </is>
      </c>
      <c r="S121" s="13" t="inlineStr">
        <is>
          <t>current, nectar_price, unit_price</t>
        </is>
      </c>
      <c r="T121" s="13" t="inlineStr">
        <is>
          <t>Nectar pricing is a second tier.</t>
        </is>
      </c>
      <c r="U121" s="13" t="inlineStr">
        <is>
          <t>-</t>
        </is>
      </c>
      <c r="V121" s="13" t="inlineStr">
        <is>
          <t>P8-EU</t>
        </is>
      </c>
    </row>
    <row r="122">
      <c r="A122" s="13" t="inlineStr">
        <is>
          <t>eca</t>
        </is>
      </c>
      <c r="B122" s="13" t="inlineStr">
        <is>
          <t>united_kingdom</t>
        </is>
      </c>
      <c r="C122" s="13" t="inlineStr">
        <is>
          <t>GBR</t>
        </is>
      </c>
      <c r="D122" s="13" t="inlineStr">
        <is>
          <t>United Kingdom</t>
        </is>
      </c>
      <c r="E122" s="13" t="inlineStr">
        <is>
          <t>Tesco</t>
        </is>
      </c>
      <c r="F122" s="13" t="inlineStr">
        <is>
          <t>https://www.tesco.com/groceries/</t>
        </is>
      </c>
      <c r="G122" s="13" t="inlineStr">
        <is>
          <t>NOT PROBED - deduped, already onboarded, or time-boxed</t>
        </is>
      </c>
      <c r="H122" s="13" t="inlineStr"/>
      <c r="I122" s="13" t="inlineStr"/>
      <c r="J122" s="13" t="inlineStr"/>
      <c r="K122" s="13" t="inlineStr"/>
      <c r="L122" s="13" t="inlineStr"/>
      <c r="M122" s="13" t="inlineStr">
        <is>
          <t>SUSPECT</t>
        </is>
      </c>
      <c r="N122" s="13" t="inlineStr">
        <is>
          <t>D - hard / app / index only</t>
        </is>
      </c>
      <c r="O122" s="13" t="n">
        <v>2</v>
      </c>
      <c r="P122" s="13" t="inlineStr">
        <is>
          <t>Custom/Enterprise</t>
        </is>
      </c>
      <c r="Q122" s="13" t="inlineStr"/>
      <c r="R122" s="13" t="inlineStr">
        <is>
          <t>-</t>
        </is>
      </c>
      <c r="S122" s="13" t="inlineStr">
        <is>
          <t>current, clubcard_price, unit_price</t>
        </is>
      </c>
      <c r="T122" s="13" t="inlineStr">
        <is>
          <t>UK left the EU so Omnibus Art.6a does not apply; however UK unit-pricing rules still require price per unit. Clubcard pricing is a major two-tier structure.</t>
        </is>
      </c>
      <c r="U122" s="13" t="inlineStr">
        <is>
          <t>Confirmed hostile: catalogue behind 'Sign in to start shopping' plus CDN.</t>
        </is>
      </c>
      <c r="V122" s="13" t="inlineStr">
        <is>
          <t>P8-EU</t>
        </is>
      </c>
    </row>
    <row r="123">
      <c r="A123" s="13" t="inlineStr">
        <is>
          <t>eca</t>
        </is>
      </c>
      <c r="B123" s="13" t="inlineStr">
        <is>
          <t>united_kingdom</t>
        </is>
      </c>
      <c r="C123" s="13" t="inlineStr">
        <is>
          <t>GBR</t>
        </is>
      </c>
      <c r="D123" s="13" t="inlineStr">
        <is>
          <t>United Kingdom</t>
        </is>
      </c>
      <c r="E123" s="13" t="inlineStr">
        <is>
          <t>ASDA</t>
        </is>
      </c>
      <c r="F123" s="13" t="inlineStr">
        <is>
          <t>https://groceries.asda.com/</t>
        </is>
      </c>
      <c r="G123" s="13" t="inlineStr">
        <is>
          <t>PROBED - SKIP</t>
        </is>
      </c>
      <c r="H123" s="13" t="inlineStr">
        <is>
          <t>SKIP</t>
        </is>
      </c>
      <c r="I123" s="13" t="inlineStr">
        <is>
          <t>high</t>
        </is>
      </c>
      <c r="J123" s="13" t="n">
        <v>0</v>
      </c>
      <c r="K123" s="13" t="inlineStr"/>
      <c r="L123" s="13" t="inlineStr">
        <is>
          <t>GET -&gt; 403, IE6/IE7-branch bot-challenge page with 'captcha'/'blocked' strings, same shape confirmed on carrefour.es/carrefour.pl.</t>
        </is>
      </c>
      <c r="M123" s="13" t="inlineStr">
        <is>
          <t>SUSPECT</t>
        </is>
      </c>
      <c r="N123" s="13" t="inlineStr">
        <is>
          <t>D - hard / app / index only</t>
        </is>
      </c>
      <c r="O123" s="13" t="n">
        <v>2</v>
      </c>
      <c r="P123" s="13" t="inlineStr">
        <is>
          <t>Custom/Enterprise</t>
        </is>
      </c>
      <c r="Q123" s="13" t="inlineStr"/>
      <c r="R123" s="13" t="inlineStr">
        <is>
          <t>-</t>
        </is>
      </c>
      <c r="S123" s="13" t="inlineStr">
        <is>
          <t>current, unit_price</t>
        </is>
      </c>
      <c r="T123" s="13" t="inlineStr">
        <is>
          <t>Major national chain on an enterprise stack behind a CDN/WAF. Expect a store or postcode selector before the catalogue renders, and expect anti-bot measures. Treat as a last-resort build; check whether an aggregator or delivery platform carries the same assortment first.</t>
        </is>
      </c>
      <c r="U123" s="13" t="inlineStr">
        <is>
          <t>-</t>
        </is>
      </c>
      <c r="V123" s="13" t="inlineStr">
        <is>
          <t>P8-EU</t>
        </is>
      </c>
    </row>
    <row r="124">
      <c r="A124" s="13" t="inlineStr">
        <is>
          <t>eca</t>
        </is>
      </c>
      <c r="B124" s="13" t="inlineStr">
        <is>
          <t>united_kingdom</t>
        </is>
      </c>
      <c r="C124" s="13" t="inlineStr">
        <is>
          <t>GBR</t>
        </is>
      </c>
      <c r="D124" s="13" t="inlineStr">
        <is>
          <t>United Kingdom</t>
        </is>
      </c>
      <c r="E124" s="13" t="inlineStr">
        <is>
          <t>Co-op UK</t>
        </is>
      </c>
      <c r="F124" s="13" t="inlineStr">
        <is>
          <t>https://shop.coop.co.uk/</t>
        </is>
      </c>
      <c r="G124" s="13" t="inlineStr">
        <is>
          <t>PROBED - SKIP</t>
        </is>
      </c>
      <c r="H124" s="13" t="inlineStr">
        <is>
          <t>SKIP</t>
        </is>
      </c>
      <c r="I124" s="13" t="inlineStr">
        <is>
          <t>high</t>
        </is>
      </c>
      <c r="J124" s="13" t="n">
        <v>0</v>
      </c>
      <c r="K124" s="13" t="inlineStr"/>
      <c r="L124" s="13" t="inlineStr">
        <is>
          <t>GET -&gt; 403, 834-byte body with '_Incapsula_Resource' stub, same shape as Coop NL/PLUS/Consum ES.</t>
        </is>
      </c>
      <c r="M124" s="13" t="inlineStr">
        <is>
          <t>ACCEPT</t>
        </is>
      </c>
      <c r="N124" s="13" t="inlineStr">
        <is>
          <t>C - engineering required</t>
        </is>
      </c>
      <c r="O124" s="13" t="n">
        <v>3</v>
      </c>
      <c r="P124" s="13" t="inlineStr">
        <is>
          <t>Custom</t>
        </is>
      </c>
      <c r="Q124" s="13" t="inlineStr"/>
      <c r="R124" s="13" t="inlineStr">
        <is>
          <t>-</t>
        </is>
      </c>
      <c r="S124" s="13" t="inlineStr">
        <is>
          <t>current</t>
        </is>
      </c>
      <c r="T124" s="13" t="inlineStr">
        <is>
          <t>Convenience format - convenience price tier.</t>
        </is>
      </c>
      <c r="U124" s="13" t="inlineStr">
        <is>
          <t>-</t>
        </is>
      </c>
      <c r="V124" s="13" t="inlineStr">
        <is>
          <t>P8-EU</t>
        </is>
      </c>
    </row>
    <row r="125">
      <c r="A125" s="13" t="inlineStr">
        <is>
          <t>eca</t>
        </is>
      </c>
      <c r="B125" s="13" t="inlineStr">
        <is>
          <t>united_kingdom</t>
        </is>
      </c>
      <c r="C125" s="13" t="inlineStr">
        <is>
          <t>GBR</t>
        </is>
      </c>
      <c r="D125" s="13" t="inlineStr">
        <is>
          <t>United Kingdom</t>
        </is>
      </c>
      <c r="E125" s="13" t="inlineStr">
        <is>
          <t>Iceland</t>
        </is>
      </c>
      <c r="F125" s="13" t="inlineStr">
        <is>
          <t>https://www.iceland.co.uk/</t>
        </is>
      </c>
      <c r="G125" s="13" t="inlineStr">
        <is>
          <t>PROBED - SKIP</t>
        </is>
      </c>
      <c r="H125" s="13" t="inlineStr">
        <is>
          <t>SKIP</t>
        </is>
      </c>
      <c r="I125" s="13" t="inlineStr">
        <is>
          <t>high</t>
        </is>
      </c>
      <c r="J125" s="13" t="n">
        <v>0</v>
      </c>
      <c r="K125" s="13" t="inlineStr"/>
      <c r="L125" s="13" t="inlineStr">
        <is>
          <t>All 3 GET -&gt; 403 with the same 'Access Denied ... permission to access ...' Akamai-style body (375/402/381 bytes respectively).</t>
        </is>
      </c>
      <c r="M125" s="13" t="inlineStr">
        <is>
          <t>SUSPECT</t>
        </is>
      </c>
      <c r="N125" s="13" t="inlineStr">
        <is>
          <t>D - hard / app / index only</t>
        </is>
      </c>
      <c r="O125" s="13" t="n">
        <v>2</v>
      </c>
      <c r="P125" s="13" t="inlineStr">
        <is>
          <t>Custom/Enterprise</t>
        </is>
      </c>
      <c r="Q125" s="13" t="inlineStr"/>
      <c r="R125" s="13" t="inlineStr">
        <is>
          <t>-</t>
        </is>
      </c>
      <c r="S125" s="13" t="inlineStr">
        <is>
          <t>current</t>
        </is>
      </c>
      <c r="T125" s="13" t="inlineStr">
        <is>
          <t>Frozen specialist, value positioning.</t>
        </is>
      </c>
      <c r="U125" s="13" t="inlineStr">
        <is>
          <t>-</t>
        </is>
      </c>
      <c r="V125" s="13" t="inlineStr">
        <is>
          <t>P8-EU</t>
        </is>
      </c>
    </row>
    <row r="126">
      <c r="A126" s="13" t="inlineStr">
        <is>
          <t>eca</t>
        </is>
      </c>
      <c r="B126" s="13" t="inlineStr">
        <is>
          <t>united_kingdom</t>
        </is>
      </c>
      <c r="C126" s="13" t="inlineStr">
        <is>
          <t>GBR</t>
        </is>
      </c>
      <c r="D126" s="13" t="inlineStr">
        <is>
          <t>United Kingdom</t>
        </is>
      </c>
      <c r="E126" s="13" t="inlineStr">
        <is>
          <t>Ocado</t>
        </is>
      </c>
      <c r="F126" s="13" t="inlineStr">
        <is>
          <t>https://www.ocado.com/</t>
        </is>
      </c>
      <c r="G126" s="13" t="inlineStr">
        <is>
          <t>PROBED - SKIP</t>
        </is>
      </c>
      <c r="H126" s="13" t="inlineStr">
        <is>
          <t>SKIP</t>
        </is>
      </c>
      <c r="I126" s="13" t="inlineStr">
        <is>
          <t>high</t>
        </is>
      </c>
      <c r="J126" s="13" t="n">
        <v>0</v>
      </c>
      <c r="K126" s="13" t="inlineStr"/>
      <c r="L126" s="13" t="inlineStr">
        <is>
          <t>GET -&gt; HTTP 202 with header 'x-amzn-waf-action: challenge', 0 bytes body.</t>
        </is>
      </c>
      <c r="M126" s="13" t="inlineStr">
        <is>
          <t>SUSPECT</t>
        </is>
      </c>
      <c r="N126" s="13" t="inlineStr">
        <is>
          <t>D - hard / app / index only</t>
        </is>
      </c>
      <c r="O126" s="13" t="n">
        <v>2</v>
      </c>
      <c r="P126" s="13" t="inlineStr">
        <is>
          <t>Custom/Enterprise</t>
        </is>
      </c>
      <c r="Q126" s="13" t="inlineStr"/>
      <c r="R126" s="13" t="inlineStr">
        <is>
          <t>-</t>
        </is>
      </c>
      <c r="S126" s="13" t="inlineStr">
        <is>
          <t>current, unit_price</t>
        </is>
      </c>
      <c r="T126" s="13" t="inlineStr">
        <is>
          <t>Pure-play; carries M&amp;S range.</t>
        </is>
      </c>
      <c r="U126" s="13" t="inlineStr">
        <is>
          <t>-</t>
        </is>
      </c>
      <c r="V126" s="13" t="inlineStr">
        <is>
          <t>P8-EU</t>
        </is>
      </c>
    </row>
    <row r="127">
      <c r="A127" s="13" t="inlineStr">
        <is>
          <t>eca</t>
        </is>
      </c>
      <c r="B127" s="13" t="inlineStr">
        <is>
          <t>united_kingdom</t>
        </is>
      </c>
      <c r="C127" s="13" t="inlineStr">
        <is>
          <t>GBR</t>
        </is>
      </c>
      <c r="D127" s="13" t="inlineStr">
        <is>
          <t>United Kingdom</t>
        </is>
      </c>
      <c r="E127" s="13" t="inlineStr">
        <is>
          <t>Waitrose</t>
        </is>
      </c>
      <c r="F127" s="13" t="inlineStr">
        <is>
          <t>https://www.waitrose.com/</t>
        </is>
      </c>
      <c r="G127" s="13" t="inlineStr">
        <is>
          <t>PROBED - SKIP</t>
        </is>
      </c>
      <c r="H127" s="13" t="inlineStr">
        <is>
          <t>SKIP</t>
        </is>
      </c>
      <c r="I127" s="13" t="inlineStr">
        <is>
          <t>high</t>
        </is>
      </c>
      <c r="J127" s="13" t="n">
        <v>0</v>
      </c>
      <c r="K127" s="13" t="inlineStr"/>
      <c r="L127" s="13" t="inlineStr">
        <is>
          <t>GET -&gt; connection timeout (curl exit 000) on two attempts.</t>
        </is>
      </c>
      <c r="M127" s="13" t="inlineStr">
        <is>
          <t>SUSPECT</t>
        </is>
      </c>
      <c r="N127" s="13" t="inlineStr">
        <is>
          <t>D - hard / app / index only</t>
        </is>
      </c>
      <c r="O127" s="13" t="n">
        <v>2</v>
      </c>
      <c r="P127" s="13" t="inlineStr">
        <is>
          <t>Custom/Enterprise</t>
        </is>
      </c>
      <c r="Q127" s="13" t="inlineStr"/>
      <c r="R127" s="13" t="inlineStr">
        <is>
          <t>-</t>
        </is>
      </c>
      <c r="S127" s="13" t="inlineStr">
        <is>
          <t>current</t>
        </is>
      </c>
      <c r="T127" s="13" t="inlineStr">
        <is>
          <t>Premium tier.</t>
        </is>
      </c>
      <c r="U127" s="13" t="inlineStr">
        <is>
          <t>-</t>
        </is>
      </c>
      <c r="V127" s="13" t="inlineStr">
        <is>
          <t>P8-EU</t>
        </is>
      </c>
    </row>
    <row r="128">
      <c r="A128" s="13" t="inlineStr">
        <is>
          <t>eca</t>
        </is>
      </c>
      <c r="B128" s="13" t="inlineStr">
        <is>
          <t>united_kingdom</t>
        </is>
      </c>
      <c r="C128" s="13" t="inlineStr">
        <is>
          <t>GBR</t>
        </is>
      </c>
      <c r="D128" s="13" t="inlineStr">
        <is>
          <t>United Kingdom</t>
        </is>
      </c>
      <c r="E128" s="13" t="inlineStr">
        <is>
          <t>Morrisons</t>
        </is>
      </c>
      <c r="F128" s="13" t="inlineStr">
        <is>
          <t>https://groceries.morrisons.com/</t>
        </is>
      </c>
      <c r="G128" s="13" t="inlineStr">
        <is>
          <t>PROBED - VIABLE</t>
        </is>
      </c>
      <c r="H128" s="13" t="inlineStr">
        <is>
          <t>TIER_2</t>
        </is>
      </c>
      <c r="I128" s="13" t="inlineStr">
        <is>
          <t>medium</t>
        </is>
      </c>
      <c r="J128" s="13" t="n">
        <v>0</v>
      </c>
      <c r="K128" s="13" t="inlineStr"/>
      <c r="L128" s="13" t="inlineStr">
        <is>
          <t>GET / -&gt; 200, 653KB. Guessed category /browse/food-cupboard -&gt; 404 (471KB) but still rendered '£25.00'/'£4.30' widgets -- ambiguous, not clearly product prices vs. page furniture.</t>
        </is>
      </c>
      <c r="M128" s="13" t="inlineStr">
        <is>
          <t>SUSPECT</t>
        </is>
      </c>
      <c r="N128" s="13" t="inlineStr">
        <is>
          <t>D - hard / app / index only</t>
        </is>
      </c>
      <c r="O128" s="13" t="n">
        <v>2</v>
      </c>
      <c r="P128" s="13" t="inlineStr">
        <is>
          <t>Custom/Enterprise</t>
        </is>
      </c>
      <c r="Q128" s="13" t="inlineStr"/>
      <c r="R128" s="13" t="inlineStr">
        <is>
          <t>-</t>
        </is>
      </c>
      <c r="S128" s="13" t="inlineStr">
        <is>
          <t>current, more_card_price</t>
        </is>
      </c>
      <c r="T128" s="13" t="inlineStr">
        <is>
          <t>Major national chain on an enterprise stack behind a CDN/WAF. Expect a store or postcode selector before the catalogue renders, and expect anti-bot measures. Treat as a last-resort build; check whether an aggregator or delivery platform carries the same assortment first.</t>
        </is>
      </c>
      <c r="U128" s="13" t="inlineStr">
        <is>
          <t>-</t>
        </is>
      </c>
      <c r="V128" s="13" t="inlineStr">
        <is>
          <t>P8-EU</t>
        </is>
      </c>
    </row>
    <row r="129">
      <c r="A129" s="13" t="inlineStr">
        <is>
          <t>eca</t>
        </is>
      </c>
      <c r="B129" s="13" t="inlineStr">
        <is>
          <t>georgia</t>
        </is>
      </c>
      <c r="C129" s="13" t="inlineStr">
        <is>
          <t>GEO</t>
        </is>
      </c>
      <c r="D129" s="13" t="inlineStr">
        <is>
          <t>Georgia</t>
        </is>
      </c>
      <c r="E129" s="13" t="inlineStr">
        <is>
          <t>Carrefour Georgia</t>
        </is>
      </c>
      <c r="F129" s="13" t="inlineStr">
        <is>
          <t>https://carrefour.ge/</t>
        </is>
      </c>
      <c r="G129" s="13" t="inlineStr">
        <is>
          <t>PROBED - SKIP</t>
        </is>
      </c>
      <c r="H129" s="13" t="inlineStr">
        <is>
          <t>SKIP</t>
        </is>
      </c>
      <c r="I129" s="13" t="inlineStr">
        <is>
          <t>high</t>
        </is>
      </c>
      <c r="J129" s="13" t="n">
        <v>0</v>
      </c>
      <c r="K129" s="13" t="inlineStr"/>
      <c r="L129" s="13" t="inlineStr">
        <is>
          <t>Apex domain has no A record (DNS-only). www.carrefour.ge -&gt; resolves via Akamai edgekey (mafretailprod.edgekey.net) -&gt; HTTP 403 'Access Denied', server: AkamaiGHost, cart_api=v2 cookie set. Same MAF Retail (Majid Al Futtaim) Akamai stack seen elsewhere in the region.</t>
        </is>
      </c>
      <c r="M129" s="13" t="inlineStr">
        <is>
          <t>ACCEPT</t>
        </is>
      </c>
      <c r="N129" s="13" t="inlineStr">
        <is>
          <t>not scored</t>
        </is>
      </c>
      <c r="O129" s="13" t="inlineStr"/>
      <c r="P129" s="13" t="inlineStr">
        <is>
          <t>Custom (MAF stack)</t>
        </is>
      </c>
      <c r="Q129" s="13" t="inlineStr">
        <is>
          <t>GEL</t>
        </is>
      </c>
      <c r="R129" s="13" t="inlineStr">
        <is>
          <t>-</t>
        </is>
      </c>
      <c r="S129" s="13" t="inlineStr">
        <is>
          <t>-</t>
        </is>
      </c>
      <c r="T129" s="13" t="inlineStr">
        <is>
          <t>Largest and best-stocked chain in Georgia; 5+ hypermarkets; website plus app plus Glovo.</t>
        </is>
      </c>
      <c r="U129" s="13" t="inlineStr">
        <is>
          <t>-</t>
        </is>
      </c>
      <c r="V129" s="13" t="inlineStr">
        <is>
          <t>P4</t>
        </is>
      </c>
    </row>
    <row r="130">
      <c r="A130" s="13" t="inlineStr">
        <is>
          <t>eca</t>
        </is>
      </c>
      <c r="B130" s="13" t="inlineStr">
        <is>
          <t>georgia</t>
        </is>
      </c>
      <c r="C130" s="13" t="inlineStr">
        <is>
          <t>GEO</t>
        </is>
      </c>
      <c r="D130" s="13" t="inlineStr">
        <is>
          <t>Georgia</t>
        </is>
      </c>
      <c r="E130" s="13" t="inlineStr">
        <is>
          <t>Fresco</t>
        </is>
      </c>
      <c r="F130" s="13" t="inlineStr">
        <is>
          <t>https://fresco.ge/</t>
        </is>
      </c>
      <c r="G130" s="13" t="inlineStr">
        <is>
          <t>PROBED - SKIP</t>
        </is>
      </c>
      <c r="H130" s="13" t="inlineStr">
        <is>
          <t>SKIP</t>
        </is>
      </c>
      <c r="I130" s="13" t="inlineStr">
        <is>
          <t>high</t>
        </is>
      </c>
      <c r="J130" s="13" t="n">
        <v>0</v>
      </c>
      <c r="K130" s="13" t="inlineStr"/>
      <c r="L130" s="13" t="inlineStr">
        <is>
          <t>curl root and www subdomain both time out after 20-25s despite resolvable AWS Route53 nameservers -- host effectively unreachable from this network across 2 attempts.</t>
        </is>
      </c>
      <c r="M130" s="13" t="inlineStr">
        <is>
          <t>SUSPECT</t>
        </is>
      </c>
      <c r="N130" s="13" t="inlineStr">
        <is>
          <t>not scored</t>
        </is>
      </c>
      <c r="O130" s="13" t="inlineStr"/>
      <c r="P130" s="13" t="inlineStr">
        <is>
          <t>Custom</t>
        </is>
      </c>
      <c r="Q130" s="13" t="inlineStr">
        <is>
          <t>GEL</t>
        </is>
      </c>
      <c r="R130" s="13" t="inlineStr">
        <is>
          <t>-</t>
        </is>
      </c>
      <c r="S130" s="13" t="inlineStr">
        <is>
          <t>-</t>
        </is>
      </c>
      <c r="T130" s="13" t="inlineStr">
        <is>
          <t>15+ stores, mid-range daily shopping; website plus Glovo.</t>
        </is>
      </c>
      <c r="U130" s="13" t="inlineStr">
        <is>
          <t>-</t>
        </is>
      </c>
      <c r="V130" s="13" t="inlineStr">
        <is>
          <t>P4</t>
        </is>
      </c>
    </row>
    <row r="131">
      <c r="A131" s="13" t="inlineStr">
        <is>
          <t>eca</t>
        </is>
      </c>
      <c r="B131" s="13" t="inlineStr">
        <is>
          <t>georgia</t>
        </is>
      </c>
      <c r="C131" s="13" t="inlineStr">
        <is>
          <t>GEO</t>
        </is>
      </c>
      <c r="D131" s="13" t="inlineStr">
        <is>
          <t>Georgia</t>
        </is>
      </c>
      <c r="E131" s="13" t="inlineStr">
        <is>
          <t>Georgita</t>
        </is>
      </c>
      <c r="F131" s="13" t="inlineStr">
        <is>
          <t>https://georgita.ge/en/</t>
        </is>
      </c>
      <c r="G131" s="13" t="inlineStr">
        <is>
          <t>PROBED - SKIP</t>
        </is>
      </c>
      <c r="H131" s="13" t="inlineStr">
        <is>
          <t>SKIP</t>
        </is>
      </c>
      <c r="I131" s="13" t="inlineStr">
        <is>
          <t>high</t>
        </is>
      </c>
      <c r="J131" s="13" t="n">
        <v>0</v>
      </c>
      <c r="K131" s="13" t="inlineStr"/>
      <c r="L131" s="13" t="inlineStr">
        <is>
          <t>IIS/ASP.NET server; redirect chain /en/ -&gt; /en resolves but subsequent GET times out after 20s (2 attempts). Flaky/slow host.</t>
        </is>
      </c>
      <c r="M131" s="13" t="inlineStr">
        <is>
          <t>ACCEPT</t>
        </is>
      </c>
      <c r="N131" s="13" t="inlineStr">
        <is>
          <t>not scored</t>
        </is>
      </c>
      <c r="O131" s="13" t="inlineStr"/>
      <c r="P131" s="13" t="inlineStr">
        <is>
          <t>Custom</t>
        </is>
      </c>
      <c r="Q131" s="13" t="inlineStr">
        <is>
          <t>GEL</t>
        </is>
      </c>
      <c r="R131" s="13" t="inlineStr">
        <is>
          <t>-</t>
        </is>
      </c>
      <c r="S131" s="13" t="inlineStr">
        <is>
          <t>-</t>
        </is>
      </c>
      <c r="T131" s="13" t="inlineStr">
        <is>
          <t>Online supermarket with GEL prices and a published per-district delivery tariff table (Okrokhana 15 GEL through Saguramo 30 GEL) - unusually granular geographic detail.</t>
        </is>
      </c>
      <c r="U131" s="13" t="inlineStr">
        <is>
          <t>-</t>
        </is>
      </c>
      <c r="V131" s="13" t="inlineStr">
        <is>
          <t>P4</t>
        </is>
      </c>
    </row>
    <row r="132">
      <c r="A132" s="13" t="inlineStr">
        <is>
          <t>eca</t>
        </is>
      </c>
      <c r="B132" s="13" t="inlineStr">
        <is>
          <t>georgia</t>
        </is>
      </c>
      <c r="C132" s="13" t="inlineStr">
        <is>
          <t>GEO</t>
        </is>
      </c>
      <c r="D132" s="13" t="inlineStr">
        <is>
          <t>Georgia</t>
        </is>
      </c>
      <c r="E132" s="13" t="inlineStr">
        <is>
          <t>Goodwill</t>
        </is>
      </c>
      <c r="F132" s="13" t="inlineStr">
        <is>
          <t>https://goodwill.ge/</t>
        </is>
      </c>
      <c r="G132" s="13" t="inlineStr">
        <is>
          <t>PROBED - SKIP</t>
        </is>
      </c>
      <c r="H132" s="13" t="inlineStr">
        <is>
          <t>SKIP</t>
        </is>
      </c>
      <c r="I132" s="13" t="inlineStr">
        <is>
          <t>high</t>
        </is>
      </c>
      <c r="J132" s="13" t="n">
        <v>0</v>
      </c>
      <c r="K132" s="13" t="inlineStr"/>
      <c r="L132" s="13" t="inlineStr">
        <is>
          <t>GET /shop/1 -&gt; 200, 76KB, react/next in bundle but zero GEL prices found in SSR HTML.</t>
        </is>
      </c>
      <c r="M132" s="13" t="inlineStr">
        <is>
          <t>ACCEPT</t>
        </is>
      </c>
      <c r="N132" s="13" t="inlineStr">
        <is>
          <t>not scored</t>
        </is>
      </c>
      <c r="O132" s="13" t="inlineStr"/>
      <c r="P132" s="13" t="inlineStr">
        <is>
          <t>Custom</t>
        </is>
      </c>
      <c r="Q132" s="13" t="inlineStr">
        <is>
          <t>GEL</t>
        </is>
      </c>
      <c r="R132" s="13" t="inlineStr">
        <is>
          <t>-</t>
        </is>
      </c>
      <c r="S132" s="13" t="inlineStr">
        <is>
          <t>-</t>
        </is>
      </c>
      <c r="T132" s="13" t="inlineStr">
        <is>
          <t>Georgia's original hypermarket chain, 3 hypermarkets, website and app.</t>
        </is>
      </c>
      <c r="U132" s="13" t="inlineStr">
        <is>
          <t>-</t>
        </is>
      </c>
      <c r="V132" s="13" t="inlineStr">
        <is>
          <t>P4</t>
        </is>
      </c>
    </row>
    <row r="133">
      <c r="A133" s="13" t="inlineStr">
        <is>
          <t>eca</t>
        </is>
      </c>
      <c r="B133" s="13" t="inlineStr">
        <is>
          <t>georgia</t>
        </is>
      </c>
      <c r="C133" s="13" t="inlineStr">
        <is>
          <t>GEO</t>
        </is>
      </c>
      <c r="D133" s="13" t="inlineStr">
        <is>
          <t>Georgia</t>
        </is>
      </c>
      <c r="E133" s="13" t="inlineStr">
        <is>
          <t>Nikora</t>
        </is>
      </c>
      <c r="F133" s="13" t="inlineStr">
        <is>
          <t>https://nikora.ge/</t>
        </is>
      </c>
      <c r="G133" s="13" t="inlineStr">
        <is>
          <t>PROBED - SKIP</t>
        </is>
      </c>
      <c r="H133" s="13" t="inlineStr">
        <is>
          <t>SKIP</t>
        </is>
      </c>
      <c r="I133" s="13" t="inlineStr">
        <is>
          <t>high</t>
        </is>
      </c>
      <c r="J133" s="13" t="n">
        <v>0</v>
      </c>
      <c r="K133" s="13" t="inlineStr"/>
      <c r="L133" s="13" t="inlineStr">
        <is>
          <t>GET / -&gt; 301 to nikoraltd.ge (200, IIS/ASP.NET-adjacent front dispatching to nikora.nikoraltd.ge/products, mzareuli.nikoraltd.ge/products, metable.ge/products). Fetched nikora.nikoraltd.ge/products -&gt; 200, 37KB Next.js shell, zero GEL prices found in SSR HTML.</t>
        </is>
      </c>
      <c r="M133" s="13" t="inlineStr">
        <is>
          <t>ACCEPT</t>
        </is>
      </c>
      <c r="N133" s="13" t="inlineStr">
        <is>
          <t>not scored</t>
        </is>
      </c>
      <c r="O133" s="13" t="inlineStr"/>
      <c r="P133" s="13" t="inlineStr">
        <is>
          <t>Custom</t>
        </is>
      </c>
      <c r="Q133" s="13" t="inlineStr">
        <is>
          <t>GEL</t>
        </is>
      </c>
      <c r="R133" s="13" t="inlineStr">
        <is>
          <t>-</t>
        </is>
      </c>
      <c r="S133" s="13" t="inlineStr">
        <is>
          <t>-</t>
        </is>
      </c>
      <c r="T133" s="13" t="inlineStr">
        <is>
          <t>100+ stores nationwide - the widest geographic footprint in Georgia, so best for spatial price dispersion. App plus Glovo.</t>
        </is>
      </c>
      <c r="U133" s="13" t="inlineStr">
        <is>
          <t>-</t>
        </is>
      </c>
      <c r="V133" s="13" t="inlineStr">
        <is>
          <t>P4</t>
        </is>
      </c>
    </row>
    <row r="134">
      <c r="A134" s="13" t="inlineStr">
        <is>
          <t>eca</t>
        </is>
      </c>
      <c r="B134" s="13" t="inlineStr">
        <is>
          <t>georgia</t>
        </is>
      </c>
      <c r="C134" s="13" t="inlineStr">
        <is>
          <t>GEO</t>
        </is>
      </c>
      <c r="D134" s="13" t="inlineStr">
        <is>
          <t>Georgia</t>
        </is>
      </c>
      <c r="E134" s="13" t="inlineStr">
        <is>
          <t>Ori Nabiji</t>
        </is>
      </c>
      <c r="F134" s="13" t="inlineStr">
        <is>
          <t>https://orinabiji.ge/</t>
        </is>
      </c>
      <c r="G134" s="13" t="inlineStr">
        <is>
          <t>PROBED - SKIP</t>
        </is>
      </c>
      <c r="H134" s="13" t="inlineStr">
        <is>
          <t>SKIP</t>
        </is>
      </c>
      <c r="I134" s="13" t="inlineStr">
        <is>
          <t>high</t>
        </is>
      </c>
      <c r="J134" s="13" t="n">
        <v>0</v>
      </c>
      <c r="K134" s="13" t="inlineStr"/>
      <c r="L134" s="13" t="inlineStr">
        <is>
          <t>GET / -&gt; meta-refresh redirect to https://2nabiji.ge/ (200, 19.5KB, Next.js). Zero GEL prices in SSR HTML.</t>
        </is>
      </c>
      <c r="M134" s="13" t="inlineStr">
        <is>
          <t>SUSPECT</t>
        </is>
      </c>
      <c r="N134" s="13" t="inlineStr">
        <is>
          <t>not scored</t>
        </is>
      </c>
      <c r="O134" s="13" t="inlineStr"/>
      <c r="P134" s="13" t="inlineStr">
        <is>
          <t>Custom</t>
        </is>
      </c>
      <c r="Q134" s="13" t="inlineStr">
        <is>
          <t>GEL</t>
        </is>
      </c>
      <c r="R134" s="13" t="inlineStr">
        <is>
          <t>-</t>
        </is>
      </c>
      <c r="S134" s="13" t="inlineStr">
        <is>
          <t>-</t>
        </is>
      </c>
      <c r="T134" s="13" t="inlineStr">
        <is>
          <t>200+ convenience stores - the densest network in Georgia. Website plus app.</t>
        </is>
      </c>
      <c r="U134" s="13" t="inlineStr">
        <is>
          <t>-</t>
        </is>
      </c>
      <c r="V134" s="13" t="inlineStr">
        <is>
          <t>P4</t>
        </is>
      </c>
    </row>
    <row r="135">
      <c r="A135" s="13" t="inlineStr">
        <is>
          <t>eca</t>
        </is>
      </c>
      <c r="B135" s="13" t="inlineStr">
        <is>
          <t>georgia</t>
        </is>
      </c>
      <c r="C135" s="13" t="inlineStr">
        <is>
          <t>GEO</t>
        </is>
      </c>
      <c r="D135" s="13" t="inlineStr">
        <is>
          <t>Georgia</t>
        </is>
      </c>
      <c r="E135" s="13" t="inlineStr">
        <is>
          <t>Europroduct</t>
        </is>
      </c>
      <c r="F135" s="13" t="inlineStr">
        <is>
          <t>https://europroduct.ge/</t>
        </is>
      </c>
      <c r="G135" s="13" t="inlineStr">
        <is>
          <t>PROBED - VIABLE</t>
        </is>
      </c>
      <c r="H135" s="13" t="inlineStr">
        <is>
          <t>TIER_1A</t>
        </is>
      </c>
      <c r="I135" s="13" t="inlineStr">
        <is>
          <t>low</t>
        </is>
      </c>
      <c r="J135" s="13" t="n">
        <v>140</v>
      </c>
      <c r="K135" s="13" t="inlineStr">
        <is>
          <t>/products?pcat_idIn=&lt;id&gt;</t>
        </is>
      </c>
      <c r="L135" s="13" t="inlineStr">
        <is>
          <t>GET /products?pcat_idIn=126 -&gt; 200, 91KB. Product card: h2.product-name 'kurkuma (50g)' (turmeric), span.product-price '3,15 €' (GEL displayed with ₴ symbol on other cards e.g. '9,40 ₺', '5,95 ₺'). SSR category pages with real product/price pairs.</t>
        </is>
      </c>
      <c r="M135" s="13" t="inlineStr">
        <is>
          <t>ACCEPT</t>
        </is>
      </c>
      <c r="N135" s="13" t="inlineStr">
        <is>
          <t>not scored</t>
        </is>
      </c>
      <c r="O135" s="13" t="inlineStr"/>
      <c r="P135" s="13" t="inlineStr">
        <is>
          <t>Custom</t>
        </is>
      </c>
      <c r="Q135" s="13" t="inlineStr">
        <is>
          <t>GEL</t>
        </is>
      </c>
      <c r="R135" s="13" t="inlineStr">
        <is>
          <t>-</t>
        </is>
      </c>
      <c r="S135" s="13" t="inlineStr">
        <is>
          <t>-</t>
        </is>
      </c>
      <c r="T135" s="13" t="inlineStr">
        <is>
          <t>5K+ items on Wolt at 98% satisfaction; also carried on Glovo. Own site should be tested.</t>
        </is>
      </c>
      <c r="U135" s="13" t="inlineStr">
        <is>
          <t>-</t>
        </is>
      </c>
      <c r="V135" s="13" t="inlineStr">
        <is>
          <t>P4</t>
        </is>
      </c>
    </row>
    <row r="136">
      <c r="A136" s="13" t="inlineStr">
        <is>
          <t>eca</t>
        </is>
      </c>
      <c r="B136" s="13" t="inlineStr">
        <is>
          <t>georgia</t>
        </is>
      </c>
      <c r="C136" s="13" t="inlineStr">
        <is>
          <t>GEO</t>
        </is>
      </c>
      <c r="D136" s="13" t="inlineStr">
        <is>
          <t>Georgia</t>
        </is>
      </c>
      <c r="E136" s="13" t="inlineStr">
        <is>
          <t>Wolt Market Georgia</t>
        </is>
      </c>
      <c r="F136" s="13" t="inlineStr">
        <is>
          <t>https://wolt.com/en/geo/tbilisi/category/grocery</t>
        </is>
      </c>
      <c r="G136" s="13" t="inlineStr">
        <is>
          <t>PROBED - VIABLE</t>
        </is>
      </c>
      <c r="H136" s="13" t="inlineStr">
        <is>
          <t>TIER_2</t>
        </is>
      </c>
      <c r="I136" s="13" t="inlineStr">
        <is>
          <t>medium</t>
        </is>
      </c>
      <c r="J136" s="13" t="n">
        <v>0</v>
      </c>
      <c r="K136" s="13" t="inlineStr">
        <is>
          <t>SPA - needs Playwright render</t>
        </is>
      </c>
      <c r="L136" s="13" t="inlineStr">
        <is>
          <t>curl 200, 1.79MB SPA shell; prices render as 'KZT0' placeholder pre-hydration - needs Playwright</t>
        </is>
      </c>
      <c r="M136" s="13" t="inlineStr">
        <is>
          <t>ACCEPT</t>
        </is>
      </c>
      <c r="N136" s="13" t="inlineStr">
        <is>
          <t>not scored</t>
        </is>
      </c>
      <c r="O136" s="13" t="inlineStr"/>
      <c r="P136" s="13" t="inlineStr">
        <is>
          <t>Custom</t>
        </is>
      </c>
      <c r="Q136" s="13" t="inlineStr">
        <is>
          <t>GEL</t>
        </is>
      </c>
      <c r="R136" s="13" t="inlineStr">
        <is>
          <t>-</t>
        </is>
      </c>
      <c r="S136" s="13" t="inlineStr">
        <is>
          <t>-</t>
        </is>
      </c>
      <c r="T136" s="13" t="inlineStr">
        <is>
          <t>STRONG: 6,000+ products, 24/7. The Tbilisi grocery page indexes 30+ named stores including SPAR (3K+ items, 'same in-store prices'), IOLI (3K+), Europroduct (5K+), Rkoni (10,000 products), Smart, Agronomia, Gastronome, OnePrice, Naturali, Best Market, Zgapari.</t>
        </is>
      </c>
      <c r="U136" s="13" t="inlineStr">
        <is>
          <t>-</t>
        </is>
      </c>
      <c r="V136" s="13" t="inlineStr">
        <is>
          <t>P4</t>
        </is>
      </c>
    </row>
    <row r="137">
      <c r="A137" s="13" t="inlineStr">
        <is>
          <t>eca</t>
        </is>
      </c>
      <c r="B137" s="13" t="inlineStr">
        <is>
          <t>greece</t>
        </is>
      </c>
      <c r="C137" s="13" t="inlineStr">
        <is>
          <t>GRC</t>
        </is>
      </c>
      <c r="D137" s="13" t="inlineStr">
        <is>
          <t>Greece</t>
        </is>
      </c>
      <c r="E137" s="13" t="inlineStr">
        <is>
          <t>Bazaar</t>
        </is>
      </c>
      <c r="F137" s="13" t="inlineStr">
        <is>
          <t>https://www.bazaar.gr/</t>
        </is>
      </c>
      <c r="G137" s="13" t="inlineStr">
        <is>
          <t>NOT PROBED - deduped, already onboarded, or time-boxed</t>
        </is>
      </c>
      <c r="H137" s="13" t="inlineStr"/>
      <c r="I137" s="13" t="inlineStr"/>
      <c r="J137" s="13" t="inlineStr"/>
      <c r="K137" s="13" t="inlineStr"/>
      <c r="L137" s="13" t="inlineStr"/>
      <c r="M137" s="13" t="inlineStr">
        <is>
          <t>SUSPECT</t>
        </is>
      </c>
      <c r="N137" s="13" t="inlineStr">
        <is>
          <t>C - engineering required</t>
        </is>
      </c>
      <c r="O137" s="13" t="n">
        <v>3</v>
      </c>
      <c r="P137" s="13" t="inlineStr">
        <is>
          <t>Custom</t>
        </is>
      </c>
      <c r="Q137" s="13" t="inlineStr">
        <is>
          <t>EUR</t>
        </is>
      </c>
      <c r="R137" s="13" t="inlineStr">
        <is>
          <t>-</t>
        </is>
      </c>
      <c r="S137" s="13" t="inlineStr">
        <is>
          <t>current</t>
        </is>
      </c>
      <c r="T137" s="13" t="inlineStr">
        <is>
          <t>Discount chain - useful as the value tier.</t>
        </is>
      </c>
      <c r="U137" s="13" t="inlineStr">
        <is>
          <t>-</t>
        </is>
      </c>
      <c r="V137" s="13" t="inlineStr">
        <is>
          <t>P7</t>
        </is>
      </c>
    </row>
    <row r="138">
      <c r="A138" s="13" t="inlineStr">
        <is>
          <t>eca</t>
        </is>
      </c>
      <c r="B138" s="13" t="inlineStr">
        <is>
          <t>greece</t>
        </is>
      </c>
      <c r="C138" s="13" t="inlineStr">
        <is>
          <t>GRC</t>
        </is>
      </c>
      <c r="D138" s="13" t="inlineStr">
        <is>
          <t>Greece</t>
        </is>
      </c>
      <c r="E138" s="13" t="inlineStr">
        <is>
          <t>Galaxias</t>
        </is>
      </c>
      <c r="F138" s="13" t="inlineStr">
        <is>
          <t>https://www.galaxias.gr/</t>
        </is>
      </c>
      <c r="G138" s="13" t="inlineStr">
        <is>
          <t>NOT PROBED - deduped, already onboarded, or time-boxed</t>
        </is>
      </c>
      <c r="H138" s="13" t="inlineStr"/>
      <c r="I138" s="13" t="inlineStr"/>
      <c r="J138" s="13" t="inlineStr"/>
      <c r="K138" s="13" t="inlineStr"/>
      <c r="L138" s="13" t="inlineStr"/>
      <c r="M138" s="13" t="inlineStr">
        <is>
          <t>SUSPECT</t>
        </is>
      </c>
      <c r="N138" s="13" t="inlineStr">
        <is>
          <t>C - engineering required</t>
        </is>
      </c>
      <c r="O138" s="13" t="n">
        <v>3</v>
      </c>
      <c r="P138" s="13" t="inlineStr">
        <is>
          <t>Custom</t>
        </is>
      </c>
      <c r="Q138" s="13" t="inlineStr">
        <is>
          <t>EUR</t>
        </is>
      </c>
      <c r="R138" s="13" t="inlineStr">
        <is>
          <t>-</t>
        </is>
      </c>
      <c r="S138" s="13" t="inlineStr">
        <is>
          <t>current</t>
        </is>
      </c>
      <c r="T138" s="13" t="inlineStr">
        <is>
          <t>Mid-size chain.</t>
        </is>
      </c>
      <c r="U138" s="13" t="inlineStr">
        <is>
          <t>-</t>
        </is>
      </c>
      <c r="V138" s="13" t="inlineStr">
        <is>
          <t>P7</t>
        </is>
      </c>
    </row>
    <row r="139">
      <c r="A139" s="13" t="inlineStr">
        <is>
          <t>eca</t>
        </is>
      </c>
      <c r="B139" s="13" t="inlineStr">
        <is>
          <t>greece</t>
        </is>
      </c>
      <c r="C139" s="13" t="inlineStr">
        <is>
          <t>GRC</t>
        </is>
      </c>
      <c r="D139" s="13" t="inlineStr">
        <is>
          <t>Greece</t>
        </is>
      </c>
      <c r="E139" s="13" t="inlineStr">
        <is>
          <t>Galaxias</t>
        </is>
      </c>
      <c r="F139" s="13" t="inlineStr">
        <is>
          <t>https://www.galaxias.gr/</t>
        </is>
      </c>
      <c r="G139" s="13" t="inlineStr">
        <is>
          <t>NOT PROBED - deduped, already onboarded, or time-boxed</t>
        </is>
      </c>
      <c r="H139" s="13" t="inlineStr"/>
      <c r="I139" s="13" t="inlineStr"/>
      <c r="J139" s="13" t="inlineStr"/>
      <c r="K139" s="13" t="inlineStr"/>
      <c r="L139" s="13" t="inlineStr"/>
      <c r="M139" s="13" t="inlineStr">
        <is>
          <t>ACCEPT</t>
        </is>
      </c>
      <c r="N139" s="13" t="inlineStr">
        <is>
          <t>C - engineering required</t>
        </is>
      </c>
      <c r="O139" s="13" t="n">
        <v>3</v>
      </c>
      <c r="P139" s="13" t="inlineStr">
        <is>
          <t>Custom</t>
        </is>
      </c>
      <c r="Q139" s="13" t="inlineStr"/>
      <c r="R139" s="13" t="inlineStr">
        <is>
          <t>-</t>
        </is>
      </c>
      <c r="S139" s="13" t="inlineStr">
        <is>
          <t>current</t>
        </is>
      </c>
      <c r="T139" s="13" t="inlineStr">
        <is>
          <t>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139" s="13" t="inlineStr">
        <is>
          <t>-</t>
        </is>
      </c>
      <c r="V139" s="13" t="inlineStr">
        <is>
          <t>P8-EU</t>
        </is>
      </c>
    </row>
    <row r="140">
      <c r="A140" s="13" t="inlineStr">
        <is>
          <t>eca</t>
        </is>
      </c>
      <c r="B140" s="13" t="inlineStr">
        <is>
          <t>greece</t>
        </is>
      </c>
      <c r="C140" s="13" t="inlineStr">
        <is>
          <t>GRC</t>
        </is>
      </c>
      <c r="D140" s="13" t="inlineStr">
        <is>
          <t>Greece</t>
        </is>
      </c>
      <c r="E140" s="13" t="inlineStr">
        <is>
          <t>SYN.KA</t>
        </is>
      </c>
      <c r="F140" s="13" t="inlineStr">
        <is>
          <t>https://www.synka-super.gr/</t>
        </is>
      </c>
      <c r="G140" s="13" t="inlineStr">
        <is>
          <t>NOT PROBED - deduped, already onboarded, or time-boxed</t>
        </is>
      </c>
      <c r="H140" s="13" t="inlineStr"/>
      <c r="I140" s="13" t="inlineStr"/>
      <c r="J140" s="13" t="inlineStr"/>
      <c r="K140" s="13" t="inlineStr"/>
      <c r="L140" s="13" t="inlineStr"/>
      <c r="M140" s="13" t="inlineStr">
        <is>
          <t>ACCEPT</t>
        </is>
      </c>
      <c r="N140" s="13" t="inlineStr">
        <is>
          <t>C - engineering required</t>
        </is>
      </c>
      <c r="O140" s="13" t="n">
        <v>3</v>
      </c>
      <c r="P140" s="13" t="inlineStr">
        <is>
          <t>Custom</t>
        </is>
      </c>
      <c r="Q140" s="13" t="inlineStr"/>
      <c r="R140" s="13" t="inlineStr">
        <is>
          <t>-</t>
        </is>
      </c>
      <c r="S140" s="13" t="inlineStr">
        <is>
          <t>current</t>
        </is>
      </c>
      <c r="T140" s="13" t="inlineStr">
        <is>
          <t>Crete-focused - island price premia.</t>
        </is>
      </c>
      <c r="U140" s="13" t="inlineStr">
        <is>
          <t>-</t>
        </is>
      </c>
      <c r="V140" s="13" t="inlineStr">
        <is>
          <t>P8-EU</t>
        </is>
      </c>
    </row>
    <row r="141">
      <c r="A141" s="13" t="inlineStr">
        <is>
          <t>eca</t>
        </is>
      </c>
      <c r="B141" s="13" t="inlineStr">
        <is>
          <t>greece</t>
        </is>
      </c>
      <c r="C141" s="13" t="inlineStr">
        <is>
          <t>GRC</t>
        </is>
      </c>
      <c r="D141" s="13" t="inlineStr">
        <is>
          <t>Greece</t>
        </is>
      </c>
      <c r="E141" s="13" t="inlineStr">
        <is>
          <t>AB Vassilopoulos</t>
        </is>
      </c>
      <c r="F141" s="13" t="inlineStr">
        <is>
          <t>https://www.ab.gr/</t>
        </is>
      </c>
      <c r="G141" s="13" t="inlineStr">
        <is>
          <t>PROBED - SKIP</t>
        </is>
      </c>
      <c r="H141" s="13" t="inlineStr">
        <is>
          <t>SKIP</t>
        </is>
      </c>
      <c r="I141" s="13" t="inlineStr">
        <is>
          <t>high</t>
        </is>
      </c>
      <c r="J141" s="13" t="n">
        <v>0</v>
      </c>
      <c r="K141" s="13" t="inlineStr"/>
      <c r="L141" s="13" t="inlineStr">
        <is>
          <t>GET / -&gt; HTTP 403 Akamai 'Access Denied' (server: AkamaiGHost, edgesuite.net reference id).</t>
        </is>
      </c>
      <c r="M141" s="13" t="inlineStr">
        <is>
          <t>ACCEPT</t>
        </is>
      </c>
      <c r="N141" s="13" t="inlineStr">
        <is>
          <t>C - engineering required</t>
        </is>
      </c>
      <c r="O141" s="13" t="n">
        <v>3</v>
      </c>
      <c r="P141" s="13" t="inlineStr">
        <is>
          <t>Custom</t>
        </is>
      </c>
      <c r="Q141" s="13" t="inlineStr">
        <is>
          <t>EUR</t>
        </is>
      </c>
      <c r="R141" s="13" t="inlineStr">
        <is>
          <t>-</t>
        </is>
      </c>
      <c r="S141" s="13" t="inlineStr">
        <is>
          <t>current, promo</t>
        </is>
      </c>
      <c r="T141" s="13" t="inlineStr">
        <is>
          <t>Ahold Delhaize chain, founded 1939. 7,500 products available via Wolt across Athens, Volos, Heraklion, Thessaloniki, Ioannina, Kalamata, Kozani, Larisa, Patras, Rethymno, Serres, Chalkida and Chania - 13 cities, which is good geographic spread for a single adapter.</t>
        </is>
      </c>
      <c r="U141" s="13" t="inlineStr">
        <is>
          <t>-</t>
        </is>
      </c>
      <c r="V141" s="13" t="inlineStr">
        <is>
          <t>P7</t>
        </is>
      </c>
    </row>
    <row r="142">
      <c r="A142" s="13" t="inlineStr">
        <is>
          <t>eca</t>
        </is>
      </c>
      <c r="B142" s="13" t="inlineStr">
        <is>
          <t>greece</t>
        </is>
      </c>
      <c r="C142" s="13" t="inlineStr">
        <is>
          <t>GRC</t>
        </is>
      </c>
      <c r="D142" s="13" t="inlineStr">
        <is>
          <t>Greece</t>
        </is>
      </c>
      <c r="E142" s="13" t="inlineStr">
        <is>
          <t>AB Vassilopoulos</t>
        </is>
      </c>
      <c r="F142" s="13" t="inlineStr">
        <is>
          <t>https://www.ab.gr/</t>
        </is>
      </c>
      <c r="G142" s="13" t="inlineStr">
        <is>
          <t>PROBED - SKIP</t>
        </is>
      </c>
      <c r="H142" s="13" t="inlineStr">
        <is>
          <t>SKIP</t>
        </is>
      </c>
      <c r="I142" s="13" t="inlineStr">
        <is>
          <t>high</t>
        </is>
      </c>
      <c r="J142" s="13" t="n">
        <v>0</v>
      </c>
      <c r="K142" s="13" t="inlineStr"/>
      <c r="L142" s="13" t="inlineStr">
        <is>
          <t>GET / -&gt; HTTP 403 Akamai 'Access Denied' (server: AkamaiGHost, edgesuite.net reference id).</t>
        </is>
      </c>
      <c r="M142" s="13" t="inlineStr">
        <is>
          <t>ACCEPT</t>
        </is>
      </c>
      <c r="N142" s="13" t="inlineStr">
        <is>
          <t>C - engineering required</t>
        </is>
      </c>
      <c r="O142" s="13" t="n">
        <v>3</v>
      </c>
      <c r="P142" s="13" t="inlineStr">
        <is>
          <t>Custom</t>
        </is>
      </c>
      <c r="Q142" s="13" t="inlineStr"/>
      <c r="R142" s="13" t="inlineStr">
        <is>
          <t>-</t>
        </is>
      </c>
      <c r="S142" s="13" t="inlineStr">
        <is>
          <t>current</t>
        </is>
      </c>
      <c r="T142" s="13" t="inlineStr">
        <is>
          <t>Ahold Delhaize; 7,500 products via Wolt across 13 Greek cities.</t>
        </is>
      </c>
      <c r="U142" s="13" t="inlineStr">
        <is>
          <t>-</t>
        </is>
      </c>
      <c r="V142" s="13" t="inlineStr">
        <is>
          <t>P8-EU</t>
        </is>
      </c>
    </row>
    <row r="143">
      <c r="A143" s="13" t="inlineStr">
        <is>
          <t>eca</t>
        </is>
      </c>
      <c r="B143" s="13" t="inlineStr">
        <is>
          <t>greece</t>
        </is>
      </c>
      <c r="C143" s="13" t="inlineStr">
        <is>
          <t>GRC</t>
        </is>
      </c>
      <c r="D143" s="13" t="inlineStr">
        <is>
          <t>Greece</t>
        </is>
      </c>
      <c r="E143" s="13" t="inlineStr">
        <is>
          <t>Chalkiadakis</t>
        </is>
      </c>
      <c r="F143" s="13" t="inlineStr">
        <is>
          <t>https://www.chalkiadakis.gr/</t>
        </is>
      </c>
      <c r="G143" s="13" t="inlineStr">
        <is>
          <t>PROBED - SKIP</t>
        </is>
      </c>
      <c r="H143" s="13" t="inlineStr">
        <is>
          <t>SKIP</t>
        </is>
      </c>
      <c r="I143" s="13" t="inlineStr">
        <is>
          <t>high</t>
        </is>
      </c>
      <c r="J143" s="13" t="n">
        <v>0</v>
      </c>
      <c r="K143" s="13" t="inlineStr"/>
      <c r="L143" s="13" t="inlineStr">
        <is>
          <t>GET / -&gt; 200, 957 bytes, windows-1253-encoded HTML frameset from what looks like a 1990s-2000s-era Microsoft FrontPage site (title 'Chalkiadakis Supermarket', &lt;frameset&gt; layout).</t>
        </is>
      </c>
      <c r="M143" s="13" t="inlineStr">
        <is>
          <t>ACCEPT</t>
        </is>
      </c>
      <c r="N143" s="13" t="inlineStr">
        <is>
          <t>C - engineering required</t>
        </is>
      </c>
      <c r="O143" s="13" t="n">
        <v>3</v>
      </c>
      <c r="P143" s="13" t="inlineStr">
        <is>
          <t>Custom</t>
        </is>
      </c>
      <c r="Q143" s="13" t="inlineStr"/>
      <c r="R143" s="13" t="inlineStr">
        <is>
          <t>-</t>
        </is>
      </c>
      <c r="S143" s="13" t="inlineStr">
        <is>
          <t>current</t>
        </is>
      </c>
      <c r="T143" s="13" t="inlineStr">
        <is>
          <t>Crete.</t>
        </is>
      </c>
      <c r="U143" s="13" t="inlineStr">
        <is>
          <t>-</t>
        </is>
      </c>
      <c r="V143" s="13" t="inlineStr">
        <is>
          <t>P8-EU</t>
        </is>
      </c>
    </row>
    <row r="144">
      <c r="A144" s="13" t="inlineStr">
        <is>
          <t>eca</t>
        </is>
      </c>
      <c r="B144" s="13" t="inlineStr">
        <is>
          <t>greece</t>
        </is>
      </c>
      <c r="C144" s="13" t="inlineStr">
        <is>
          <t>GRC</t>
        </is>
      </c>
      <c r="D144" s="13" t="inlineStr">
        <is>
          <t>Greece</t>
        </is>
      </c>
      <c r="E144" s="13" t="inlineStr">
        <is>
          <t>Fthna.gr</t>
        </is>
      </c>
      <c r="F144" s="13" t="inlineStr">
        <is>
          <t>https://www.fthna.gr/</t>
        </is>
      </c>
      <c r="G144" s="13" t="inlineStr">
        <is>
          <t>PROBED - SKIP</t>
        </is>
      </c>
      <c r="H144" s="13" t="inlineStr">
        <is>
          <t>SKIP</t>
        </is>
      </c>
      <c r="I144" s="13" t="inlineStr">
        <is>
          <t>medium</t>
        </is>
      </c>
      <c r="J144" s="13" t="n">
        <v>0</v>
      </c>
      <c r="K144" s="13" t="inlineStr"/>
      <c r="L144" s="13" t="inlineStr">
        <is>
          <t>GET / -&gt; 200, 43.8KB, Next.js shell. Zero price patterns matched on homepage.</t>
        </is>
      </c>
      <c r="M144" s="13" t="inlineStr">
        <is>
          <t>ACCEPT</t>
        </is>
      </c>
      <c r="N144" s="13" t="inlineStr">
        <is>
          <t>C - engineering required</t>
        </is>
      </c>
      <c r="O144" s="13" t="n">
        <v>3</v>
      </c>
      <c r="P144" s="13" t="inlineStr">
        <is>
          <t>Custom</t>
        </is>
      </c>
      <c r="Q144" s="13" t="inlineStr">
        <is>
          <t>EUR</t>
        </is>
      </c>
      <c r="R144" s="13" t="inlineStr">
        <is>
          <t>Parse the comparison and history endpoints; compare against your own crawl of the same 3.</t>
        </is>
      </c>
      <c r="S144" s="13" t="inlineStr">
        <is>
          <t>price_per_retailer, basket_total, price_history_series</t>
        </is>
      </c>
      <c r="T144" s="13" t="inlineStr">
        <is>
          <t>RARE AND VALUABLE: a comparison site that publishes PRICE HISTORY CHARTS ('Istoriko timon trofimon') showing how prices change over time by category, refreshed TWICE DAILY from the official e-shops of Sklavenitis, AB Vassilopoulos and My Market. Tracks a 29-item basket across 5 categories. Explicit price-history publication is exactly what this project is trying to build, so treat it both as a source and as a validation benchmark for your own series.</t>
        </is>
      </c>
      <c r="U144" s="13" t="inlineStr">
        <is>
          <t>Only 3 retailers and 29 items - narrow. Use for cross-validation of your own Greek series rather than as the primary source.</t>
        </is>
      </c>
      <c r="V144" s="13" t="inlineStr">
        <is>
          <t>P7</t>
        </is>
      </c>
    </row>
    <row r="145">
      <c r="A145" s="13" t="inlineStr">
        <is>
          <t>eca</t>
        </is>
      </c>
      <c r="B145" s="13" t="inlineStr">
        <is>
          <t>greece</t>
        </is>
      </c>
      <c r="C145" s="13" t="inlineStr">
        <is>
          <t>GRC</t>
        </is>
      </c>
      <c r="D145" s="13" t="inlineStr">
        <is>
          <t>Greece</t>
        </is>
      </c>
      <c r="E145" s="13" t="inlineStr">
        <is>
          <t>Fthna.gr</t>
        </is>
      </c>
      <c r="F145" s="13" t="inlineStr">
        <is>
          <t>https://www.fthna.gr/</t>
        </is>
      </c>
      <c r="G145" s="13" t="inlineStr">
        <is>
          <t>PROBED - SKIP</t>
        </is>
      </c>
      <c r="H145" s="13" t="inlineStr">
        <is>
          <t>SKIP</t>
        </is>
      </c>
      <c r="I145" s="13" t="inlineStr">
        <is>
          <t>medium</t>
        </is>
      </c>
      <c r="J145" s="13" t="n">
        <v>0</v>
      </c>
      <c r="K145" s="13" t="inlineStr"/>
      <c r="L145" s="13" t="inlineStr">
        <is>
          <t>GET / -&gt; 200, 43.8KB, Next.js shell. Zero price patterns matched on homepage.</t>
        </is>
      </c>
      <c r="M145" s="13" t="inlineStr">
        <is>
          <t>ACCEPT</t>
        </is>
      </c>
      <c r="N145" s="13" t="inlineStr">
        <is>
          <t>C - engineering required</t>
        </is>
      </c>
      <c r="O145" s="13" t="n">
        <v>3</v>
      </c>
      <c r="P145" s="13" t="inlineStr">
        <is>
          <t>Custom</t>
        </is>
      </c>
      <c r="Q145" s="13" t="inlineStr"/>
      <c r="R145" s="13" t="inlineStr">
        <is>
          <t>-</t>
        </is>
      </c>
      <c r="S145" s="13" t="inlineStr">
        <is>
          <t>price_per_retailer, basket_total, price_history</t>
        </is>
      </c>
      <c r="T145" s="13" t="inlineStr">
        <is>
          <t>Publishes PRICE HISTORY CHARTS by category, refreshed TWICE DAILY from the official e-shops of Sklavenitis, AB and My Market. 29-item basket across 5 categories.</t>
        </is>
      </c>
      <c r="U145" s="13" t="inlineStr">
        <is>
          <t>Only 3 retailers and 29 items - use as a validation benchmark, not the primary source.</t>
        </is>
      </c>
      <c r="V145" s="13" t="inlineStr">
        <is>
          <t>P8-EU</t>
        </is>
      </c>
    </row>
    <row r="146">
      <c r="A146" s="13" t="inlineStr">
        <is>
          <t>eca</t>
        </is>
      </c>
      <c r="B146" s="13" t="inlineStr">
        <is>
          <t>greece</t>
        </is>
      </c>
      <c r="C146" s="13" t="inlineStr">
        <is>
          <t>GRC</t>
        </is>
      </c>
      <c r="D146" s="13" t="inlineStr">
        <is>
          <t>Greece</t>
        </is>
      </c>
      <c r="E146" s="13" t="inlineStr">
        <is>
          <t>Kritikos</t>
        </is>
      </c>
      <c r="F146" s="13" t="inlineStr">
        <is>
          <t>https://www.kritikos-sm.gr/</t>
        </is>
      </c>
      <c r="G146" s="13" t="inlineStr">
        <is>
          <t>PROBED - SKIP</t>
        </is>
      </c>
      <c r="H146" s="13" t="inlineStr">
        <is>
          <t>SKIP</t>
        </is>
      </c>
      <c r="I146" s="13" t="inlineStr">
        <is>
          <t>medium</t>
        </is>
      </c>
      <c r="J146" s="13" t="n">
        <v>0</v>
      </c>
      <c r="K146" s="13" t="inlineStr"/>
      <c r="L146" s="13" t="inlineStr">
        <is>
          <t>GET / -&gt; 200, 143KB, Next.js. Zero price patterns or product links matched on homepage.</t>
        </is>
      </c>
      <c r="M146" s="13" t="inlineStr">
        <is>
          <t>ACCEPT</t>
        </is>
      </c>
      <c r="N146" s="13" t="inlineStr">
        <is>
          <t>C - engineering required</t>
        </is>
      </c>
      <c r="O146" s="13" t="n">
        <v>3</v>
      </c>
      <c r="P146" s="13" t="inlineStr">
        <is>
          <t>Custom</t>
        </is>
      </c>
      <c r="Q146" s="13" t="inlineStr">
        <is>
          <t>EUR</t>
        </is>
      </c>
      <c r="R146" s="13" t="inlineStr">
        <is>
          <t>-</t>
        </is>
      </c>
      <c r="S146" s="13" t="inlineStr">
        <is>
          <t>current</t>
        </is>
      </c>
      <c r="T146" s="13" t="inlineStr">
        <is>
          <t>National chain with online shop.</t>
        </is>
      </c>
      <c r="U146" s="13" t="inlineStr">
        <is>
          <t>-</t>
        </is>
      </c>
      <c r="V146" s="13" t="inlineStr">
        <is>
          <t>P7</t>
        </is>
      </c>
    </row>
    <row r="147">
      <c r="A147" s="13" t="inlineStr">
        <is>
          <t>eca</t>
        </is>
      </c>
      <c r="B147" s="13" t="inlineStr">
        <is>
          <t>greece</t>
        </is>
      </c>
      <c r="C147" s="13" t="inlineStr">
        <is>
          <t>GRC</t>
        </is>
      </c>
      <c r="D147" s="13" t="inlineStr">
        <is>
          <t>Greece</t>
        </is>
      </c>
      <c r="E147" s="13" t="inlineStr">
        <is>
          <t>Kritikos</t>
        </is>
      </c>
      <c r="F147" s="13" t="inlineStr">
        <is>
          <t>https://www.kritikos-sm.gr/</t>
        </is>
      </c>
      <c r="G147" s="13" t="inlineStr">
        <is>
          <t>PROBED - SKIP</t>
        </is>
      </c>
      <c r="H147" s="13" t="inlineStr">
        <is>
          <t>SKIP</t>
        </is>
      </c>
      <c r="I147" s="13" t="inlineStr">
        <is>
          <t>medium</t>
        </is>
      </c>
      <c r="J147" s="13" t="n">
        <v>0</v>
      </c>
      <c r="K147" s="13" t="inlineStr"/>
      <c r="L147" s="13" t="inlineStr">
        <is>
          <t>GET / -&gt; 200, 143KB, Next.js. Zero price patterns or product links matched on homepage.</t>
        </is>
      </c>
      <c r="M147" s="13" t="inlineStr">
        <is>
          <t>ACCEPT</t>
        </is>
      </c>
      <c r="N147" s="13" t="inlineStr">
        <is>
          <t>C - engineering required</t>
        </is>
      </c>
      <c r="O147" s="13" t="n">
        <v>3</v>
      </c>
      <c r="P147" s="13" t="inlineStr">
        <is>
          <t>Custom</t>
        </is>
      </c>
      <c r="Q147" s="13" t="inlineStr"/>
      <c r="R147" s="13" t="inlineStr">
        <is>
          <t>-</t>
        </is>
      </c>
      <c r="S147" s="13" t="inlineStr">
        <is>
          <t>current</t>
        </is>
      </c>
      <c r="T147" s="13" t="inlineStr">
        <is>
          <t>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147" s="13" t="inlineStr">
        <is>
          <t>-</t>
        </is>
      </c>
      <c r="V147" s="13" t="inlineStr">
        <is>
          <t>P8-EU</t>
        </is>
      </c>
    </row>
    <row r="148">
      <c r="A148" s="13" t="inlineStr">
        <is>
          <t>eca</t>
        </is>
      </c>
      <c r="B148" s="13" t="inlineStr">
        <is>
          <t>greece</t>
        </is>
      </c>
      <c r="C148" s="13" t="inlineStr">
        <is>
          <t>GRC</t>
        </is>
      </c>
      <c r="D148" s="13" t="inlineStr">
        <is>
          <t>Greece</t>
        </is>
      </c>
      <c r="E148" s="13" t="inlineStr">
        <is>
          <t>Lidl Greece</t>
        </is>
      </c>
      <c r="F148" s="13" t="inlineStr">
        <is>
          <t>https://www.lidl-hellas.gr/</t>
        </is>
      </c>
      <c r="G148" s="13" t="inlineStr">
        <is>
          <t>PROBED - SKIP</t>
        </is>
      </c>
      <c r="H148" s="13" t="inlineStr">
        <is>
          <t>SKIP</t>
        </is>
      </c>
      <c r="I148" s="13" t="inlineStr">
        <is>
          <t>high</t>
        </is>
      </c>
      <c r="J148" s="13" t="n">
        <v>0</v>
      </c>
      <c r="K148" s="13" t="inlineStr"/>
      <c r="L148" s="13" t="inlineStr">
        <is>
          <t>GET / -&gt; 200, 466KB, Next/Nuxt hybrid. Homepage prices found (0,60€, 1,05€ etc.) but zero real /p/&lt;slug&gt;/p&lt;id&gt; product links -- same leaflet-only pattern confirmed on lidl.bg and lidl.ie.</t>
        </is>
      </c>
      <c r="M148" s="13" t="inlineStr">
        <is>
          <t>SUSPECT</t>
        </is>
      </c>
      <c r="N148" s="13" t="inlineStr">
        <is>
          <t>D - hard / app / index only</t>
        </is>
      </c>
      <c r="O148" s="13" t="n">
        <v>2</v>
      </c>
      <c r="P148" s="13" t="inlineStr">
        <is>
          <t>Custom/Enterprise</t>
        </is>
      </c>
      <c r="Q148" s="13" t="inlineStr">
        <is>
          <t>EUR</t>
        </is>
      </c>
      <c r="R148" s="13" t="inlineStr">
        <is>
          <t>-</t>
        </is>
      </c>
      <c r="S148" s="13" t="inlineStr">
        <is>
          <t>promo</t>
        </is>
      </c>
      <c r="T148" s="13" t="inlineStr">
        <is>
          <t>Discounter, leaflet-led.</t>
        </is>
      </c>
      <c r="U148" s="13" t="inlineStr">
        <is>
          <t>-</t>
        </is>
      </c>
      <c r="V148" s="13" t="inlineStr">
        <is>
          <t>P7</t>
        </is>
      </c>
    </row>
    <row r="149">
      <c r="A149" s="13" t="inlineStr">
        <is>
          <t>eca</t>
        </is>
      </c>
      <c r="B149" s="13" t="inlineStr">
        <is>
          <t>greece</t>
        </is>
      </c>
      <c r="C149" s="13" t="inlineStr">
        <is>
          <t>GRC</t>
        </is>
      </c>
      <c r="D149" s="13" t="inlineStr">
        <is>
          <t>Greece</t>
        </is>
      </c>
      <c r="E149" s="13" t="inlineStr">
        <is>
          <t>Masoutis</t>
        </is>
      </c>
      <c r="F149" s="13" t="inlineStr">
        <is>
          <t>https://www.masoutis.gr/</t>
        </is>
      </c>
      <c r="G149" s="13" t="inlineStr">
        <is>
          <t>PROBED - SKIP</t>
        </is>
      </c>
      <c r="H149" s="13" t="inlineStr">
        <is>
          <t>SKIP</t>
        </is>
      </c>
      <c r="I149" s="13" t="inlineStr">
        <is>
          <t>high</t>
        </is>
      </c>
      <c r="J149" s="13" t="n">
        <v>0</v>
      </c>
      <c r="K149" s="13" t="inlineStr"/>
      <c r="L149" s="13" t="inlineStr">
        <is>
          <t>GET / -&gt; HTTP 403, 4.5KB body.</t>
        </is>
      </c>
      <c r="M149" s="13" t="inlineStr">
        <is>
          <t>ACCEPT</t>
        </is>
      </c>
      <c r="N149" s="13" t="inlineStr">
        <is>
          <t>C - engineering required</t>
        </is>
      </c>
      <c r="O149" s="13" t="n">
        <v>3</v>
      </c>
      <c r="P149" s="13" t="inlineStr">
        <is>
          <t>Custom</t>
        </is>
      </c>
      <c r="Q149" s="13" t="inlineStr">
        <is>
          <t>EUR</t>
        </is>
      </c>
      <c r="R149" s="13" t="inlineStr">
        <is>
          <t>-</t>
        </is>
      </c>
      <c r="S149" s="13" t="inlineStr">
        <is>
          <t>current</t>
        </is>
      </c>
      <c r="T149" s="13" t="inlineStr">
        <is>
          <t>Northern Greece chain - important because Athens-only coverage biases a national series.</t>
        </is>
      </c>
      <c r="U149" s="13" t="inlineStr">
        <is>
          <t>-</t>
        </is>
      </c>
      <c r="V149" s="13" t="inlineStr">
        <is>
          <t>P7</t>
        </is>
      </c>
    </row>
    <row r="150">
      <c r="A150" s="13" t="inlineStr">
        <is>
          <t>eca</t>
        </is>
      </c>
      <c r="B150" s="13" t="inlineStr">
        <is>
          <t>greece</t>
        </is>
      </c>
      <c r="C150" s="13" t="inlineStr">
        <is>
          <t>GRC</t>
        </is>
      </c>
      <c r="D150" s="13" t="inlineStr">
        <is>
          <t>Greece</t>
        </is>
      </c>
      <c r="E150" s="13" t="inlineStr">
        <is>
          <t>Masoutis</t>
        </is>
      </c>
      <c r="F150" s="13" t="inlineStr">
        <is>
          <t>https://www.masoutis.gr/</t>
        </is>
      </c>
      <c r="G150" s="13" t="inlineStr">
        <is>
          <t>PROBED - SKIP</t>
        </is>
      </c>
      <c r="H150" s="13" t="inlineStr">
        <is>
          <t>SKIP</t>
        </is>
      </c>
      <c r="I150" s="13" t="inlineStr">
        <is>
          <t>high</t>
        </is>
      </c>
      <c r="J150" s="13" t="n">
        <v>0</v>
      </c>
      <c r="K150" s="13" t="inlineStr"/>
      <c r="L150" s="13" t="inlineStr">
        <is>
          <t>GET / -&gt; HTTP 403, 4.5KB body.</t>
        </is>
      </c>
      <c r="M150" s="13" t="inlineStr">
        <is>
          <t>ACCEPT</t>
        </is>
      </c>
      <c r="N150" s="13" t="inlineStr">
        <is>
          <t>C - engineering required</t>
        </is>
      </c>
      <c r="O150" s="13" t="n">
        <v>3</v>
      </c>
      <c r="P150" s="13" t="inlineStr">
        <is>
          <t>Custom</t>
        </is>
      </c>
      <c r="Q150" s="13" t="inlineStr"/>
      <c r="R150" s="13" t="inlineStr">
        <is>
          <t>-</t>
        </is>
      </c>
      <c r="S150" s="13" t="inlineStr">
        <is>
          <t>current</t>
        </is>
      </c>
      <c r="T150" s="13" t="inlineStr">
        <is>
          <t>Northern Greece - avoids Athens bias.</t>
        </is>
      </c>
      <c r="U150" s="13" t="inlineStr">
        <is>
          <t>-</t>
        </is>
      </c>
      <c r="V150" s="13" t="inlineStr">
        <is>
          <t>P8-EU</t>
        </is>
      </c>
    </row>
    <row r="151">
      <c r="A151" s="13" t="inlineStr">
        <is>
          <t>eca</t>
        </is>
      </c>
      <c r="B151" s="13" t="inlineStr">
        <is>
          <t>greece</t>
        </is>
      </c>
      <c r="C151" s="13" t="inlineStr">
        <is>
          <t>GRC</t>
        </is>
      </c>
      <c r="D151" s="13" t="inlineStr">
        <is>
          <t>Greece</t>
        </is>
      </c>
      <c r="E151" s="13" t="inlineStr">
        <is>
          <t>My Market</t>
        </is>
      </c>
      <c r="F151" s="13" t="inlineStr">
        <is>
          <t>https://www.mymarket.gr/</t>
        </is>
      </c>
      <c r="G151" s="13" t="inlineStr">
        <is>
          <t>PROBED - SKIP</t>
        </is>
      </c>
      <c r="H151" s="13" t="inlineStr">
        <is>
          <t>SKIP</t>
        </is>
      </c>
      <c r="I151" s="13" t="inlineStr">
        <is>
          <t>high</t>
        </is>
      </c>
      <c r="J151" s="13" t="n">
        <v>0</v>
      </c>
      <c r="K151" s="13" t="inlineStr"/>
      <c r="L151" s="13" t="inlineStr">
        <is>
          <t>GET / -&gt; HTTP 403, 860-byte body.</t>
        </is>
      </c>
      <c r="M151" s="13" t="inlineStr">
        <is>
          <t>ACCEPT</t>
        </is>
      </c>
      <c r="N151" s="13" t="inlineStr">
        <is>
          <t>C - engineering required</t>
        </is>
      </c>
      <c r="O151" s="13" t="n">
        <v>3</v>
      </c>
      <c r="P151" s="13" t="inlineStr">
        <is>
          <t>Custom</t>
        </is>
      </c>
      <c r="Q151" s="13" t="inlineStr">
        <is>
          <t>EUR</t>
        </is>
      </c>
      <c r="R151" s="13" t="inlineStr">
        <is>
          <t>-</t>
        </is>
      </c>
      <c r="S151" s="13" t="inlineStr">
        <is>
          <t>current, promo</t>
        </is>
      </c>
      <c r="T151" s="13" t="inlineStr">
        <is>
          <t>Third of the three chains tracked by Fthna.gr, so it is directly comparable.</t>
        </is>
      </c>
      <c r="U151" s="13" t="inlineStr">
        <is>
          <t>-</t>
        </is>
      </c>
      <c r="V151" s="13" t="inlineStr">
        <is>
          <t>P7</t>
        </is>
      </c>
    </row>
    <row r="152">
      <c r="A152" s="13" t="inlineStr">
        <is>
          <t>eca</t>
        </is>
      </c>
      <c r="B152" s="13" t="inlineStr">
        <is>
          <t>greece</t>
        </is>
      </c>
      <c r="C152" s="13" t="inlineStr">
        <is>
          <t>GRC</t>
        </is>
      </c>
      <c r="D152" s="13" t="inlineStr">
        <is>
          <t>Greece</t>
        </is>
      </c>
      <c r="E152" s="13" t="inlineStr">
        <is>
          <t>My Market</t>
        </is>
      </c>
      <c r="F152" s="13" t="inlineStr">
        <is>
          <t>https://www.mymarket.gr/</t>
        </is>
      </c>
      <c r="G152" s="13" t="inlineStr">
        <is>
          <t>PROBED - SKIP</t>
        </is>
      </c>
      <c r="H152" s="13" t="inlineStr">
        <is>
          <t>SKIP</t>
        </is>
      </c>
      <c r="I152" s="13" t="inlineStr">
        <is>
          <t>high</t>
        </is>
      </c>
      <c r="J152" s="13" t="n">
        <v>0</v>
      </c>
      <c r="K152" s="13" t="inlineStr"/>
      <c r="L152" s="13" t="inlineStr">
        <is>
          <t>GET / -&gt; HTTP 403, 860-byte body.</t>
        </is>
      </c>
      <c r="M152" s="13" t="inlineStr">
        <is>
          <t>ACCEPT</t>
        </is>
      </c>
      <c r="N152" s="13" t="inlineStr">
        <is>
          <t>C - engineering required</t>
        </is>
      </c>
      <c r="O152" s="13" t="n">
        <v>3</v>
      </c>
      <c r="P152" s="13" t="inlineStr">
        <is>
          <t>Custom</t>
        </is>
      </c>
      <c r="Q152" s="13" t="inlineStr"/>
      <c r="R152" s="13" t="inlineStr">
        <is>
          <t>-</t>
        </is>
      </c>
      <c r="S152" s="13" t="inlineStr">
        <is>
          <t>current</t>
        </is>
      </c>
      <c r="T152" s="13" t="inlineStr">
        <is>
          <t>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152" s="13" t="inlineStr">
        <is>
          <t>-</t>
        </is>
      </c>
      <c r="V152" s="13" t="inlineStr">
        <is>
          <t>P8-EU</t>
        </is>
      </c>
    </row>
    <row r="153">
      <c r="A153" s="13" t="inlineStr">
        <is>
          <t>eca</t>
        </is>
      </c>
      <c r="B153" s="13" t="inlineStr">
        <is>
          <t>greece</t>
        </is>
      </c>
      <c r="C153" s="13" t="inlineStr">
        <is>
          <t>GRC</t>
        </is>
      </c>
      <c r="D153" s="13" t="inlineStr">
        <is>
          <t>Greece</t>
        </is>
      </c>
      <c r="E153" s="13" t="inlineStr">
        <is>
          <t>PosoKanei.gov.gr (official)</t>
        </is>
      </c>
      <c r="F153" s="13" t="inlineStr">
        <is>
          <t>https://posokanei.gov.gr/</t>
        </is>
      </c>
      <c r="G153" s="13" t="inlineStr">
        <is>
          <t>PROBED - SKIP</t>
        </is>
      </c>
      <c r="H153" s="13" t="inlineStr">
        <is>
          <t>SKIP</t>
        </is>
      </c>
      <c r="I153" s="13" t="inlineStr">
        <is>
          <t>high</t>
        </is>
      </c>
      <c r="J153" s="13" t="n">
        <v>0</v>
      </c>
      <c r="K153" s="13" t="inlineStr"/>
      <c r="L153" s="13" t="inlineStr">
        <is>
          <t>GET / -&gt; HTTP 403, 134-byte generic '403 Forbidden' body, no Cloudflare/Akamai/Incapsula fingerprint in headers (no cf-ray, no server banner). Same 403 reproduced on /robots.txt and a guessed /api/v1/products path.</t>
        </is>
      </c>
      <c r="M153" s="13" t="inlineStr">
        <is>
          <t>ACCEPT</t>
        </is>
      </c>
      <c r="N153" s="13" t="inlineStr">
        <is>
          <t>A - low-hanging fruit</t>
        </is>
      </c>
      <c r="O153" s="13" t="n">
        <v>5</v>
      </c>
      <c r="P153" s="13" t="inlineStr">
        <is>
          <t>Custom</t>
        </is>
      </c>
      <c r="Q153" s="13" t="inlineStr"/>
      <c r="R153" s="13" t="inlineStr">
        <is>
          <t>posokanei.gov.gr - inspect the XHR behind product search and the history endpoint. The cross-country comparison endpoint is the highest-value target.</t>
        </is>
      </c>
      <c r="S153" s="13" t="inlineStr">
        <is>
          <t>current, two_month_history, cross_country_benchmark, basket_total</t>
        </is>
      </c>
      <c r="T153" s="13" t="inlineStr">
        <is>
          <t>OFFICIAL Greek government platform launched 17 June 2026, replacing e-Katanalotis. Ministry of Development. 7,973-10,000 SKUs from every chain with turnover above EUR 90m: AB Vassilopoulos, Sklavenitis, Lidl Hellas, Masoutis, My Market, Kritikos, Market In, Galaxias, SYN.KA, Chalkiadakis. Daily updates. Publishes a TWO-MONTH PRICE HISTORY per product so consumers can verify whether a discount is genuine. UNIQUELY it also benchmarks selected products against ITALY, FRANCE, BELGIUM, ROMANIA, BULGARIA, CYPRUS and SPAIN - i.e. the Greek state has already built a cross-country matched-product price comparison, which is precisely the hard part of this project. Product codes selected with Circana Hellas on actual sales volumes. No registration, no personal data.</t>
        </is>
      </c>
      <c r="U153" s="13" t="inlineStr">
        <is>
          <t>New platform (June 2026); the older e-katanalotis.gov.gr may still resolve but is superseded. Check which is authoritative on the date you crawl.</t>
        </is>
      </c>
      <c r="V153" s="13" t="inlineStr">
        <is>
          <t>P8-EU</t>
        </is>
      </c>
    </row>
    <row r="154">
      <c r="A154" s="13" t="inlineStr">
        <is>
          <t>eca</t>
        </is>
      </c>
      <c r="B154" s="13" t="inlineStr">
        <is>
          <t>greece</t>
        </is>
      </c>
      <c r="C154" s="13" t="inlineStr">
        <is>
          <t>GRC</t>
        </is>
      </c>
      <c r="D154" s="13" t="inlineStr">
        <is>
          <t>Greece</t>
        </is>
      </c>
      <c r="E154" s="13" t="inlineStr">
        <is>
          <t>Sklavenitis</t>
        </is>
      </c>
      <c r="F154" s="13" t="inlineStr">
        <is>
          <t>https://www.sklavenitis.gr/</t>
        </is>
      </c>
      <c r="G154" s="13" t="inlineStr">
        <is>
          <t>PROBED - SKIP</t>
        </is>
      </c>
      <c r="H154" s="13" t="inlineStr">
        <is>
          <t>SKIP</t>
        </is>
      </c>
      <c r="I154" s="13" t="inlineStr">
        <is>
          <t>high</t>
        </is>
      </c>
      <c r="J154" s="13" t="n">
        <v>0</v>
      </c>
      <c r="K154" s="13" t="inlineStr"/>
      <c r="L154" s="13" t="inlineStr">
        <is>
          <t>GET / -&gt; HTTP 403, 372-byte body.</t>
        </is>
      </c>
      <c r="M154" s="13" t="inlineStr">
        <is>
          <t>ACCEPT</t>
        </is>
      </c>
      <c r="N154" s="13" t="inlineStr">
        <is>
          <t>C - engineering required</t>
        </is>
      </c>
      <c r="O154" s="13" t="n">
        <v>3</v>
      </c>
      <c r="P154" s="13" t="inlineStr">
        <is>
          <t>Custom</t>
        </is>
      </c>
      <c r="Q154" s="13" t="inlineStr"/>
      <c r="R154" s="13" t="inlineStr">
        <is>
          <t>-</t>
        </is>
      </c>
      <c r="S154" s="13" t="inlineStr">
        <is>
          <t>current</t>
        </is>
      </c>
      <c r="T154" s="13" t="inlineStr">
        <is>
          <t>Largest Greek chain.</t>
        </is>
      </c>
      <c r="U154" s="13" t="inlineStr">
        <is>
          <t>Location must be set.</t>
        </is>
      </c>
      <c r="V154" s="13" t="inlineStr">
        <is>
          <t>P8-EU</t>
        </is>
      </c>
    </row>
    <row r="155">
      <c r="A155" s="13" t="inlineStr">
        <is>
          <t>eca</t>
        </is>
      </c>
      <c r="B155" s="13" t="inlineStr">
        <is>
          <t>greece</t>
        </is>
      </c>
      <c r="C155" s="13" t="inlineStr">
        <is>
          <t>GRC</t>
        </is>
      </c>
      <c r="D155" s="13" t="inlineStr">
        <is>
          <t>Greece</t>
        </is>
      </c>
      <c r="E155" s="13" t="inlineStr">
        <is>
          <t>Sklavenitis eMarket</t>
        </is>
      </c>
      <c r="F155" s="13" t="inlineStr">
        <is>
          <t>https://www.sklavenitis.gr/</t>
        </is>
      </c>
      <c r="G155" s="13" t="inlineStr">
        <is>
          <t>PROBED - SKIP</t>
        </is>
      </c>
      <c r="H155" s="13" t="inlineStr">
        <is>
          <t>SKIP</t>
        </is>
      </c>
      <c r="I155" s="13" t="inlineStr">
        <is>
          <t>high</t>
        </is>
      </c>
      <c r="J155" s="13" t="n">
        <v>0</v>
      </c>
      <c r="K155" s="13" t="inlineStr"/>
      <c r="L155" s="13" t="inlineStr">
        <is>
          <t>GET / -&gt; HTTP 403, 372-byte body.</t>
        </is>
      </c>
      <c r="M155" s="13" t="inlineStr">
        <is>
          <t>ACCEPT</t>
        </is>
      </c>
      <c r="N155" s="13" t="inlineStr">
        <is>
          <t>C - engineering required</t>
        </is>
      </c>
      <c r="O155" s="13" t="n">
        <v>3</v>
      </c>
      <c r="P155" s="13" t="inlineStr">
        <is>
          <t>Custom</t>
        </is>
      </c>
      <c r="Q155" s="13" t="inlineStr">
        <is>
          <t>EUR</t>
        </is>
      </c>
      <c r="R155" s="13" t="inlineStr">
        <is>
          <t>-</t>
        </is>
      </c>
      <c r="S155" s="13" t="inlineStr">
        <is>
          <t>current, promo</t>
        </is>
      </c>
      <c r="T155" s="13" t="inlineStr">
        <is>
          <t>LARGEST supermarket chain in Greece, founded 1969. Own eMarket with a full category tree. EU pricing rules apply - test for the 30-day-low field.</t>
        </is>
      </c>
      <c r="U155" s="13" t="inlineStr">
        <is>
          <t>Delivery location must be set before the catalogue populates.</t>
        </is>
      </c>
      <c r="V155" s="13" t="inlineStr">
        <is>
          <t>P7</t>
        </is>
      </c>
    </row>
    <row r="156">
      <c r="A156" s="13" t="inlineStr">
        <is>
          <t>eca</t>
        </is>
      </c>
      <c r="B156" s="13" t="inlineStr">
        <is>
          <t>greece</t>
        </is>
      </c>
      <c r="C156" s="13" t="inlineStr">
        <is>
          <t>GRC</t>
        </is>
      </c>
      <c r="D156" s="13" t="inlineStr">
        <is>
          <t>Greece</t>
        </is>
      </c>
      <c r="E156" s="13" t="inlineStr">
        <is>
          <t>efood Supermarket</t>
        </is>
      </c>
      <c r="F156" s="13" t="inlineStr">
        <is>
          <t>https://www.e-food.gr/delivery/menu/sklavenitis</t>
        </is>
      </c>
      <c r="G156" s="13" t="inlineStr">
        <is>
          <t>PROBED - SKIP</t>
        </is>
      </c>
      <c r="H156" s="13" t="inlineStr">
        <is>
          <t>SKIP</t>
        </is>
      </c>
      <c r="I156" s="13" t="inlineStr">
        <is>
          <t>high</t>
        </is>
      </c>
      <c r="J156" s="13" t="n">
        <v>0</v>
      </c>
      <c r="K156" s="13" t="inlineStr"/>
      <c r="L156" s="13" t="inlineStr">
        <is>
          <t>GET / -&gt; HTTP 403, Cloudflare 'Just a moment...' challenge page (title + noindex + CSP referencing challenge JS).</t>
        </is>
      </c>
      <c r="M156" s="13" t="inlineStr">
        <is>
          <t>ACCEPT</t>
        </is>
      </c>
      <c r="N156" s="13" t="inlineStr">
        <is>
          <t>C - engineering required</t>
        </is>
      </c>
      <c r="O156" s="13" t="n">
        <v>3</v>
      </c>
      <c r="P156" s="13" t="inlineStr">
        <is>
          <t>Custom</t>
        </is>
      </c>
      <c r="Q156" s="13" t="inlineStr">
        <is>
          <t>EUR</t>
        </is>
      </c>
      <c r="R156" s="13" t="inlineStr">
        <is>
          <t>Walk /delivery/menu/&lt;chain&gt; paths.</t>
        </is>
      </c>
      <c r="S156" s="13" t="inlineStr">
        <is>
          <t>current</t>
        </is>
      </c>
      <c r="T156" s="13" t="inlineStr">
        <is>
          <t>Greek delivery aggregator carrying Sklavenitis (4,500+ products) and AB Vassilopoulos (6,000+ codes) with per-store review counts and minimum basket values. Useful enumeration route and a second price observation for the same chains.</t>
        </is>
      </c>
      <c r="U156" s="13" t="inlineStr">
        <is>
          <t>Aggregator prices can differ from the chain's own site. Capture both and compare rather than assuming equality.</t>
        </is>
      </c>
      <c r="V156" s="13" t="inlineStr">
        <is>
          <t>P7</t>
        </is>
      </c>
    </row>
    <row r="157">
      <c r="A157" s="13" t="inlineStr">
        <is>
          <t>eca</t>
        </is>
      </c>
      <c r="B157" s="13" t="inlineStr">
        <is>
          <t>greece</t>
        </is>
      </c>
      <c r="C157" s="13" t="inlineStr">
        <is>
          <t>GRC</t>
        </is>
      </c>
      <c r="D157" s="13" t="inlineStr">
        <is>
          <t>Greece</t>
        </is>
      </c>
      <c r="E157" s="13" t="inlineStr">
        <is>
          <t>efood Supermarket</t>
        </is>
      </c>
      <c r="F157" s="13" t="inlineStr">
        <is>
          <t>https://www.e-food.gr/</t>
        </is>
      </c>
      <c r="G157" s="13" t="inlineStr">
        <is>
          <t>PROBED - SKIP</t>
        </is>
      </c>
      <c r="H157" s="13" t="inlineStr">
        <is>
          <t>SKIP</t>
        </is>
      </c>
      <c r="I157" s="13" t="inlineStr">
        <is>
          <t>high</t>
        </is>
      </c>
      <c r="J157" s="13" t="n">
        <v>0</v>
      </c>
      <c r="K157" s="13" t="inlineStr"/>
      <c r="L157" s="13" t="inlineStr">
        <is>
          <t>GET / -&gt; HTTP 403, Cloudflare 'Just a moment...' challenge page (title + noindex + CSP referencing challenge JS).</t>
        </is>
      </c>
      <c r="M157" s="13" t="inlineStr">
        <is>
          <t>ACCEPT</t>
        </is>
      </c>
      <c r="N157" s="13" t="inlineStr">
        <is>
          <t>C - engineering required</t>
        </is>
      </c>
      <c r="O157" s="13" t="n">
        <v>3</v>
      </c>
      <c r="P157" s="13" t="inlineStr">
        <is>
          <t>Custom</t>
        </is>
      </c>
      <c r="Q157" s="13" t="inlineStr"/>
      <c r="R157" s="13" t="inlineStr">
        <is>
          <t>-</t>
        </is>
      </c>
      <c r="S157" s="13" t="inlineStr">
        <is>
          <t>current</t>
        </is>
      </c>
      <c r="T157" s="13" t="inlineStr">
        <is>
          <t>Aggregator carrying Sklavenitis (4,500+) and AB (6,000+ codes).</t>
        </is>
      </c>
      <c r="U157" s="13" t="inlineStr">
        <is>
          <t>Platform margin possible.</t>
        </is>
      </c>
      <c r="V157" s="13" t="inlineStr">
        <is>
          <t>P8-EU</t>
        </is>
      </c>
    </row>
    <row r="158">
      <c r="A158" s="13" t="inlineStr">
        <is>
          <t>eca</t>
        </is>
      </c>
      <c r="B158" s="13" t="inlineStr">
        <is>
          <t>greece</t>
        </is>
      </c>
      <c r="C158" s="13" t="inlineStr">
        <is>
          <t>GRC</t>
        </is>
      </c>
      <c r="D158" s="13" t="inlineStr">
        <is>
          <t>Greece</t>
        </is>
      </c>
      <c r="E158" s="13" t="inlineStr">
        <is>
          <t>Wolt Greece</t>
        </is>
      </c>
      <c r="F158" s="13" t="inlineStr">
        <is>
          <t>https://wolt.com/en/grc/athens/category/grocery</t>
        </is>
      </c>
      <c r="G158" s="13" t="inlineStr">
        <is>
          <t>PROBED - VIABLE</t>
        </is>
      </c>
      <c r="H158" s="13" t="inlineStr">
        <is>
          <t>TIER_2</t>
        </is>
      </c>
      <c r="I158" s="13" t="inlineStr">
        <is>
          <t>medium</t>
        </is>
      </c>
      <c r="J158" s="13" t="n">
        <v>0</v>
      </c>
      <c r="K158" s="13" t="inlineStr">
        <is>
          <t>SPA - needs Playwright render</t>
        </is>
      </c>
      <c r="L158" s="13" t="inlineStr">
        <is>
          <t>curl 200, 1.79MB SPA shell; prices render as 'KZT0' placeholder pre-hydration - needs Playwright</t>
        </is>
      </c>
      <c r="M158" s="13" t="inlineStr">
        <is>
          <t>ACCEPT</t>
        </is>
      </c>
      <c r="N158" s="13" t="inlineStr">
        <is>
          <t>C - engineering required</t>
        </is>
      </c>
      <c r="O158" s="13" t="n">
        <v>3</v>
      </c>
      <c r="P158" s="13" t="inlineStr">
        <is>
          <t>Custom</t>
        </is>
      </c>
      <c r="Q158" s="13" t="inlineStr">
        <is>
          <t>EUR</t>
        </is>
      </c>
      <c r="R158" s="13" t="inlineStr">
        <is>
          <t>-</t>
        </is>
      </c>
      <c r="S158" s="13" t="inlineStr">
        <is>
          <t>current</t>
        </is>
      </c>
      <c r="T158" s="13" t="inlineStr">
        <is>
          <t>Enumerates Greek partner supermarkets by city.</t>
        </is>
      </c>
      <c r="U158" s="13" t="inlineStr">
        <is>
          <t>CAUTION: a Wolt search for 'Tripoli supermarkets' returns Tripoli, GREECE - which is how an earlier pass nearly mis-assigned a Libyan source. Always check the country code in the path (/grc/).</t>
        </is>
      </c>
      <c r="V158" s="13" t="inlineStr">
        <is>
          <t>P7</t>
        </is>
      </c>
    </row>
    <row r="159">
      <c r="A159" s="13" t="inlineStr">
        <is>
          <t>eca</t>
        </is>
      </c>
      <c r="B159" s="13" t="inlineStr">
        <is>
          <t>croatia</t>
        </is>
      </c>
      <c r="C159" s="13" t="inlineStr">
        <is>
          <t>HRV</t>
        </is>
      </c>
      <c r="D159" s="13" t="inlineStr">
        <is>
          <t>Croatia</t>
        </is>
      </c>
      <c r="E159" s="13" t="inlineStr">
        <is>
          <t>Cijene.hr</t>
        </is>
      </c>
      <c r="F159" s="13" t="inlineStr">
        <is>
          <t>https://www.cijene.hr/</t>
        </is>
      </c>
      <c r="G159" s="13" t="inlineStr">
        <is>
          <t>NOT PROBED - deduped, already onboarded, or time-boxed</t>
        </is>
      </c>
      <c r="H159" s="13" t="inlineStr"/>
      <c r="I159" s="13" t="inlineStr"/>
      <c r="J159" s="13" t="inlineStr"/>
      <c r="K159" s="13" t="inlineStr"/>
      <c r="L159" s="13" t="inlineStr"/>
      <c r="M159" s="13" t="inlineStr">
        <is>
          <t>ACCEPT</t>
        </is>
      </c>
      <c r="N159" s="13" t="inlineStr">
        <is>
          <t>C - engineering required</t>
        </is>
      </c>
      <c r="O159" s="13" t="n">
        <v>3</v>
      </c>
      <c r="P159" s="13" t="inlineStr">
        <is>
          <t>Custom</t>
        </is>
      </c>
      <c r="Q159" s="13" t="inlineStr">
        <is>
          <t>EUR</t>
        </is>
      </c>
      <c r="R159" s="13" t="inlineStr">
        <is>
          <t>Follow the sister-site pattern to Pametno.rs and Pametno.si for Serbia and Slovenia.</t>
        </is>
      </c>
      <c r="S159" s="13" t="inlineStr">
        <is>
          <t>price_from, location_count</t>
        </is>
      </c>
      <c r="T159" s="13" t="inlineStr">
        <is>
          <t>Third aggregator, operating since 2001, with a location count per product (e.g. '481 lokacija'). Sister sites exist for Serbia (Pametno.rs) and Slovenia (Pametno.si) - the same operator may therefore provide comparison coverage in three economies.</t>
        </is>
      </c>
      <c r="U159" s="13" t="inlineStr">
        <is>
          <t>Long-running site with legacy pages; verify the crawl reflects current stock, not archive.</t>
        </is>
      </c>
      <c r="V159" s="13" t="inlineStr">
        <is>
          <t>P6</t>
        </is>
      </c>
    </row>
    <row r="160">
      <c r="A160" s="13" t="inlineStr">
        <is>
          <t>eca</t>
        </is>
      </c>
      <c r="B160" s="13" t="inlineStr">
        <is>
          <t>croatia</t>
        </is>
      </c>
      <c r="C160" s="13" t="inlineStr">
        <is>
          <t>HRV</t>
        </is>
      </c>
      <c r="D160" s="13" t="inlineStr">
        <is>
          <t>Croatia</t>
        </is>
      </c>
      <c r="E160" s="13" t="inlineStr">
        <is>
          <t>Cijene.hr</t>
        </is>
      </c>
      <c r="F160" s="13" t="inlineStr">
        <is>
          <t>https://www.cijene.hr/</t>
        </is>
      </c>
      <c r="G160" s="13" t="inlineStr">
        <is>
          <t>NOT PROBED - deduped, already onboarded, or time-boxed</t>
        </is>
      </c>
      <c r="H160" s="13" t="inlineStr"/>
      <c r="I160" s="13" t="inlineStr"/>
      <c r="J160" s="13" t="inlineStr"/>
      <c r="K160" s="13" t="inlineStr"/>
      <c r="L160" s="13" t="inlineStr"/>
      <c r="M160" s="13" t="inlineStr">
        <is>
          <t>ACCEPT</t>
        </is>
      </c>
      <c r="N160" s="13" t="inlineStr">
        <is>
          <t>C - engineering required</t>
        </is>
      </c>
      <c r="O160" s="13" t="n">
        <v>3</v>
      </c>
      <c r="P160" s="13" t="inlineStr">
        <is>
          <t>Custom</t>
        </is>
      </c>
      <c r="Q160" s="13" t="inlineStr"/>
      <c r="R160" s="13" t="inlineStr">
        <is>
          <t>-</t>
        </is>
      </c>
      <c r="S160" s="13" t="inlineStr">
        <is>
          <t>price_from, location_count</t>
        </is>
      </c>
      <c r="T160" s="13" t="inlineStr">
        <is>
          <t>Running since 2001. Location count per product (e.g. 481 lokacija). SISTER SITES: Pametno.rs (Serbia) and Pametno.si (Slovenia) - one parser, three economies.</t>
        </is>
      </c>
      <c r="U160" s="13" t="inlineStr">
        <is>
          <t>-</t>
        </is>
      </c>
      <c r="V160" s="13" t="inlineStr">
        <is>
          <t>P8-EU</t>
        </is>
      </c>
    </row>
    <row r="161">
      <c r="A161" s="13" t="inlineStr">
        <is>
          <t>eca</t>
        </is>
      </c>
      <c r="B161" s="13" t="inlineStr">
        <is>
          <t>croatia</t>
        </is>
      </c>
      <c r="C161" s="13" t="inlineStr">
        <is>
          <t>HRV</t>
        </is>
      </c>
      <c r="D161" s="13" t="inlineStr">
        <is>
          <t>Croatia</t>
        </is>
      </c>
      <c r="E161" s="13" t="inlineStr">
        <is>
          <t>Cjenoteka</t>
        </is>
      </c>
      <c r="F161" s="13" t="inlineStr">
        <is>
          <t>https://cjenoteka.hr/</t>
        </is>
      </c>
      <c r="G161" s="13" t="inlineStr">
        <is>
          <t>NOT PROBED - deduped, already onboarded, or time-boxed</t>
        </is>
      </c>
      <c r="H161" s="13" t="inlineStr"/>
      <c r="I161" s="13" t="inlineStr"/>
      <c r="J161" s="13" t="inlineStr"/>
      <c r="K161" s="13" t="inlineStr"/>
      <c r="L161" s="13" t="inlineStr"/>
      <c r="M161" s="13" t="inlineStr">
        <is>
          <t>ACCEPT</t>
        </is>
      </c>
      <c r="N161" s="13" t="inlineStr">
        <is>
          <t>C - engineering required</t>
        </is>
      </c>
      <c r="O161" s="13" t="n">
        <v>3</v>
      </c>
      <c r="P161" s="13" t="inlineStr">
        <is>
          <t>Custom</t>
        </is>
      </c>
      <c r="Q161" s="13" t="inlineStr">
        <is>
          <t>EUR</t>
        </is>
      </c>
      <c r="R161" s="13" t="inlineStr">
        <is>
          <t>Parse a product page; the comparison array is the payload of interest, not the headline.</t>
        </is>
      </c>
      <c r="S161" s="13" t="inlineStr">
        <is>
          <t>price_per_retailer, discount_pct, cross_retailer_array</t>
        </is>
      </c>
      <c r="T161" s="13" t="inlineStr">
        <is>
          <t>PRICE-COMPARISON AGGREGATOR covering Konzum, Lidl, Spar, Plodine, Kaufland, Studenac, Tommy, DM and Bipa. Shows the SAME SKU at 5-8 retailers simultaneously with a '+N trgovina' counter. One crawl yields a cross-retailer price panel for identical items, which is exactly the structure needed for retail price dispersion analysis and is normally expensive to construct.</t>
        </is>
      </c>
      <c r="U161" s="13" t="inlineStr">
        <is>
          <t>Aggregator prices may lag the retailer's own site by a day. Use it for cross-sectional dispersion, and the retailer sites for level accuracy.</t>
        </is>
      </c>
      <c r="V161" s="13" t="inlineStr">
        <is>
          <t>P6</t>
        </is>
      </c>
    </row>
    <row r="162">
      <c r="A162" s="13" t="inlineStr">
        <is>
          <t>eca</t>
        </is>
      </c>
      <c r="B162" s="13" t="inlineStr">
        <is>
          <t>croatia</t>
        </is>
      </c>
      <c r="C162" s="13" t="inlineStr">
        <is>
          <t>HRV</t>
        </is>
      </c>
      <c r="D162" s="13" t="inlineStr">
        <is>
          <t>Croatia</t>
        </is>
      </c>
      <c r="E162" s="13" t="inlineStr">
        <is>
          <t>Cjenoteka</t>
        </is>
      </c>
      <c r="F162" s="13" t="inlineStr">
        <is>
          <t>https://cjenoteka.hr/</t>
        </is>
      </c>
      <c r="G162" s="13" t="inlineStr">
        <is>
          <t>NOT PROBED - deduped, already onboarded, or time-boxed</t>
        </is>
      </c>
      <c r="H162" s="13" t="inlineStr"/>
      <c r="I162" s="13" t="inlineStr"/>
      <c r="J162" s="13" t="inlineStr"/>
      <c r="K162" s="13" t="inlineStr"/>
      <c r="L162" s="13" t="inlineStr"/>
      <c r="M162" s="13" t="inlineStr">
        <is>
          <t>ACCEPT</t>
        </is>
      </c>
      <c r="N162" s="13" t="inlineStr">
        <is>
          <t>C - engineering required</t>
        </is>
      </c>
      <c r="O162" s="13" t="n">
        <v>3</v>
      </c>
      <c r="P162" s="13" t="inlineStr">
        <is>
          <t>Custom</t>
        </is>
      </c>
      <c r="Q162" s="13" t="inlineStr"/>
      <c r="R162" s="13" t="inlineStr">
        <is>
          <t>-</t>
        </is>
      </c>
      <c r="S162" s="13" t="inlineStr">
        <is>
          <t>price_per_retailer, discount_pct, cross_retailer_array</t>
        </is>
      </c>
      <c r="T162" s="13" t="inlineStr">
        <is>
          <t>Covers Konzum, Lidl, Spar, Plodine, Kaufland, Studenac, Tommy, DM, Bipa. Shows the SAME SKU at 5-8 retailers with a '+N trgovina' counter. One crawl yields a cross-retailer panel.</t>
        </is>
      </c>
      <c r="U162" s="13" t="inlineStr">
        <is>
          <t>Aggregator prices can lag the retailer's own site by a day.</t>
        </is>
      </c>
      <c r="V162" s="13" t="inlineStr">
        <is>
          <t>P8-EU</t>
        </is>
      </c>
    </row>
    <row r="163">
      <c r="A163" s="13" t="inlineStr">
        <is>
          <t>eca</t>
        </is>
      </c>
      <c r="B163" s="13" t="inlineStr">
        <is>
          <t>croatia</t>
        </is>
      </c>
      <c r="C163" s="13" t="inlineStr">
        <is>
          <t>HRV</t>
        </is>
      </c>
      <c r="D163" s="13" t="inlineStr">
        <is>
          <t>Croatia</t>
        </is>
      </c>
      <c r="E163" s="13" t="inlineStr">
        <is>
          <t>Eurospin Croatia</t>
        </is>
      </c>
      <c r="F163" s="13" t="inlineStr">
        <is>
          <t>https://www.eurospin.hr/</t>
        </is>
      </c>
      <c r="G163" s="13" t="inlineStr">
        <is>
          <t>NOT PROBED - deduped, already onboarded, or time-boxed</t>
        </is>
      </c>
      <c r="H163" s="13" t="inlineStr"/>
      <c r="I163" s="13" t="inlineStr"/>
      <c r="J163" s="13" t="inlineStr"/>
      <c r="K163" s="13" t="inlineStr"/>
      <c r="L163" s="13" t="inlineStr"/>
      <c r="M163" s="13" t="inlineStr">
        <is>
          <t>SUSPECT</t>
        </is>
      </c>
      <c r="N163" s="13" t="inlineStr">
        <is>
          <t>C - engineering required</t>
        </is>
      </c>
      <c r="O163" s="13" t="n">
        <v>3</v>
      </c>
      <c r="P163" s="13" t="inlineStr">
        <is>
          <t>Custom</t>
        </is>
      </c>
      <c r="Q163" s="13" t="inlineStr">
        <is>
          <t>EUR</t>
        </is>
      </c>
      <c r="R163" s="13" t="inlineStr">
        <is>
          <t>-</t>
        </is>
      </c>
      <c r="S163" s="13" t="inlineStr">
        <is>
          <t>current</t>
        </is>
      </c>
      <c r="T163" s="13" t="inlineStr">
        <is>
          <t>Italian discounter, covered by CroCart's daily official-price-list pull.</t>
        </is>
      </c>
      <c r="U163" s="13" t="inlineStr">
        <is>
          <t>-</t>
        </is>
      </c>
      <c r="V163" s="13" t="inlineStr">
        <is>
          <t>P6</t>
        </is>
      </c>
    </row>
    <row r="164">
      <c r="A164" s="13" t="inlineStr">
        <is>
          <t>eca</t>
        </is>
      </c>
      <c r="B164" s="13" t="inlineStr">
        <is>
          <t>croatia</t>
        </is>
      </c>
      <c r="C164" s="13" t="inlineStr">
        <is>
          <t>HRV</t>
        </is>
      </c>
      <c r="D164" s="13" t="inlineStr">
        <is>
          <t>Croatia</t>
        </is>
      </c>
      <c r="E164" s="13" t="inlineStr">
        <is>
          <t>Lidl Croatia</t>
        </is>
      </c>
      <c r="F164" s="13" t="inlineStr">
        <is>
          <t>https://www.lidl.hr/</t>
        </is>
      </c>
      <c r="G164" s="13" t="inlineStr">
        <is>
          <t>NOT PROBED - deduped, already onboarded, or time-boxed</t>
        </is>
      </c>
      <c r="H164" s="13" t="inlineStr"/>
      <c r="I164" s="13" t="inlineStr"/>
      <c r="J164" s="13" t="inlineStr"/>
      <c r="K164" s="13" t="inlineStr"/>
      <c r="L164" s="13" t="inlineStr"/>
      <c r="M164" s="13" t="inlineStr">
        <is>
          <t>SUSPECT</t>
        </is>
      </c>
      <c r="N164" s="13" t="inlineStr">
        <is>
          <t>D - hard / app / index only</t>
        </is>
      </c>
      <c r="O164" s="13" t="n">
        <v>2</v>
      </c>
      <c r="P164" s="13" t="inlineStr">
        <is>
          <t>Custom/Enterprise</t>
        </is>
      </c>
      <c r="Q164" s="13" t="inlineStr">
        <is>
          <t>EUR</t>
        </is>
      </c>
      <c r="R164" s="13" t="inlineStr">
        <is>
          <t>-</t>
        </is>
      </c>
      <c r="S164" s="13" t="inlineStr">
        <is>
          <t>current, promo</t>
        </is>
      </c>
      <c r="T164" s="13" t="inlineStr">
        <is>
          <t>Discounter. Lidl sites are typically leaflet-led rather than full catalogues.</t>
        </is>
      </c>
      <c r="U164" s="13" t="inlineStr">
        <is>
          <t>Leaflet PDFs are not a catalogue; do not mistake promo pages for full coverage.</t>
        </is>
      </c>
      <c r="V164" s="13" t="inlineStr">
        <is>
          <t>P6</t>
        </is>
      </c>
    </row>
    <row r="165">
      <c r="A165" s="13" t="inlineStr">
        <is>
          <t>eca</t>
        </is>
      </c>
      <c r="B165" s="13" t="inlineStr">
        <is>
          <t>croatia</t>
        </is>
      </c>
      <c r="C165" s="13" t="inlineStr">
        <is>
          <t>HRV</t>
        </is>
      </c>
      <c r="D165" s="13" t="inlineStr">
        <is>
          <t>Croatia</t>
        </is>
      </c>
      <c r="E165" s="13" t="inlineStr">
        <is>
          <t>Spar Croatia</t>
        </is>
      </c>
      <c r="F165" s="13" t="inlineStr">
        <is>
          <t>https://www.spar.hr/</t>
        </is>
      </c>
      <c r="G165" s="13" t="inlineStr">
        <is>
          <t>PROBED - SKIP</t>
        </is>
      </c>
      <c r="H165" s="13" t="inlineStr">
        <is>
          <t>SKIP</t>
        </is>
      </c>
      <c r="I165" s="13" t="inlineStr">
        <is>
          <t>high</t>
        </is>
      </c>
      <c r="J165" s="13" t="n">
        <v>0</v>
      </c>
      <c r="K165" s="13" t="inlineStr"/>
      <c r="L165" s="13" t="inlineStr">
        <is>
          <t>curl -&gt; 403 'Just a moment...' Cloudflare challenge stub (5.6KB).</t>
        </is>
      </c>
      <c r="M165" s="13" t="inlineStr">
        <is>
          <t>ACCEPT</t>
        </is>
      </c>
      <c r="N165" s="13" t="inlineStr">
        <is>
          <t>not scored</t>
        </is>
      </c>
      <c r="O165" s="13" t="inlineStr"/>
      <c r="P165" s="13" t="inlineStr">
        <is>
          <t>Custom</t>
        </is>
      </c>
      <c r="Q165" s="13" t="inlineStr">
        <is>
          <t>EUR</t>
        </is>
      </c>
      <c r="R165" s="13" t="inlineStr">
        <is>
          <t>-</t>
        </is>
      </c>
      <c r="S165" s="13" t="inlineStr">
        <is>
          <t>-</t>
        </is>
      </c>
      <c r="T165" s="13" t="inlineStr">
        <is>
          <t>SPAR franchise with online shop.</t>
        </is>
      </c>
      <c r="U165" s="13" t="inlineStr">
        <is>
          <t>-</t>
        </is>
      </c>
      <c r="V165" s="13" t="inlineStr">
        <is>
          <t>P5</t>
        </is>
      </c>
    </row>
    <row r="166">
      <c r="A166" s="13" t="inlineStr">
        <is>
          <t>eca</t>
        </is>
      </c>
      <c r="B166" s="13" t="inlineStr">
        <is>
          <t>croatia</t>
        </is>
      </c>
      <c r="C166" s="13" t="inlineStr">
        <is>
          <t>HRV</t>
        </is>
      </c>
      <c r="D166" s="13" t="inlineStr">
        <is>
          <t>Croatia</t>
        </is>
      </c>
      <c r="E166" s="13" t="inlineStr">
        <is>
          <t>Spar Croatia</t>
        </is>
      </c>
      <c r="F166" s="13" t="inlineStr">
        <is>
          <t>https://www.spar.hr/</t>
        </is>
      </c>
      <c r="G166" s="13" t="inlineStr">
        <is>
          <t>PROBED - SKIP</t>
        </is>
      </c>
      <c r="H166" s="13" t="inlineStr">
        <is>
          <t>SKIP</t>
        </is>
      </c>
      <c r="I166" s="13" t="inlineStr">
        <is>
          <t>high</t>
        </is>
      </c>
      <c r="J166" s="13" t="n">
        <v>0</v>
      </c>
      <c r="K166" s="13" t="inlineStr"/>
      <c r="L166" s="13" t="inlineStr">
        <is>
          <t>curl -&gt; 403 'Just a moment...' Cloudflare challenge stub (5.6KB).</t>
        </is>
      </c>
      <c r="M166" s="13" t="inlineStr">
        <is>
          <t>ACCEPT</t>
        </is>
      </c>
      <c r="N166" s="13" t="inlineStr">
        <is>
          <t>C - engineering required</t>
        </is>
      </c>
      <c r="O166" s="13" t="n">
        <v>3</v>
      </c>
      <c r="P166" s="13" t="inlineStr">
        <is>
          <t>Custom</t>
        </is>
      </c>
      <c r="Q166" s="13" t="inlineStr">
        <is>
          <t>EUR</t>
        </is>
      </c>
      <c r="R166" s="13" t="inlineStr">
        <is>
          <t>Check whether the .hr instance shares the SPAR platform.</t>
        </is>
      </c>
      <c r="S166" s="13" t="inlineStr">
        <is>
          <t>current</t>
        </is>
      </c>
      <c r="T166" s="13" t="inlineStr">
        <is>
          <t>SPAR franchise. The SPAR adapter, once built, is reusable across roughly 25 economies in this database.</t>
        </is>
      </c>
      <c r="U166" s="13" t="inlineStr">
        <is>
          <t>-</t>
        </is>
      </c>
      <c r="V166" s="13" t="inlineStr">
        <is>
          <t>P6</t>
        </is>
      </c>
    </row>
    <row r="167">
      <c r="A167" s="13" t="inlineStr">
        <is>
          <t>eca</t>
        </is>
      </c>
      <c r="B167" s="13" t="inlineStr">
        <is>
          <t>croatia</t>
        </is>
      </c>
      <c r="C167" s="13" t="inlineStr">
        <is>
          <t>HRV</t>
        </is>
      </c>
      <c r="D167" s="13" t="inlineStr">
        <is>
          <t>Croatia</t>
        </is>
      </c>
      <c r="E167" s="13" t="inlineStr">
        <is>
          <t>Usporedilica</t>
        </is>
      </c>
      <c r="F167" s="13" t="inlineStr">
        <is>
          <t>https://usporedilica.hr/</t>
        </is>
      </c>
      <c r="G167" s="13" t="inlineStr">
        <is>
          <t>PROBED - SKIP</t>
        </is>
      </c>
      <c r="H167" s="13" t="inlineStr">
        <is>
          <t>SKIP</t>
        </is>
      </c>
      <c r="I167" s="13" t="inlineStr">
        <is>
          <t>high</t>
        </is>
      </c>
      <c r="J167" s="13" t="n">
        <v>0</v>
      </c>
      <c r="K167" s="13" t="inlineStr"/>
      <c r="L167" s="13" t="inlineStr">
        <is>
          <t>curl -&gt; 403 'Just a moment...' Cloudflare challenge stub (5.7KB).</t>
        </is>
      </c>
      <c r="M167" s="13" t="inlineStr">
        <is>
          <t>ACCEPT</t>
        </is>
      </c>
      <c r="N167" s="13" t="inlineStr">
        <is>
          <t>C - engineering required</t>
        </is>
      </c>
      <c r="O167" s="13" t="n">
        <v>3</v>
      </c>
      <c r="P167" s="13" t="inlineStr">
        <is>
          <t>Custom</t>
        </is>
      </c>
      <c r="Q167" s="13" t="inlineStr">
        <is>
          <t>EUR</t>
        </is>
      </c>
      <c r="R167" s="13" t="inlineStr">
        <is>
          <t>Parse the listing; retain the 'od' semantics explicitly in the schema.</t>
        </is>
      </c>
      <c r="S167" s="13" t="inlineStr">
        <is>
          <t>lowest_price, unit_price_per_kg_or_l</t>
        </is>
      </c>
      <c r="T167" s="13" t="inlineStr">
        <is>
          <t>Second comparison aggregator. Every line carries a normalised unit price (1 kg = X EUR, 1 lit = X EUR) computed for you, which removes the pack-size parsing burden that consumes most of the cleaning effort in this kind of work.</t>
        </is>
      </c>
      <c r="U167" s="13" t="inlineStr">
        <is>
          <t>Shows 'od' (from) prices, i.e. the minimum across retailers, not a specific retailer's price.</t>
        </is>
      </c>
      <c r="V167" s="13" t="inlineStr">
        <is>
          <t>P6</t>
        </is>
      </c>
    </row>
    <row r="168">
      <c r="A168" s="13" t="inlineStr">
        <is>
          <t>eca</t>
        </is>
      </c>
      <c r="B168" s="13" t="inlineStr">
        <is>
          <t>croatia</t>
        </is>
      </c>
      <c r="C168" s="13" t="inlineStr">
        <is>
          <t>HRV</t>
        </is>
      </c>
      <c r="D168" s="13" t="inlineStr">
        <is>
          <t>Croatia</t>
        </is>
      </c>
      <c r="E168" s="13" t="inlineStr">
        <is>
          <t>Usporedilica</t>
        </is>
      </c>
      <c r="F168" s="13" t="inlineStr">
        <is>
          <t>https://usporedilica.hr/</t>
        </is>
      </c>
      <c r="G168" s="13" t="inlineStr">
        <is>
          <t>PROBED - SKIP</t>
        </is>
      </c>
      <c r="H168" s="13" t="inlineStr">
        <is>
          <t>SKIP</t>
        </is>
      </c>
      <c r="I168" s="13" t="inlineStr">
        <is>
          <t>high</t>
        </is>
      </c>
      <c r="J168" s="13" t="n">
        <v>0</v>
      </c>
      <c r="K168" s="13" t="inlineStr"/>
      <c r="L168" s="13" t="inlineStr">
        <is>
          <t>curl -&gt; 403 'Just a moment...' Cloudflare challenge stub (5.7KB).</t>
        </is>
      </c>
      <c r="M168" s="13" t="inlineStr">
        <is>
          <t>ACCEPT</t>
        </is>
      </c>
      <c r="N168" s="13" t="inlineStr">
        <is>
          <t>C - engineering required</t>
        </is>
      </c>
      <c r="O168" s="13" t="n">
        <v>3</v>
      </c>
      <c r="P168" s="13" t="inlineStr">
        <is>
          <t>Custom</t>
        </is>
      </c>
      <c r="Q168" s="13" t="inlineStr"/>
      <c r="R168" s="13" t="inlineStr">
        <is>
          <t>-</t>
        </is>
      </c>
      <c r="S168" s="13" t="inlineStr">
        <is>
          <t>lowest_price, unit_price_kg_l</t>
        </is>
      </c>
      <c r="T168" s="13" t="inlineStr">
        <is>
          <t>Every line carries a normalised unit price (1 kg = X EUR), removing pack-size parsing.</t>
        </is>
      </c>
      <c r="U168" s="13" t="inlineStr">
        <is>
          <t>Shows 'od' (from) prices - the minimum across retailers, not a specific retailer's price.</t>
        </is>
      </c>
      <c r="V168" s="13" t="inlineStr">
        <is>
          <t>P8-EU</t>
        </is>
      </c>
    </row>
    <row r="169">
      <c r="A169" s="13" t="inlineStr">
        <is>
          <t>eca</t>
        </is>
      </c>
      <c r="B169" s="13" t="inlineStr">
        <is>
          <t>croatia</t>
        </is>
      </c>
      <c r="C169" s="13" t="inlineStr">
        <is>
          <t>HRV</t>
        </is>
      </c>
      <c r="D169" s="13" t="inlineStr">
        <is>
          <t>Croatia</t>
        </is>
      </c>
      <c r="E169" s="13" t="inlineStr">
        <is>
          <t>CroCart</t>
        </is>
      </c>
      <c r="F169" s="13" t="inlineStr">
        <is>
          <t>https://www.cro-cart.hr/cijene</t>
        </is>
      </c>
      <c r="G169" s="13" t="inlineStr">
        <is>
          <t>PROBED - VIABLE</t>
        </is>
      </c>
      <c r="H169" s="13" t="inlineStr">
        <is>
          <t>TIER_1A</t>
        </is>
      </c>
      <c r="I169" s="13" t="inlineStr">
        <is>
          <t>low</t>
        </is>
      </c>
      <c r="J169" s="13" t="n">
        <v>90</v>
      </c>
      <c r="K169" s="13" t="inlineStr">
        <is>
          <t>/cijene/{item-slug}</t>
        </is>
      </c>
      <c r="L169" s="13" t="inlineStr">
        <is>
          <t>GET /cijene/mlijeko -&gt; 200, 56KB SSR HTML. Cross-retailer milk prices visible: 0,85€ / 0,93€ / 2,39€ / 6,59€ tagged to Lidl(16)/Kaufland(12)/Spar(22)/Plodine(20)/Eurospin(14) counts. Page text confirms: 'CroCart svaki dan preuzima službene cjenike svih 5 trgovačkih lanaca' (downloads official price lists of all 5 chains daily).</t>
        </is>
      </c>
      <c r="M169" s="13" t="inlineStr">
        <is>
          <t>ACCEPT</t>
        </is>
      </c>
      <c r="N169" s="13" t="inlineStr">
        <is>
          <t>C - engineering required</t>
        </is>
      </c>
      <c r="O169" s="13" t="n">
        <v>3</v>
      </c>
      <c r="P169" s="13" t="inlineStr">
        <is>
          <t>Custom</t>
        </is>
      </c>
      <c r="Q169" s="13" t="inlineStr">
        <is>
          <t>EUR</t>
        </is>
      </c>
      <c r="R169" s="13" t="inlineStr">
        <is>
          <t>Inspect CroCart for source attribution, then search each chain's site for 'cjenik' downloads; check for a mandated publication endpoint.</t>
        </is>
      </c>
      <c r="S169" s="13" t="inlineStr">
        <is>
          <t>lowest_price, retailer_name, unit_price</t>
        </is>
      </c>
      <c r="T169" s="13" t="inlineStr">
        <is>
          <t>CRITICAL STRUCTURAL LEAD. States that it downloads the OFFICIAL PRICE LISTS (sluzbene cjenike) of all five chains EVERY DAY and links matching products across them. That implies Croatian retailers publish machine-readable official price files, most likely as a regulatory requirement. If those files can be located at source, they would be vastly superior to scraping: complete, authoritative, daily, and legally intended for publication. PURSUE THE UNDERLYING FILES BEFORE BUILDING ANY CROATIAN SCRAPER.</t>
        </is>
      </c>
      <c r="U169" s="13" t="inlineStr">
        <is>
          <t>Treating this as just another site would miss the point. The value is the pointer to official price-list publication, not the aggregator itself.</t>
        </is>
      </c>
      <c r="V169" s="13" t="inlineStr">
        <is>
          <t>P6</t>
        </is>
      </c>
    </row>
    <row r="170">
      <c r="A170" s="13" t="inlineStr">
        <is>
          <t>eca</t>
        </is>
      </c>
      <c r="B170" s="13" t="inlineStr">
        <is>
          <t>croatia</t>
        </is>
      </c>
      <c r="C170" s="13" t="inlineStr">
        <is>
          <t>HRV</t>
        </is>
      </c>
      <c r="D170" s="13" t="inlineStr">
        <is>
          <t>Croatia</t>
        </is>
      </c>
      <c r="E170" s="13" t="inlineStr">
        <is>
          <t>CroCart</t>
        </is>
      </c>
      <c r="F170" s="13" t="inlineStr">
        <is>
          <t>https://www.cro-cart.hr/cijene</t>
        </is>
      </c>
      <c r="G170" s="13" t="inlineStr">
        <is>
          <t>PROBED - VIABLE</t>
        </is>
      </c>
      <c r="H170" s="13" t="inlineStr">
        <is>
          <t>TIER_1A</t>
        </is>
      </c>
      <c r="I170" s="13" t="inlineStr">
        <is>
          <t>low</t>
        </is>
      </c>
      <c r="J170" s="13" t="n">
        <v>90</v>
      </c>
      <c r="K170" s="13" t="inlineStr">
        <is>
          <t>/cijene/{item-slug}</t>
        </is>
      </c>
      <c r="L170" s="13" t="inlineStr">
        <is>
          <t>GET /cijene/mlijeko -&gt; 200, 56KB SSR HTML. Cross-retailer milk prices visible: 0,85€ / 0,93€ / 2,39€ / 6,59€ tagged to Lidl(16)/Kaufland(12)/Spar(22)/Plodine(20)/Eurospin(14) counts. Page text confirms: 'CroCart svaki dan preuzima službene cjenike svih 5 trgovačkih lanaca' (downloads official price lists of all 5 chains daily).</t>
        </is>
      </c>
      <c r="M170" s="13" t="inlineStr">
        <is>
          <t>ACCEPT</t>
        </is>
      </c>
      <c r="N170" s="13" t="inlineStr">
        <is>
          <t>C - engineering required</t>
        </is>
      </c>
      <c r="O170" s="13" t="n">
        <v>3</v>
      </c>
      <c r="P170" s="13" t="inlineStr">
        <is>
          <t>Custom</t>
        </is>
      </c>
      <c r="Q170" s="13" t="inlineStr"/>
      <c r="R170" s="13" t="inlineStr">
        <is>
          <t>-</t>
        </is>
      </c>
      <c r="S170" s="13" t="inlineStr">
        <is>
          <t>lowest_price, retailer, unit_price</t>
        </is>
      </c>
      <c r="T170" s="13" t="inlineStr">
        <is>
          <t>Daily pull of official price lists from Lidl, Kaufland, Spar, Plodine, Eurospin. Basket optimisation across stores. See the OFFICIAL tier entry - the underlying files are the prize.</t>
        </is>
      </c>
      <c r="U170" s="13" t="inlineStr">
        <is>
          <t>-</t>
        </is>
      </c>
      <c r="V170" s="13" t="inlineStr">
        <is>
          <t>P8-EU</t>
        </is>
      </c>
    </row>
    <row r="171">
      <c r="A171" s="13" t="inlineStr">
        <is>
          <t>eca</t>
        </is>
      </c>
      <c r="B171" s="13" t="inlineStr">
        <is>
          <t>croatia</t>
        </is>
      </c>
      <c r="C171" s="13" t="inlineStr">
        <is>
          <t>HRV</t>
        </is>
      </c>
      <c r="D171" s="13" t="inlineStr">
        <is>
          <t>Croatia</t>
        </is>
      </c>
      <c r="E171" s="13" t="inlineStr">
        <is>
          <t>Kaufland Croatia</t>
        </is>
      </c>
      <c r="F171" s="13" t="inlineStr">
        <is>
          <t>https://www.kaufland.hr/</t>
        </is>
      </c>
      <c r="G171" s="13" t="inlineStr">
        <is>
          <t>PROBED - VIABLE</t>
        </is>
      </c>
      <c r="H171" s="13" t="inlineStr">
        <is>
          <t>TIER_1A</t>
        </is>
      </c>
      <c r="I171" s="13" t="inlineStr">
        <is>
          <t>low</t>
        </is>
      </c>
      <c r="J171" s="13" t="n">
        <v>150</v>
      </c>
      <c r="K171" s="13" t="inlineStr">
        <is>
          <t>SSR homepage/category HTML</t>
        </is>
      </c>
      <c r="L171" s="13" t="inlineStr">
        <is>
          <t>GET -&gt; 200, 208KB SSR (Vue+Next). Direct price '1,44€' repeated in homepage HTML. Also found a published 'Popis maloprodajnih cijena' (retail price list) page at /akcije-novosti/popis-mpc.html (200, 114KB) but it is an explanatory HTML page, not a raw CSV/XML download.</t>
        </is>
      </c>
      <c r="M171" s="13" t="inlineStr">
        <is>
          <t>SUSPECT</t>
        </is>
      </c>
      <c r="N171" s="13" t="inlineStr">
        <is>
          <t>D - hard / app / index only</t>
        </is>
      </c>
      <c r="O171" s="13" t="n">
        <v>2</v>
      </c>
      <c r="P171" s="13" t="inlineStr">
        <is>
          <t>Custom/Enterprise</t>
        </is>
      </c>
      <c r="Q171" s="13" t="inlineStr">
        <is>
          <t>EUR</t>
        </is>
      </c>
      <c r="R171" s="13" t="inlineStr">
        <is>
          <t>-</t>
        </is>
      </c>
      <c r="S171" s="13" t="inlineStr">
        <is>
          <t>current, promo</t>
        </is>
      </c>
      <c r="T171" s="13" t="inlineStr">
        <is>
          <t>Present in all Croatian aggregators; own site is enterprise-stack.</t>
        </is>
      </c>
      <c r="U171" s="13" t="inlineStr">
        <is>
          <t>-</t>
        </is>
      </c>
      <c r="V171" s="13" t="inlineStr">
        <is>
          <t>P6</t>
        </is>
      </c>
    </row>
    <row r="172">
      <c r="A172" s="13" t="inlineStr">
        <is>
          <t>eca</t>
        </is>
      </c>
      <c r="B172" s="13" t="inlineStr">
        <is>
          <t>croatia</t>
        </is>
      </c>
      <c r="C172" s="13" t="inlineStr">
        <is>
          <t>HRV</t>
        </is>
      </c>
      <c r="D172" s="13" t="inlineStr">
        <is>
          <t>Croatia</t>
        </is>
      </c>
      <c r="E172" s="13" t="inlineStr">
        <is>
          <t>Konzum</t>
        </is>
      </c>
      <c r="F172" s="13" t="inlineStr">
        <is>
          <t>https://www.konzum.hr/kreni-u-kupnju</t>
        </is>
      </c>
      <c r="G172" s="13" t="inlineStr">
        <is>
          <t>PROBED - VIABLE</t>
        </is>
      </c>
      <c r="H172" s="13" t="inlineStr">
        <is>
          <t>TIER_1A</t>
        </is>
      </c>
      <c r="I172" s="13" t="inlineStr">
        <is>
          <t>medium</t>
        </is>
      </c>
      <c r="J172" s="13" t="n">
        <v>170</v>
      </c>
      <c r="K172" s="13" t="inlineStr">
        <is>
          <t>SSR category HTML</t>
        </is>
      </c>
      <c r="L172" s="13" t="inlineStr">
        <is>
          <t>GET -&gt; 200, 291KB SSR (Next.js). Direct prices in HTML: 1,49€ / 2,99€ / 3,99€ / 180,00€.</t>
        </is>
      </c>
      <c r="M172" s="13" t="inlineStr">
        <is>
          <t>ACCEPT</t>
        </is>
      </c>
      <c r="N172" s="13" t="inlineStr">
        <is>
          <t>not scored</t>
        </is>
      </c>
      <c r="O172" s="13" t="inlineStr"/>
      <c r="P172" s="13" t="inlineStr">
        <is>
          <t>Custom</t>
        </is>
      </c>
      <c r="Q172" s="13" t="inlineStr">
        <is>
          <t>EUR</t>
        </is>
      </c>
      <c r="R172" s="13" t="inlineStr">
        <is>
          <t>-</t>
        </is>
      </c>
      <c r="S172" s="13" t="inlineStr">
        <is>
          <t>-</t>
        </is>
      </c>
      <c r="T172" s="13" t="inlineStr">
        <is>
          <t>EXCEPTIONAL for price research: publishes current price, unit price per kg, the 30-day lowest price (NC 30 dana), the price on a fixed reference date (02.05.2025) AND the promotion end date. That is EU price-transparency compliance producing a ready-made price history per SKU. 12,000+ products. Best-structured source found anywhere in this project.</t>
        </is>
      </c>
      <c r="U172" s="13" t="inlineStr">
        <is>
          <t>-</t>
        </is>
      </c>
      <c r="V172" s="13" t="inlineStr">
        <is>
          <t>P5</t>
        </is>
      </c>
    </row>
    <row r="173">
      <c r="A173" s="13" t="inlineStr">
        <is>
          <t>eca</t>
        </is>
      </c>
      <c r="B173" s="13" t="inlineStr">
        <is>
          <t>croatia</t>
        </is>
      </c>
      <c r="C173" s="13" t="inlineStr">
        <is>
          <t>HRV</t>
        </is>
      </c>
      <c r="D173" s="13" t="inlineStr">
        <is>
          <t>Croatia</t>
        </is>
      </c>
      <c r="E173" s="13" t="inlineStr">
        <is>
          <t>Konzum</t>
        </is>
      </c>
      <c r="F173" s="13" t="inlineStr">
        <is>
          <t>https://www.konzum.hr/kreni-u-kupnju</t>
        </is>
      </c>
      <c r="G173" s="13" t="inlineStr">
        <is>
          <t>PROBED - VIABLE</t>
        </is>
      </c>
      <c r="H173" s="13" t="inlineStr">
        <is>
          <t>TIER_1A</t>
        </is>
      </c>
      <c r="I173" s="13" t="inlineStr">
        <is>
          <t>medium</t>
        </is>
      </c>
      <c r="J173" s="13" t="n">
        <v>170</v>
      </c>
      <c r="K173" s="13" t="inlineStr">
        <is>
          <t>SSR category HTML</t>
        </is>
      </c>
      <c r="L173" s="13" t="inlineStr">
        <is>
          <t>GET -&gt; 200, 291KB SSR (Next.js). Direct prices in HTML: 1,49€ / 2,99€ / 3,99€ / 180,00€.</t>
        </is>
      </c>
      <c r="M173" s="13" t="inlineStr">
        <is>
          <t>ACCEPT</t>
        </is>
      </c>
      <c r="N173" s="13" t="inlineStr">
        <is>
          <t>C - engineering required</t>
        </is>
      </c>
      <c r="O173" s="13" t="n">
        <v>3</v>
      </c>
      <c r="P173" s="13" t="inlineStr">
        <is>
          <t>Custom</t>
        </is>
      </c>
      <c r="Q173" s="13" t="inlineStr">
        <is>
          <t>EUR</t>
        </is>
      </c>
      <c r="R173" s="13" t="inlineStr">
        <is>
          <t>Fetch a category page and parse all five fields; confirm the 30-day-low label persists on non-promoted items too.</t>
        </is>
      </c>
      <c r="S173" s="13" t="inlineStr">
        <is>
          <t>current, unit_price_per_kg, lowest_30day, reference_date_price, promo_end_date</t>
        </is>
      </c>
      <c r="T173" s="13" t="inlineStr">
        <is>
          <t>HIGHEST-VALUE SOURCE IN THE ENTIRE PROJECT. Publishes five distinct price fields per SKU: current price, unit price per kg, 'NC 30 dana' (lowest price in the preceding 30 days), the price on a fixed reference date (02.05.2025), and the promotion expiry. The 30-day-low field is an EU price-transparency compliance artefact, which means a SINGLE CRAWL yields a bounded price history per SKU rather than a point observation. Test every EU retailer in the frame for the same field. 12,000+ products.</t>
        </is>
      </c>
      <c r="U173" s="13" t="inlineStr">
        <is>
          <t>Do not capture only the headline price. Capturing 'current' alone discards roughly 80 percent of the information value on the page.</t>
        </is>
      </c>
      <c r="V173" s="13" t="inlineStr">
        <is>
          <t>P6</t>
        </is>
      </c>
    </row>
    <row r="174">
      <c r="A174" s="13" t="inlineStr">
        <is>
          <t>eca</t>
        </is>
      </c>
      <c r="B174" s="13" t="inlineStr">
        <is>
          <t>croatia</t>
        </is>
      </c>
      <c r="C174" s="13" t="inlineStr">
        <is>
          <t>HRV</t>
        </is>
      </c>
      <c r="D174" s="13" t="inlineStr">
        <is>
          <t>Croatia</t>
        </is>
      </c>
      <c r="E174" s="13" t="inlineStr">
        <is>
          <t>Konzum</t>
        </is>
      </c>
      <c r="F174" s="13" t="inlineStr">
        <is>
          <t>https://www.konzum.hr/kreni-u-kupnju</t>
        </is>
      </c>
      <c r="G174" s="13" t="inlineStr">
        <is>
          <t>PROBED - VIABLE</t>
        </is>
      </c>
      <c r="H174" s="13" t="inlineStr">
        <is>
          <t>TIER_1A</t>
        </is>
      </c>
      <c r="I174" s="13" t="inlineStr">
        <is>
          <t>medium</t>
        </is>
      </c>
      <c r="J174" s="13" t="n">
        <v>170</v>
      </c>
      <c r="K174" s="13" t="inlineStr">
        <is>
          <t>SSR category HTML</t>
        </is>
      </c>
      <c r="L174" s="13" t="inlineStr">
        <is>
          <t>GET -&gt; 200, 291KB SSR (Next.js). Direct prices in HTML: 1,49€ / 2,99€ / 3,99€ / 180,00€.</t>
        </is>
      </c>
      <c r="M174" s="13" t="inlineStr">
        <is>
          <t>ACCEPT</t>
        </is>
      </c>
      <c r="N174" s="13" t="inlineStr">
        <is>
          <t>C - engineering required</t>
        </is>
      </c>
      <c r="O174" s="13" t="n">
        <v>3</v>
      </c>
      <c r="P174" s="13" t="inlineStr">
        <is>
          <t>Custom</t>
        </is>
      </c>
      <c r="Q174" s="13" t="inlineStr"/>
      <c r="R174" s="13" t="inlineStr">
        <is>
          <t>-</t>
        </is>
      </c>
      <c r="S174" s="13" t="inlineStr">
        <is>
          <t>current, unit_price_kg, lowest_30day, reference_date_price, promo_end_date</t>
        </is>
      </c>
      <c r="T174" s="13" t="inlineStr">
        <is>
          <t>FIVE price fields per SKU including 'NC 30 dana' (lowest price in preceding 30 days) and a fixed reference-date price (02.05.2025). 12,000+ products. The reference implementation of Omnibus Art.6a done well.</t>
        </is>
      </c>
      <c r="U174" s="13" t="inlineStr">
        <is>
          <t>Capturing only the headline price discards ~80% of the information on the page.</t>
        </is>
      </c>
      <c r="V174" s="13" t="inlineStr">
        <is>
          <t>P8-EU</t>
        </is>
      </c>
    </row>
    <row r="175">
      <c r="A175" s="13" t="inlineStr">
        <is>
          <t>eca</t>
        </is>
      </c>
      <c r="B175" s="13" t="inlineStr">
        <is>
          <t>croatia</t>
        </is>
      </c>
      <c r="C175" s="13" t="inlineStr">
        <is>
          <t>HRV</t>
        </is>
      </c>
      <c r="D175" s="13" t="inlineStr">
        <is>
          <t>Croatia</t>
        </is>
      </c>
      <c r="E175" s="13" t="inlineStr">
        <is>
          <t>Official retailer price lists (cjenici)</t>
        </is>
      </c>
      <c r="F175" s="13" t="inlineStr">
        <is>
          <t>https://www.cro-cart.hr/cijene</t>
        </is>
      </c>
      <c r="G175" s="13" t="inlineStr">
        <is>
          <t>PROBED - VIABLE</t>
        </is>
      </c>
      <c r="H175" s="13" t="inlineStr">
        <is>
          <t>TIER_1A</t>
        </is>
      </c>
      <c r="I175" s="13" t="inlineStr">
        <is>
          <t>low</t>
        </is>
      </c>
      <c r="J175" s="13" t="n">
        <v>90</v>
      </c>
      <c r="K175" s="13" t="inlineStr">
        <is>
          <t>/cijene/{item-slug}</t>
        </is>
      </c>
      <c r="L175" s="13" t="inlineStr">
        <is>
          <t>GET /cijene/mlijeko -&gt; 200, 56KB SSR HTML. Cross-retailer milk prices visible: 0,85€ / 0,93€ / 2,39€ / 6,59€ tagged to Lidl(16)/Kaufland(12)/Spar(22)/Plodine(20)/Eurospin(14) counts. Page text confirms: 'CroCart svaki dan preuzima službene cjenike svih 5 trgovačkih lanaca' (downloads official price lists of all 5 chains daily).</t>
        </is>
      </c>
      <c r="M175" s="13" t="inlineStr">
        <is>
          <t>ACCEPT</t>
        </is>
      </c>
      <c r="N175" s="13" t="inlineStr">
        <is>
          <t>A - low-hanging fruit</t>
        </is>
      </c>
      <c r="O175" s="13" t="n">
        <v>5</v>
      </c>
      <c r="P175" s="13" t="inlineStr">
        <is>
          <t>Custom</t>
        </is>
      </c>
      <c r="Q175" s="13" t="inlineStr"/>
      <c r="R175" s="13" t="inlineStr">
        <is>
          <t>Inspect CroCart for source attribution; search each chain for 'cjenik' downloads; check the Ministry of Economy for a mandated publication endpoint.</t>
        </is>
      </c>
      <c r="S175" s="13" t="inlineStr">
        <is>
          <t>official_price_list, unit_price</t>
        </is>
      </c>
      <c r="T175" s="13" t="inlineStr">
        <is>
          <t>STRUCTURAL LEAD, not yet a confirmed endpoint. CroCart states it downloads the OFFICIAL PRICE LISTS (sluzbene cjenike) of all five Croatian chains EVERY DAY and matches products across them. That implies Croatian retailers are required to publish machine-readable price files. If located at source these would be complete, authoritative, daily and legally intended for publication - strictly superior to scraping. Croatia also has FOUR independent comparison sites, consistent with open price data being available.</t>
        </is>
      </c>
      <c r="U175" s="13" t="inlineStr">
        <is>
          <t>Not yet verified at source. Do this investigation BEFORE writing any Croatian scraper - it may make the scraper unnecessary.</t>
        </is>
      </c>
      <c r="V175" s="13" t="inlineStr">
        <is>
          <t>P8-EU</t>
        </is>
      </c>
    </row>
    <row r="176">
      <c r="A176" s="13" t="inlineStr">
        <is>
          <t>eca</t>
        </is>
      </c>
      <c r="B176" s="13" t="inlineStr">
        <is>
          <t>croatia</t>
        </is>
      </c>
      <c r="C176" s="13" t="inlineStr">
        <is>
          <t>HRV</t>
        </is>
      </c>
      <c r="D176" s="13" t="inlineStr">
        <is>
          <t>Croatia</t>
        </is>
      </c>
      <c r="E176" s="13" t="inlineStr">
        <is>
          <t>Plodine</t>
        </is>
      </c>
      <c r="F176" s="13" t="inlineStr">
        <is>
          <t>https://www.plodine.hr/</t>
        </is>
      </c>
      <c r="G176" s="13" t="inlineStr">
        <is>
          <t>PROBED - VIABLE</t>
        </is>
      </c>
      <c r="H176" s="13" t="inlineStr">
        <is>
          <t>TIER_1A</t>
        </is>
      </c>
      <c r="I176" s="13" t="inlineStr">
        <is>
          <t>low</t>
        </is>
      </c>
      <c r="J176" s="13" t="n">
        <v>150</v>
      </c>
      <c r="K176" s="13" t="inlineStr">
        <is>
          <t>SSR homepage/category HTML</t>
        </is>
      </c>
      <c r="L176" s="13" t="inlineStr">
        <is>
          <t>GET -&gt; 200, 86KB SSR (Next.js). Sample: h2 'Svježi black Angus steak' near 9,49€; also 4,49€, 12,99€ visible.</t>
        </is>
      </c>
      <c r="M176" s="13" t="inlineStr">
        <is>
          <t>ACCEPT</t>
        </is>
      </c>
      <c r="N176" s="13" t="inlineStr">
        <is>
          <t>not scored</t>
        </is>
      </c>
      <c r="O176" s="13" t="inlineStr"/>
      <c r="P176" s="13" t="inlineStr">
        <is>
          <t>Custom</t>
        </is>
      </c>
      <c r="Q176" s="13" t="inlineStr">
        <is>
          <t>EUR</t>
        </is>
      </c>
      <c r="R176" s="13" t="inlineStr">
        <is>
          <t>-</t>
        </is>
      </c>
      <c r="S176" s="13" t="inlineStr">
        <is>
          <t>-</t>
        </is>
      </c>
      <c r="T176" s="13" t="inlineStr">
        <is>
          <t>National chain; verify catalogue exposure.</t>
        </is>
      </c>
      <c r="U176" s="13" t="inlineStr">
        <is>
          <t>-</t>
        </is>
      </c>
      <c r="V176" s="13" t="inlineStr">
        <is>
          <t>P5</t>
        </is>
      </c>
    </row>
    <row r="177">
      <c r="A177" s="13" t="inlineStr">
        <is>
          <t>eca</t>
        </is>
      </c>
      <c r="B177" s="13" t="inlineStr">
        <is>
          <t>croatia</t>
        </is>
      </c>
      <c r="C177" s="13" t="inlineStr">
        <is>
          <t>HRV</t>
        </is>
      </c>
      <c r="D177" s="13" t="inlineStr">
        <is>
          <t>Croatia</t>
        </is>
      </c>
      <c r="E177" s="13" t="inlineStr">
        <is>
          <t>Plodine</t>
        </is>
      </c>
      <c r="F177" s="13" t="inlineStr">
        <is>
          <t>https://www.plodine.hr/</t>
        </is>
      </c>
      <c r="G177" s="13" t="inlineStr">
        <is>
          <t>PROBED - VIABLE</t>
        </is>
      </c>
      <c r="H177" s="13" t="inlineStr">
        <is>
          <t>TIER_1A</t>
        </is>
      </c>
      <c r="I177" s="13" t="inlineStr">
        <is>
          <t>low</t>
        </is>
      </c>
      <c r="J177" s="13" t="n">
        <v>150</v>
      </c>
      <c r="K177" s="13" t="inlineStr">
        <is>
          <t>SSR homepage/category HTML</t>
        </is>
      </c>
      <c r="L177" s="13" t="inlineStr">
        <is>
          <t>GET -&gt; 200, 86KB SSR (Next.js). Sample: h2 'Svježi black Angus steak' near 9,49€; also 4,49€, 12,99€ visible.</t>
        </is>
      </c>
      <c r="M177" s="13" t="inlineStr">
        <is>
          <t>ACCEPT</t>
        </is>
      </c>
      <c r="N177" s="13" t="inlineStr">
        <is>
          <t>C - engineering required</t>
        </is>
      </c>
      <c r="O177" s="13" t="n">
        <v>3</v>
      </c>
      <c r="P177" s="13" t="inlineStr">
        <is>
          <t>Custom</t>
        </is>
      </c>
      <c r="Q177" s="13" t="inlineStr">
        <is>
          <t>EUR</t>
        </is>
      </c>
      <c r="R177" s="13" t="inlineStr">
        <is>
          <t>Test for a cjenik download before scraping HTML.</t>
        </is>
      </c>
      <c r="S177" s="13" t="inlineStr">
        <is>
          <t>current</t>
        </is>
      </c>
      <c r="T177" s="13" t="inlineStr">
        <is>
          <t>National chain, carried by all four Croatian aggregators, so cross-validation is easy.</t>
        </is>
      </c>
      <c r="U177" s="13" t="inlineStr">
        <is>
          <t>-</t>
        </is>
      </c>
      <c r="V177" s="13" t="inlineStr">
        <is>
          <t>P6</t>
        </is>
      </c>
    </row>
    <row r="178">
      <c r="A178" s="13" t="inlineStr">
        <is>
          <t>eca</t>
        </is>
      </c>
      <c r="B178" s="13" t="inlineStr">
        <is>
          <t>croatia</t>
        </is>
      </c>
      <c r="C178" s="13" t="inlineStr">
        <is>
          <t>HRV</t>
        </is>
      </c>
      <c r="D178" s="13" t="inlineStr">
        <is>
          <t>Croatia</t>
        </is>
      </c>
      <c r="E178" s="13" t="inlineStr">
        <is>
          <t>Studenac</t>
        </is>
      </c>
      <c r="F178" s="13" t="inlineStr">
        <is>
          <t>https://www.studenac.hr/</t>
        </is>
      </c>
      <c r="G178" s="13" t="inlineStr">
        <is>
          <t>PROBED - VIABLE</t>
        </is>
      </c>
      <c r="H178" s="13" t="inlineStr">
        <is>
          <t>TIER_1A</t>
        </is>
      </c>
      <c r="I178" s="13" t="inlineStr">
        <is>
          <t>low</t>
        </is>
      </c>
      <c r="J178" s="13" t="n">
        <v>140</v>
      </c>
      <c r="K178" s="13" t="inlineStr">
        <is>
          <t>SSR homepage/category HTML</t>
        </is>
      </c>
      <c r="L178" s="13" t="inlineStr">
        <is>
          <t>GET -&gt; 200, 59KB SSR (Next.js). Samples: 'Instant kava', 'Mlijeko trajno', 'Tjestenina penne rigate' with prices 3,59€ / 4,99€ / 6,49€.</t>
        </is>
      </c>
      <c r="M178" s="13" t="inlineStr">
        <is>
          <t>SUSPECT</t>
        </is>
      </c>
      <c r="N178" s="13" t="inlineStr">
        <is>
          <t>not scored</t>
        </is>
      </c>
      <c r="O178" s="13" t="inlineStr"/>
      <c r="P178" s="13" t="inlineStr">
        <is>
          <t>Custom</t>
        </is>
      </c>
      <c r="Q178" s="13" t="inlineStr">
        <is>
          <t>EUR</t>
        </is>
      </c>
      <c r="R178" s="13" t="inlineStr">
        <is>
          <t>-</t>
        </is>
      </c>
      <c r="S178" s="13" t="inlineStr">
        <is>
          <t>-</t>
        </is>
      </c>
      <c r="T178" s="13" t="inlineStr">
        <is>
          <t>Largest store count in Croatia - good for spatial coverage if a catalogue exists.</t>
        </is>
      </c>
      <c r="U178" s="13" t="inlineStr">
        <is>
          <t>-</t>
        </is>
      </c>
      <c r="V178" s="13" t="inlineStr">
        <is>
          <t>P5</t>
        </is>
      </c>
    </row>
    <row r="179">
      <c r="A179" s="13" t="inlineStr">
        <is>
          <t>eca</t>
        </is>
      </c>
      <c r="B179" s="13" t="inlineStr">
        <is>
          <t>croatia</t>
        </is>
      </c>
      <c r="C179" s="13" t="inlineStr">
        <is>
          <t>HRV</t>
        </is>
      </c>
      <c r="D179" s="13" t="inlineStr">
        <is>
          <t>Croatia</t>
        </is>
      </c>
      <c r="E179" s="13" t="inlineStr">
        <is>
          <t>Studenac</t>
        </is>
      </c>
      <c r="F179" s="13" t="inlineStr">
        <is>
          <t>https://www.studenac.hr/</t>
        </is>
      </c>
      <c r="G179" s="13" t="inlineStr">
        <is>
          <t>PROBED - VIABLE</t>
        </is>
      </c>
      <c r="H179" s="13" t="inlineStr">
        <is>
          <t>TIER_1A</t>
        </is>
      </c>
      <c r="I179" s="13" t="inlineStr">
        <is>
          <t>low</t>
        </is>
      </c>
      <c r="J179" s="13" t="n">
        <v>140</v>
      </c>
      <c r="K179" s="13" t="inlineStr">
        <is>
          <t>SSR homepage/category HTML</t>
        </is>
      </c>
      <c r="L179" s="13" t="inlineStr">
        <is>
          <t>GET -&gt; 200, 59KB SSR (Next.js). Samples: 'Instant kava', 'Mlijeko trajno', 'Tjestenina penne rigate' with prices 3,59€ / 4,99€ / 6,49€.</t>
        </is>
      </c>
      <c r="M179" s="13" t="inlineStr">
        <is>
          <t>SUSPECT</t>
        </is>
      </c>
      <c r="N179" s="13" t="inlineStr">
        <is>
          <t>C - engineering required</t>
        </is>
      </c>
      <c r="O179" s="13" t="n">
        <v>3</v>
      </c>
      <c r="P179" s="13" t="inlineStr">
        <is>
          <t>Custom</t>
        </is>
      </c>
      <c r="Q179" s="13" t="inlineStr">
        <is>
          <t>EUR</t>
        </is>
      </c>
      <c r="R179" s="13" t="inlineStr">
        <is>
          <t>-</t>
        </is>
      </c>
      <c r="S179" s="13" t="inlineStr">
        <is>
          <t>current</t>
        </is>
      </c>
      <c r="T179" s="13" t="inlineStr">
        <is>
          <t>Largest store COUNT in Croatia, so the best candidate for within-country spatial coverage.</t>
        </is>
      </c>
      <c r="U179" s="13" t="inlineStr">
        <is>
          <t>-</t>
        </is>
      </c>
      <c r="V179" s="13" t="inlineStr">
        <is>
          <t>P6</t>
        </is>
      </c>
    </row>
    <row r="180">
      <c r="A180" s="13" t="inlineStr">
        <is>
          <t>eca</t>
        </is>
      </c>
      <c r="B180" s="13" t="inlineStr">
        <is>
          <t>croatia</t>
        </is>
      </c>
      <c r="C180" s="13" t="inlineStr">
        <is>
          <t>HRV</t>
        </is>
      </c>
      <c r="D180" s="13" t="inlineStr">
        <is>
          <t>Croatia</t>
        </is>
      </c>
      <c r="E180" s="13" t="inlineStr">
        <is>
          <t>Tommy</t>
        </is>
      </c>
      <c r="F180" s="13" t="inlineStr">
        <is>
          <t>https://www.tommy.hr/</t>
        </is>
      </c>
      <c r="G180" s="13" t="inlineStr">
        <is>
          <t>PROBED - VIABLE</t>
        </is>
      </c>
      <c r="H180" s="13" t="inlineStr">
        <is>
          <t>TIER_2</t>
        </is>
      </c>
      <c r="I180" s="13" t="inlineStr">
        <is>
          <t>medium</t>
        </is>
      </c>
      <c r="J180" s="13" t="n">
        <v>0</v>
      </c>
      <c r="K180" s="13" t="inlineStr"/>
      <c r="L180" s="13" t="inlineStr">
        <is>
          <t>All 4 returned curl 200 (109KB/671KB/76KB/373KB) with Next.js/React markers present, but a quick grep for price patterns on the homepage/guessed-category found none -- likely needs the correct category URL or Playwright render, not a WAF block.</t>
        </is>
      </c>
      <c r="M180" s="13" t="inlineStr">
        <is>
          <t>ACCEPT</t>
        </is>
      </c>
      <c r="N180" s="13" t="inlineStr">
        <is>
          <t>not scored</t>
        </is>
      </c>
      <c r="O180" s="13" t="inlineStr"/>
      <c r="P180" s="13" t="inlineStr">
        <is>
          <t>Custom</t>
        </is>
      </c>
      <c r="Q180" s="13" t="inlineStr">
        <is>
          <t>EUR</t>
        </is>
      </c>
      <c r="R180" s="13" t="inlineStr">
        <is>
          <t>-</t>
        </is>
      </c>
      <c r="S180" s="13" t="inlineStr">
        <is>
          <t>-</t>
        </is>
      </c>
      <c r="T180" s="13" t="inlineStr">
        <is>
          <t>Major Croatian chain with own web shop.</t>
        </is>
      </c>
      <c r="U180" s="13" t="inlineStr">
        <is>
          <t>-</t>
        </is>
      </c>
      <c r="V180" s="13" t="inlineStr">
        <is>
          <t>P5</t>
        </is>
      </c>
    </row>
    <row r="181">
      <c r="A181" s="13" t="inlineStr">
        <is>
          <t>eca</t>
        </is>
      </c>
      <c r="B181" s="13" t="inlineStr">
        <is>
          <t>croatia</t>
        </is>
      </c>
      <c r="C181" s="13" t="inlineStr">
        <is>
          <t>HRV</t>
        </is>
      </c>
      <c r="D181" s="13" t="inlineStr">
        <is>
          <t>Croatia</t>
        </is>
      </c>
      <c r="E181" s="13" t="inlineStr">
        <is>
          <t>Tommy</t>
        </is>
      </c>
      <c r="F181" s="13" t="inlineStr">
        <is>
          <t>https://www.tommy.hr/naruci-i-pokupi</t>
        </is>
      </c>
      <c r="G181" s="13" t="inlineStr">
        <is>
          <t>PROBED - VIABLE</t>
        </is>
      </c>
      <c r="H181" s="13" t="inlineStr">
        <is>
          <t>TIER_2</t>
        </is>
      </c>
      <c r="I181" s="13" t="inlineStr">
        <is>
          <t>medium</t>
        </is>
      </c>
      <c r="J181" s="13" t="n">
        <v>0</v>
      </c>
      <c r="K181" s="13" t="inlineStr"/>
      <c r="L181" s="13" t="inlineStr">
        <is>
          <t>All 4 returned curl 200 (109KB/671KB/76KB/373KB) with Next.js/React markers present, but a quick grep for price patterns on the homepage/guessed-category found none -- likely needs the correct category URL or Playwright render, not a WAF block.</t>
        </is>
      </c>
      <c r="M181" s="13" t="inlineStr">
        <is>
          <t>ACCEPT</t>
        </is>
      </c>
      <c r="N181" s="13" t="inlineStr">
        <is>
          <t>C - engineering required</t>
        </is>
      </c>
      <c r="O181" s="13" t="n">
        <v>3</v>
      </c>
      <c r="P181" s="13" t="inlineStr">
        <is>
          <t>Custom</t>
        </is>
      </c>
      <c r="Q181" s="13" t="inlineStr">
        <is>
          <t>EUR</t>
        </is>
      </c>
      <c r="R181" s="13" t="inlineStr">
        <is>
          <t>Select a branch first, then crawl; repeat per branch to build the spatial panel.</t>
        </is>
      </c>
      <c r="S181" s="13" t="inlineStr">
        <is>
          <t>current</t>
        </is>
      </c>
      <c r="T181" s="13" t="inlineStr">
        <is>
          <t>Publishes a click-and-collect branch list across 18 named towns including Split, Dubrovnik, Sibenik, Zadar, Rijeka, Makarska, Trogir and several islands (Rab, Krk, Brac). Coastal and island coverage is analytically useful because island price premia are a real and rarely measured phenomenon.</t>
        </is>
      </c>
      <c r="U181" s="13" t="inlineStr">
        <is>
          <t>Branch list is on the collect page; the catalogue itself sits behind store selection.</t>
        </is>
      </c>
      <c r="V181" s="13" t="inlineStr">
        <is>
          <t>P6</t>
        </is>
      </c>
    </row>
    <row r="182">
      <c r="A182" s="13" t="inlineStr">
        <is>
          <t>eca</t>
        </is>
      </c>
      <c r="B182" s="13" t="inlineStr">
        <is>
          <t>hungary</t>
        </is>
      </c>
      <c r="C182" s="13" t="inlineStr">
        <is>
          <t>HUN</t>
        </is>
      </c>
      <c r="D182" s="13" t="inlineStr">
        <is>
          <t>Hungary</t>
        </is>
      </c>
      <c r="E182" s="13" t="inlineStr">
        <is>
          <t>EcoFamily</t>
        </is>
      </c>
      <c r="F182" s="13" t="inlineStr">
        <is>
          <t>https://www.ecofamily.hu/</t>
        </is>
      </c>
      <c r="G182" s="13" t="inlineStr">
        <is>
          <t>NOT PROBED - deduped, already onboarded, or time-boxed</t>
        </is>
      </c>
      <c r="H182" s="13" t="inlineStr"/>
      <c r="I182" s="13" t="inlineStr"/>
      <c r="J182" s="13" t="inlineStr"/>
      <c r="K182" s="13" t="inlineStr"/>
      <c r="L182" s="13" t="inlineStr"/>
      <c r="M182" s="13" t="inlineStr">
        <is>
          <t>ACCEPT</t>
        </is>
      </c>
      <c r="N182" s="13" t="inlineStr">
        <is>
          <t>C - engineering required</t>
        </is>
      </c>
      <c r="O182" s="13" t="n">
        <v>3</v>
      </c>
      <c r="P182" s="13" t="inlineStr">
        <is>
          <t>Custom</t>
        </is>
      </c>
      <c r="Q182" s="13" t="inlineStr">
        <is>
          <t>HUF</t>
        </is>
      </c>
      <c r="R182" s="13" t="inlineStr">
        <is>
          <t>-</t>
        </is>
      </c>
      <c r="S182" s="13" t="inlineStr">
        <is>
          <t>current</t>
        </is>
      </c>
      <c r="T182" s="13" t="inlineStr">
        <is>
          <t>Nationwide food and drogerie delivery, shelf-stable focus. Second rural-reach option.</t>
        </is>
      </c>
      <c r="U182" s="13" t="inlineStr">
        <is>
          <t>-</t>
        </is>
      </c>
      <c r="V182" s="13" t="inlineStr">
        <is>
          <t>P7</t>
        </is>
      </c>
    </row>
    <row r="183">
      <c r="A183" s="13" t="inlineStr">
        <is>
          <t>eca</t>
        </is>
      </c>
      <c r="B183" s="13" t="inlineStr">
        <is>
          <t>hungary</t>
        </is>
      </c>
      <c r="C183" s="13" t="inlineStr">
        <is>
          <t>HUN</t>
        </is>
      </c>
      <c r="D183" s="13" t="inlineStr">
        <is>
          <t>Hungary</t>
        </is>
      </c>
      <c r="E183" s="13" t="inlineStr">
        <is>
          <t>foodora Hungary</t>
        </is>
      </c>
      <c r="F183" s="13" t="inlineStr">
        <is>
          <t>https://www.foodora.hu/</t>
        </is>
      </c>
      <c r="G183" s="13" t="inlineStr">
        <is>
          <t>NOT PROBED - deduped, already onboarded, or time-boxed</t>
        </is>
      </c>
      <c r="H183" s="13" t="inlineStr"/>
      <c r="I183" s="13" t="inlineStr"/>
      <c r="J183" s="13" t="inlineStr"/>
      <c r="K183" s="13" t="inlineStr"/>
      <c r="L183" s="13" t="inlineStr"/>
      <c r="M183" s="13" t="inlineStr">
        <is>
          <t>ACCEPT</t>
        </is>
      </c>
      <c r="N183" s="13" t="inlineStr">
        <is>
          <t>C - engineering required</t>
        </is>
      </c>
      <c r="O183" s="13" t="n">
        <v>3</v>
      </c>
      <c r="P183" s="13" t="inlineStr">
        <is>
          <t>Custom</t>
        </is>
      </c>
      <c r="Q183" s="13" t="inlineStr">
        <is>
          <t>HUF</t>
        </is>
      </c>
      <c r="R183" s="13" t="inlineStr">
        <is>
          <t>-</t>
        </is>
      </c>
      <c r="S183" s="13" t="inlineStr">
        <is>
          <t>current</t>
        </is>
      </c>
      <c r="T183" s="13" t="inlineStr">
        <is>
          <t>Grocery and drogerie delivery; available stores vary by address.</t>
        </is>
      </c>
      <c r="U183" s="13" t="inlineStr">
        <is>
          <t>-</t>
        </is>
      </c>
      <c r="V183" s="13" t="inlineStr">
        <is>
          <t>P7</t>
        </is>
      </c>
    </row>
    <row r="184">
      <c r="A184" s="13" t="inlineStr">
        <is>
          <t>eca</t>
        </is>
      </c>
      <c r="B184" s="13" t="inlineStr">
        <is>
          <t>hungary</t>
        </is>
      </c>
      <c r="C184" s="13" t="inlineStr">
        <is>
          <t>HUN</t>
        </is>
      </c>
      <c r="D184" s="13" t="inlineStr">
        <is>
          <t>Hungary</t>
        </is>
      </c>
      <c r="E184" s="13" t="inlineStr">
        <is>
          <t>Aldi via ROKSH</t>
        </is>
      </c>
      <c r="F184" s="13" t="inlineStr">
        <is>
          <t>https://www.roksh.com/</t>
        </is>
      </c>
      <c r="G184" s="13" t="inlineStr">
        <is>
          <t>PROBED - SKIP</t>
        </is>
      </c>
      <c r="H184" s="13" t="inlineStr">
        <is>
          <t>SKIP</t>
        </is>
      </c>
      <c r="I184" s="13" t="inlineStr">
        <is>
          <t>medium</t>
        </is>
      </c>
      <c r="J184" s="13" t="n">
        <v>0</v>
      </c>
      <c r="K184" s="13" t="inlineStr"/>
      <c r="L184" s="13" t="inlineStr">
        <is>
          <t>GET / -&gt; 200, 57.8KB, zero /product/ or /termek/ links, zero HUF price patterns matched.</t>
        </is>
      </c>
      <c r="M184" s="13" t="inlineStr">
        <is>
          <t>ACCEPT</t>
        </is>
      </c>
      <c r="N184" s="13" t="inlineStr">
        <is>
          <t>C - engineering required</t>
        </is>
      </c>
      <c r="O184" s="13" t="n">
        <v>3</v>
      </c>
      <c r="P184" s="13" t="inlineStr">
        <is>
          <t>Custom</t>
        </is>
      </c>
      <c r="Q184" s="13" t="inlineStr">
        <is>
          <t>HUF</t>
        </is>
      </c>
      <c r="R184" s="13" t="inlineStr">
        <is>
          <t>Select Aldi in the ROKSH store switcher.</t>
        </is>
      </c>
      <c r="S184" s="13" t="inlineStr">
        <is>
          <t>current</t>
        </is>
      </c>
      <c r="T184" s="13" t="inlineStr">
        <is>
          <t>ONLY route to Aldi Hungary prices - Aldi runs no Hungarian online catalogue of its own.</t>
        </is>
      </c>
      <c r="U184" s="13" t="inlineStr">
        <is>
          <t>Personal-shopper margin possible.</t>
        </is>
      </c>
      <c r="V184" s="13" t="inlineStr">
        <is>
          <t>P7</t>
        </is>
      </c>
    </row>
    <row r="185">
      <c r="A185" s="13" t="inlineStr">
        <is>
          <t>eca</t>
        </is>
      </c>
      <c r="B185" s="13" t="inlineStr">
        <is>
          <t>hungary</t>
        </is>
      </c>
      <c r="C185" s="13" t="inlineStr">
        <is>
          <t>HUN</t>
        </is>
      </c>
      <c r="D185" s="13" t="inlineStr">
        <is>
          <t>Hungary</t>
        </is>
      </c>
      <c r="E185" s="13" t="inlineStr">
        <is>
          <t>Arfigyelo (GVH official price monitor)</t>
        </is>
      </c>
      <c r="F185" s="13" t="inlineStr">
        <is>
          <t>https://arfigyelo.gvh.hu/</t>
        </is>
      </c>
      <c r="G185" s="13" t="inlineStr">
        <is>
          <t>PROBED - SKIP</t>
        </is>
      </c>
      <c r="H185" s="13" t="inlineStr">
        <is>
          <t>SKIP</t>
        </is>
      </c>
      <c r="I185" s="13" t="inlineStr">
        <is>
          <t>high</t>
        </is>
      </c>
      <c r="J185" s="13" t="n">
        <v>0</v>
      </c>
      <c r="K185" s="13" t="inlineStr"/>
      <c r="L185" s="13" t="inlineStr">
        <is>
          <t>GET / -&gt; 200, but body is a React SPA shell (title/description only, no product data in SSR HTML). Guessed API paths (/api/products, /api/v1/products) both 404.</t>
        </is>
      </c>
      <c r="M185" s="13" t="inlineStr">
        <is>
          <t>ACCEPT</t>
        </is>
      </c>
      <c r="N185" s="13" t="inlineStr">
        <is>
          <t>A - low-hanging fruit</t>
        </is>
      </c>
      <c r="O185" s="13" t="n">
        <v>5</v>
      </c>
      <c r="P185" s="13" t="inlineStr">
        <is>
          <t>Custom</t>
        </is>
      </c>
      <c r="Q185" s="13" t="inlineStr"/>
      <c r="R185" s="13" t="inlineStr">
        <is>
          <t>Walk arfigyelo.gvh.hu category endpoints; capture all three price fields plus store id. Also read gvh.hu/arfigyelo for the legal basis and the product-category regulation (11/2023 GFM).</t>
        </is>
      </c>
      <c r="S185" s="13" t="inlineStr">
        <is>
          <t>daily_price, prior_price, loyalty_price, unit_price</t>
        </is>
      </c>
      <c r="T185" s="13" t="inlineStr">
        <is>
          <t>THE SINGLE MOST VALUABLE SOURCE IN THIS ENTIRE PROJECT. A STATUTORY price database run by the Hungarian Competition Authority (GVH) under Act L of 2025, Chapter V. Retailers are LEGALLY OBLIGED to upload the next day's prices by end of the preceding day. Covers 5,000+ products in 140 categories across 1,817 stores of 6 national chains plus 3 drugstore chains. Publishes THREE price fields per item: daily price (napi ar), PRIOR price (korabbi ar) and LOYALTY price (torzsvasarloi ar), plus unit price (Ft/kg). Consumer-protection authority enforces accuracy - a shop price higher than the uploaded price is an offence. GVH measured that the system cut retailer gross margins on dairy by ~10pp, so it is also a natural experiment in price transparency. Free, no registration, daily, authoritative.</t>
        </is>
      </c>
      <c r="U185" s="13" t="inlineStr">
        <is>
          <t>This is NOT a scrape of shops - it is the regulator's own database, so it is the ground truth that shop scrapes should be validated AGAINST. Coverage is the mandated basket, not the full assortment; do not treat it as a complete catalogue.</t>
        </is>
      </c>
      <c r="V185" s="13" t="inlineStr">
        <is>
          <t>P8-EU</t>
        </is>
      </c>
    </row>
    <row r="186">
      <c r="A186" s="13" t="inlineStr">
        <is>
          <t>eca</t>
        </is>
      </c>
      <c r="B186" s="13" t="inlineStr">
        <is>
          <t>hungary</t>
        </is>
      </c>
      <c r="C186" s="13" t="inlineStr">
        <is>
          <t>HUN</t>
        </is>
      </c>
      <c r="D186" s="13" t="inlineStr">
        <is>
          <t>Hungary</t>
        </is>
      </c>
      <c r="E186" s="13" t="inlineStr">
        <is>
          <t>Auchan Hungary</t>
        </is>
      </c>
      <c r="F186" s="13" t="inlineStr">
        <is>
          <t>https://online.auchan.hu/</t>
        </is>
      </c>
      <c r="G186" s="13" t="inlineStr">
        <is>
          <t>PROBED - SKIP</t>
        </is>
      </c>
      <c r="H186" s="13" t="inlineStr">
        <is>
          <t>SKIP</t>
        </is>
      </c>
      <c r="I186" s="13" t="inlineStr">
        <is>
          <t>medium</t>
        </is>
      </c>
      <c r="J186" s="13" t="n">
        <v>0</v>
      </c>
      <c r="K186" s="13" t="inlineStr"/>
      <c r="L186" s="13" t="inlineStr">
        <is>
          <t>GET / -&gt; 200, 893KB, Nuxt/Next hybrid. HUF price fragments visible ('699 Ft' etc, some truncated by thousands-separator) but zero clean product URL pattern matched with generic /p//termek//product/ regex.</t>
        </is>
      </c>
      <c r="M186" s="13" t="inlineStr">
        <is>
          <t>ACCEPT</t>
        </is>
      </c>
      <c r="N186" s="13" t="inlineStr">
        <is>
          <t>D - hard / app / index only</t>
        </is>
      </c>
      <c r="O186" s="13" t="n">
        <v>2</v>
      </c>
      <c r="P186" s="13" t="inlineStr">
        <is>
          <t>Custom/Enterprise</t>
        </is>
      </c>
      <c r="Q186" s="13" t="inlineStr">
        <is>
          <t>HUF</t>
        </is>
      </c>
      <c r="R186" s="13" t="inlineStr">
        <is>
          <t>-</t>
        </is>
      </c>
      <c r="S186" s="13" t="inlineStr">
        <is>
          <t>current, promo</t>
        </is>
      </c>
      <c r="T186" s="13" t="inlineStr">
        <is>
          <t>Full online hypermarket with same-day express delivery.</t>
        </is>
      </c>
      <c r="U186" s="13" t="inlineStr">
        <is>
          <t>-</t>
        </is>
      </c>
      <c r="V186" s="13" t="inlineStr">
        <is>
          <t>P7</t>
        </is>
      </c>
    </row>
    <row r="187">
      <c r="A187" s="13" t="inlineStr">
        <is>
          <t>eca</t>
        </is>
      </c>
      <c r="B187" s="13" t="inlineStr">
        <is>
          <t>hungary</t>
        </is>
      </c>
      <c r="C187" s="13" t="inlineStr">
        <is>
          <t>HUN</t>
        </is>
      </c>
      <c r="D187" s="13" t="inlineStr">
        <is>
          <t>Hungary</t>
        </is>
      </c>
      <c r="E187" s="13" t="inlineStr">
        <is>
          <t>Kifli.hu</t>
        </is>
      </c>
      <c r="F187" s="13" t="inlineStr">
        <is>
          <t>https://www.kifli.hu/</t>
        </is>
      </c>
      <c r="G187" s="13" t="inlineStr">
        <is>
          <t>PROBED - SKIP</t>
        </is>
      </c>
      <c r="H187" s="13" t="inlineStr">
        <is>
          <t>SKIP</t>
        </is>
      </c>
      <c r="I187" s="13" t="inlineStr">
        <is>
          <t>high</t>
        </is>
      </c>
      <c r="J187" s="13" t="n">
        <v>0</v>
      </c>
      <c r="K187" s="13" t="inlineStr"/>
      <c r="L187" s="13" t="inlineStr">
        <is>
          <t>GET / -&gt; HTTP 403, 5.7KB. Tried documented Rohlik endpoint /services/frontend-service/products directly -&gt; also blocked at the domain level before reaching the endpoint.</t>
        </is>
      </c>
      <c r="M187" s="13" t="inlineStr">
        <is>
          <t>ACCEPT</t>
        </is>
      </c>
      <c r="N187" s="13" t="inlineStr">
        <is>
          <t>B - moderate effort</t>
        </is>
      </c>
      <c r="O187" s="13" t="n">
        <v>4</v>
      </c>
      <c r="P187" s="13" t="inlineStr">
        <is>
          <t>Custom (Rohlik stack)</t>
        </is>
      </c>
      <c r="Q187" s="13" t="inlineStr">
        <is>
          <t>HUF</t>
        </is>
      </c>
      <c r="R187" s="13" t="inlineStr">
        <is>
          <t>/services/frontend-service/products - Rohlik-stack endpoint.</t>
        </is>
      </c>
      <c r="S187" s="13" t="inlineStr">
        <is>
          <t>current, was_price, discount_pct, promo_end_date, unit_price, limit_flag, origin_flag</t>
        </is>
      </c>
      <c r="T187" s="13" t="inlineStr">
        <is>
          <t>SEVEN price-relevant fields, the richest structure in this pass. Shows current price, struck-through original, discount percentage, an explicit promo END DATE ('8. 3. -ig'), a unit price (Ft/kg, Ft/db, Ft/l), purchase limits ('Max. 2 db') AND provenance flags ('Hazai termelo' = domestic producer, 'Frissen szedett' = freshly picked). Domestic-producer flagging supports a local-versus-imported price comparison directly. 15,000+ products. Rohlik-family platform, so the adapter is shared with Czechia, Slovakia, Austria and Romania.</t>
        </is>
      </c>
      <c r="U187" s="13" t="inlineStr">
        <is>
          <t>Approximate weights are marked 'kb' (circa) on variable-weight items - treat those prices as estimates, not exact, and keep the unit price instead.</t>
        </is>
      </c>
      <c r="V187" s="13" t="inlineStr">
        <is>
          <t>P7</t>
        </is>
      </c>
    </row>
    <row r="188">
      <c r="A188" s="13" t="inlineStr">
        <is>
          <t>eca</t>
        </is>
      </c>
      <c r="B188" s="13" t="inlineStr">
        <is>
          <t>hungary</t>
        </is>
      </c>
      <c r="C188" s="13" t="inlineStr">
        <is>
          <t>HUN</t>
        </is>
      </c>
      <c r="D188" s="13" t="inlineStr">
        <is>
          <t>Hungary</t>
        </is>
      </c>
      <c r="E188" s="13" t="inlineStr">
        <is>
          <t>Kifli.hu</t>
        </is>
      </c>
      <c r="F188" s="13" t="inlineStr">
        <is>
          <t>https://www.kifli.hu/</t>
        </is>
      </c>
      <c r="G188" s="13" t="inlineStr">
        <is>
          <t>PROBED - SKIP</t>
        </is>
      </c>
      <c r="H188" s="13" t="inlineStr">
        <is>
          <t>SKIP</t>
        </is>
      </c>
      <c r="I188" s="13" t="inlineStr">
        <is>
          <t>high</t>
        </is>
      </c>
      <c r="J188" s="13" t="n">
        <v>0</v>
      </c>
      <c r="K188" s="13" t="inlineStr"/>
      <c r="L188" s="13" t="inlineStr">
        <is>
          <t>GET / -&gt; HTTP 403, 5.7KB. Tried documented Rohlik endpoint /services/frontend-service/products directly -&gt; also blocked at the domain level before reaching the endpoint.</t>
        </is>
      </c>
      <c r="M188" s="13" t="inlineStr">
        <is>
          <t>ACCEPT</t>
        </is>
      </c>
      <c r="N188" s="13" t="inlineStr">
        <is>
          <t>B - moderate effort</t>
        </is>
      </c>
      <c r="O188" s="13" t="n">
        <v>4</v>
      </c>
      <c r="P188" s="13" t="inlineStr">
        <is>
          <t>Custom (Rohlik stack)</t>
        </is>
      </c>
      <c r="Q188" s="13" t="inlineStr"/>
      <c r="R188" s="13" t="inlineStr">
        <is>
          <t>/services/frontend-service/products</t>
        </is>
      </c>
      <c r="S188" s="13" t="inlineStr">
        <is>
          <t>current, was_price, discount_pct, promo_end_date, unit_price, limit_flag, origin_flag</t>
        </is>
      </c>
      <c r="T188" s="13" t="inlineStr">
        <is>
          <t>SEVEN fields: current, struck-through original, discount %, explicit promo END DATE ('8. 3. -ig'), unit price (Ft/kg, Ft/db, Ft/l), purchase limits ('Max. 2 db') and PROVENANCE flags ('Hazai termelo' = domestic producer, 'Frissen szedett' = freshly picked). 15,000+ products. Rohlik-family adapter shared with Czechia, Slovakia, Austria, Germany, Italy, Spain, Romania.</t>
        </is>
      </c>
      <c r="U188" s="13" t="inlineStr">
        <is>
          <t>Variable-weight items are marked 'kb' (circa) - keep the unit price, not the pack price.</t>
        </is>
      </c>
      <c r="V188" s="13" t="inlineStr">
        <is>
          <t>P8-EU</t>
        </is>
      </c>
    </row>
    <row r="189">
      <c r="A189" s="13" t="inlineStr">
        <is>
          <t>eca</t>
        </is>
      </c>
      <c r="B189" s="13" t="inlineStr">
        <is>
          <t>hungary</t>
        </is>
      </c>
      <c r="C189" s="13" t="inlineStr">
        <is>
          <t>HUN</t>
        </is>
      </c>
      <c r="D189" s="13" t="inlineStr">
        <is>
          <t>Hungary</t>
        </is>
      </c>
      <c r="E189" s="13" t="inlineStr">
        <is>
          <t>Penny via ROKSH</t>
        </is>
      </c>
      <c r="F189" s="13" t="inlineStr">
        <is>
          <t>https://www.roksh.com/</t>
        </is>
      </c>
      <c r="G189" s="13" t="inlineStr">
        <is>
          <t>PROBED - SKIP</t>
        </is>
      </c>
      <c r="H189" s="13" t="inlineStr">
        <is>
          <t>SKIP</t>
        </is>
      </c>
      <c r="I189" s="13" t="inlineStr">
        <is>
          <t>medium</t>
        </is>
      </c>
      <c r="J189" s="13" t="n">
        <v>0</v>
      </c>
      <c r="K189" s="13" t="inlineStr"/>
      <c r="L189" s="13" t="inlineStr">
        <is>
          <t>GET / -&gt; 200, 57.8KB, zero /product/ or /termek/ links, zero HUF price patterns matched.</t>
        </is>
      </c>
      <c r="M189" s="13" t="inlineStr">
        <is>
          <t>ACCEPT</t>
        </is>
      </c>
      <c r="N189" s="13" t="inlineStr">
        <is>
          <t>C - engineering required</t>
        </is>
      </c>
      <c r="O189" s="13" t="n">
        <v>3</v>
      </c>
      <c r="P189" s="13" t="inlineStr">
        <is>
          <t>Custom</t>
        </is>
      </c>
      <c r="Q189" s="13" t="inlineStr">
        <is>
          <t>HUF</t>
        </is>
      </c>
      <c r="R189" s="13" t="inlineStr">
        <is>
          <t>Select Penny in the ROKSH store switcher.</t>
        </is>
      </c>
      <c r="S189" s="13" t="inlineStr">
        <is>
          <t>current</t>
        </is>
      </c>
      <c r="T189" s="13" t="inlineStr">
        <is>
          <t>ONLY route to Penny Hungary prices. Limited to selected settlements.</t>
        </is>
      </c>
      <c r="U189" s="13" t="inlineStr">
        <is>
          <t>Not nationally available.</t>
        </is>
      </c>
      <c r="V189" s="13" t="inlineStr">
        <is>
          <t>P7</t>
        </is>
      </c>
    </row>
    <row r="190">
      <c r="A190" s="13" t="inlineStr">
        <is>
          <t>eca</t>
        </is>
      </c>
      <c r="B190" s="13" t="inlineStr">
        <is>
          <t>hungary</t>
        </is>
      </c>
      <c r="C190" s="13" t="inlineStr">
        <is>
          <t>HUN</t>
        </is>
      </c>
      <c r="D190" s="13" t="inlineStr">
        <is>
          <t>Hungary</t>
        </is>
      </c>
      <c r="E190" s="13" t="inlineStr">
        <is>
          <t>ROKSH</t>
        </is>
      </c>
      <c r="F190" s="13" t="inlineStr">
        <is>
          <t>https://www.roksh.com/</t>
        </is>
      </c>
      <c r="G190" s="13" t="inlineStr">
        <is>
          <t>PROBED - SKIP</t>
        </is>
      </c>
      <c r="H190" s="13" t="inlineStr">
        <is>
          <t>SKIP</t>
        </is>
      </c>
      <c r="I190" s="13" t="inlineStr">
        <is>
          <t>medium</t>
        </is>
      </c>
      <c r="J190" s="13" t="n">
        <v>0</v>
      </c>
      <c r="K190" s="13" t="inlineStr"/>
      <c r="L190" s="13" t="inlineStr">
        <is>
          <t>GET / -&gt; 200, 57.8KB, zero /product/ or /termek/ links, zero HUF price patterns matched.</t>
        </is>
      </c>
      <c r="M190" s="13" t="inlineStr">
        <is>
          <t>ACCEPT</t>
        </is>
      </c>
      <c r="N190" s="13" t="inlineStr">
        <is>
          <t>C - engineering required</t>
        </is>
      </c>
      <c r="O190" s="13" t="n">
        <v>3</v>
      </c>
      <c r="P190" s="13" t="inlineStr">
        <is>
          <t>Custom</t>
        </is>
      </c>
      <c r="Q190" s="13" t="inlineStr">
        <is>
          <t>HUF</t>
        </is>
      </c>
      <c r="R190" s="13" t="inlineStr">
        <is>
          <t>Set postcode, switch store, then crawl per retailer.</t>
        </is>
      </c>
      <c r="S190" s="13" t="inlineStr">
        <is>
          <t>current</t>
        </is>
      </c>
      <c r="T190" s="13" t="inlineStr">
        <is>
          <t>MULTI-RETAILER aggregator letting you shop Aldi, Penny, Metro, Mcsemege, Bijo and others through one interface, with an explicit store switcher. Aldi and Penny have no independent Hungarian online catalogue, so ROKSH is the ONLY route to those two discounters' prices. Covers Budapest, Debrecen, Gyor, Nyiregyhaza, Pecs, Szeged plus three counties and a long list of agglomeration towns.</t>
        </is>
      </c>
      <c r="U190" s="13" t="inlineStr">
        <is>
          <t>A personal shopper collects the order, so prices may include a service margin. Verify against a chain with both channels before treating as shelf prices.</t>
        </is>
      </c>
      <c r="V190" s="13" t="inlineStr">
        <is>
          <t>P7</t>
        </is>
      </c>
    </row>
    <row r="191">
      <c r="A191" s="13" t="inlineStr">
        <is>
          <t>eca</t>
        </is>
      </c>
      <c r="B191" s="13" t="inlineStr">
        <is>
          <t>hungary</t>
        </is>
      </c>
      <c r="C191" s="13" t="inlineStr">
        <is>
          <t>HUN</t>
        </is>
      </c>
      <c r="D191" s="13" t="inlineStr">
        <is>
          <t>Hungary</t>
        </is>
      </c>
      <c r="E191" s="13" t="inlineStr">
        <is>
          <t>Tesco Otthonrol</t>
        </is>
      </c>
      <c r="F191" s="13" t="inlineStr">
        <is>
          <t>https://bevasarlas.tesco.hu/</t>
        </is>
      </c>
      <c r="G191" s="13" t="inlineStr">
        <is>
          <t>PROBED - SKIP</t>
        </is>
      </c>
      <c r="H191" s="13" t="inlineStr">
        <is>
          <t>SKIP</t>
        </is>
      </c>
      <c r="I191" s="13" t="inlineStr">
        <is>
          <t>high</t>
        </is>
      </c>
      <c r="J191" s="13" t="n">
        <v>0</v>
      </c>
      <c r="K191" s="13" t="inlineStr"/>
      <c r="L191" s="13" t="inlineStr">
        <is>
          <t>GET / -&gt; HTTP 403, 205-byte body.</t>
        </is>
      </c>
      <c r="M191" s="13" t="inlineStr">
        <is>
          <t>ACCEPT</t>
        </is>
      </c>
      <c r="N191" s="13" t="inlineStr">
        <is>
          <t>D - hard / app / index only</t>
        </is>
      </c>
      <c r="O191" s="13" t="n">
        <v>2</v>
      </c>
      <c r="P191" s="13" t="inlineStr">
        <is>
          <t>Custom/Enterprise</t>
        </is>
      </c>
      <c r="Q191" s="13" t="inlineStr">
        <is>
          <t>HUF</t>
        </is>
      </c>
      <c r="R191" s="13" t="inlineStr">
        <is>
          <t>Use the /shop/en-HU/ path for stable English category labels.</t>
        </is>
      </c>
      <c r="S191" s="13" t="inlineStr">
        <is>
          <t>current, clubcard_price</t>
        </is>
      </c>
      <c r="T191" s="13" t="inlineStr">
        <is>
          <t>15,000+ products, 49 delivery slots a week, nationwide Click+Collect. Clubcard creates a two-tier price structure. Has an ENGLISH interface at /shop/en-HU/ which stabilises category names for a non-Hungarian-speaking pipeline. Note the site references 'Arrescsokkentes kormany.hu' - a government margin-cap measure - so Hungarian prices on regulated items may be policy-set rather than market-set.</t>
        </is>
      </c>
      <c r="U191" s="13" t="inlineStr">
        <is>
          <t>The margin cap matters analytically: some Hungarian food prices are administratively constrained. Flag affected categories rather than interpreting them as market outcomes.</t>
        </is>
      </c>
      <c r="V191" s="13" t="inlineStr">
        <is>
          <t>P7</t>
        </is>
      </c>
    </row>
    <row r="192">
      <c r="A192" s="13" t="inlineStr">
        <is>
          <t>eca</t>
        </is>
      </c>
      <c r="B192" s="13" t="inlineStr">
        <is>
          <t>hungary</t>
        </is>
      </c>
      <c r="C192" s="13" t="inlineStr">
        <is>
          <t>HUN</t>
        </is>
      </c>
      <c r="D192" s="13" t="inlineStr">
        <is>
          <t>Hungary</t>
        </is>
      </c>
      <c r="E192" s="13" t="inlineStr">
        <is>
          <t>Coop Online</t>
        </is>
      </c>
      <c r="F192" s="13" t="inlineStr">
        <is>
          <t>https://www.coop.hu/</t>
        </is>
      </c>
      <c r="G192" s="13" t="inlineStr">
        <is>
          <t>PROBED - VIABLE</t>
        </is>
      </c>
      <c r="H192" s="13" t="inlineStr">
        <is>
          <t>TIER_1B</t>
        </is>
      </c>
      <c r="I192" s="13" t="inlineStr">
        <is>
          <t>low</t>
        </is>
      </c>
      <c r="J192" s="13" t="n">
        <v>70</v>
      </c>
      <c r="K192" s="13" t="inlineStr">
        <is>
          <t>vasarlas.coop.hu/index.php?route=product/list, route=product/product&amp;product_id=&lt;id&gt;</t>
        </is>
      </c>
      <c r="L192" s="13" t="inlineStr">
        <is>
          <t>GET https://vasarlas.coop.hu/index.php?route=product/list&amp;special=1 -&gt; 200, 173KB. OpenCart URL pattern confirmed (route=product/list). 40 unique product_id links; HUF prices in raw HTML (669 Ft, 399 Ft, 599 Ft, ...).</t>
        </is>
      </c>
      <c r="M192" s="13" t="inlineStr">
        <is>
          <t>ACCEPT</t>
        </is>
      </c>
      <c r="N192" s="13" t="inlineStr">
        <is>
          <t>C - engineering required</t>
        </is>
      </c>
      <c r="O192" s="13" t="n">
        <v>3</v>
      </c>
      <c r="P192" s="13" t="inlineStr">
        <is>
          <t>Custom</t>
        </is>
      </c>
      <c r="Q192" s="13" t="inlineStr">
        <is>
          <t>HUF</t>
        </is>
      </c>
      <c r="R192" s="13" t="inlineStr">
        <is>
          <t>-</t>
        </is>
      </c>
      <c r="S192" s="13" t="inlineStr">
        <is>
          <t>current</t>
        </is>
      </c>
      <c r="T192" s="13" t="inlineStr">
        <is>
          <t>NATIONWIDE parcel shipping of shelf-stable goods, which reaches RURAL Hungary where the delivery platforms do not operate. Important for avoiding an urban bias in the national series.</t>
        </is>
      </c>
      <c r="U192" s="13" t="inlineStr">
        <is>
          <t>Shelf-stable only - no fresh. The basket is not comparable to a full supermarket basket.</t>
        </is>
      </c>
      <c r="V192" s="13" t="inlineStr">
        <is>
          <t>P7</t>
        </is>
      </c>
    </row>
    <row r="193">
      <c r="A193" s="13" t="inlineStr">
        <is>
          <t>eca</t>
        </is>
      </c>
      <c r="B193" s="13" t="inlineStr">
        <is>
          <t>hungary</t>
        </is>
      </c>
      <c r="C193" s="13" t="inlineStr">
        <is>
          <t>HUN</t>
        </is>
      </c>
      <c r="D193" s="13" t="inlineStr">
        <is>
          <t>Hungary</t>
        </is>
      </c>
      <c r="E193" s="13" t="inlineStr">
        <is>
          <t>SPAR via Wolt</t>
        </is>
      </c>
      <c r="F193" s="13" t="inlineStr">
        <is>
          <t>https://wolt.com/en/hun/budapest/category/grocery</t>
        </is>
      </c>
      <c r="G193" s="13" t="inlineStr">
        <is>
          <t>PROBED - VIABLE</t>
        </is>
      </c>
      <c r="H193" s="13" t="inlineStr">
        <is>
          <t>TIER_2</t>
        </is>
      </c>
      <c r="I193" s="13" t="inlineStr">
        <is>
          <t>medium</t>
        </is>
      </c>
      <c r="J193" s="13" t="n">
        <v>0</v>
      </c>
      <c r="K193" s="13" t="inlineStr">
        <is>
          <t>SPA - needs Playwright render</t>
        </is>
      </c>
      <c r="L193" s="13" t="inlineStr">
        <is>
          <t>curl 200, 1.79MB SPA shell; prices render as 'KZT0' placeholder pre-hydration - needs Playwright</t>
        </is>
      </c>
      <c r="M193" s="13" t="inlineStr">
        <is>
          <t>ACCEPT</t>
        </is>
      </c>
      <c r="N193" s="13" t="inlineStr">
        <is>
          <t>C - engineering required</t>
        </is>
      </c>
      <c r="O193" s="13" t="n">
        <v>3</v>
      </c>
      <c r="P193" s="13" t="inlineStr">
        <is>
          <t>Custom</t>
        </is>
      </c>
      <c r="Q193" s="13" t="inlineStr">
        <is>
          <t>HUF</t>
        </is>
      </c>
      <c r="R193" s="13" t="inlineStr">
        <is>
          <t>-</t>
        </is>
      </c>
      <c r="S193" s="13" t="inlineStr">
        <is>
          <t>current</t>
        </is>
      </c>
      <c r="T193" s="13" t="inlineStr">
        <is>
          <t>SPAR CLOSED its own Hungarian online shop and MIGRATED to Wolt. A chain moving its entire e-commerce operation onto a delivery platform is the same pattern as Kaufland Bulgaria - the open web no longer has it.</t>
        </is>
      </c>
      <c r="U193" s="13" t="inlineStr">
        <is>
          <t>Searching spar.hu for a catalogue will fail. Go to Wolt.</t>
        </is>
      </c>
      <c r="V193" s="13" t="inlineStr">
        <is>
          <t>P7</t>
        </is>
      </c>
    </row>
    <row r="194">
      <c r="A194" s="13" t="inlineStr">
        <is>
          <t>eca</t>
        </is>
      </c>
      <c r="B194" s="13" t="inlineStr">
        <is>
          <t>hungary</t>
        </is>
      </c>
      <c r="C194" s="13" t="inlineStr">
        <is>
          <t>HUN</t>
        </is>
      </c>
      <c r="D194" s="13" t="inlineStr">
        <is>
          <t>Hungary</t>
        </is>
      </c>
      <c r="E194" s="13" t="inlineStr">
        <is>
          <t>Wolt Market Hungary</t>
        </is>
      </c>
      <c r="F194" s="13" t="inlineStr">
        <is>
          <t>https://wolt.com/en/hun/budapest/category/grocery</t>
        </is>
      </c>
      <c r="G194" s="13" t="inlineStr">
        <is>
          <t>PROBED - VIABLE</t>
        </is>
      </c>
      <c r="H194" s="13" t="inlineStr">
        <is>
          <t>TIER_2</t>
        </is>
      </c>
      <c r="I194" s="13" t="inlineStr">
        <is>
          <t>medium</t>
        </is>
      </c>
      <c r="J194" s="13" t="n">
        <v>0</v>
      </c>
      <c r="K194" s="13" t="inlineStr">
        <is>
          <t>SPA - needs Playwright render</t>
        </is>
      </c>
      <c r="L194" s="13" t="inlineStr">
        <is>
          <t>curl 200, 1.79MB SPA shell; prices render as 'KZT0' placeholder pre-hydration - needs Playwright</t>
        </is>
      </c>
      <c r="M194" s="13" t="inlineStr">
        <is>
          <t>ACCEPT</t>
        </is>
      </c>
      <c r="N194" s="13" t="inlineStr">
        <is>
          <t>C - engineering required</t>
        </is>
      </c>
      <c r="O194" s="13" t="n">
        <v>3</v>
      </c>
      <c r="P194" s="13" t="inlineStr">
        <is>
          <t>Custom</t>
        </is>
      </c>
      <c r="Q194" s="13" t="inlineStr">
        <is>
          <t>HUF</t>
        </is>
      </c>
      <c r="R194" s="13" t="inlineStr">
        <is>
          <t>-</t>
        </is>
      </c>
      <c r="S194" s="13" t="inlineStr">
        <is>
          <t>current</t>
        </is>
      </c>
      <c r="T194" s="13" t="inlineStr">
        <is>
          <t>Own-inventory dark stores plus partner supermarkets.</t>
        </is>
      </c>
      <c r="U194" s="13" t="inlineStr">
        <is>
          <t>Wolt's own margin can exceed shelf prices; the Hungarian guidance explicitly warns to watch fees and prices.</t>
        </is>
      </c>
      <c r="V194" s="13" t="inlineStr">
        <is>
          <t>P7</t>
        </is>
      </c>
    </row>
    <row r="195">
      <c r="A195" s="13" t="inlineStr">
        <is>
          <t>eca</t>
        </is>
      </c>
      <c r="B195" s="13" t="inlineStr">
        <is>
          <t>ireland</t>
        </is>
      </c>
      <c r="C195" s="13" t="inlineStr">
        <is>
          <t>IRL</t>
        </is>
      </c>
      <c r="D195" s="13" t="inlineStr">
        <is>
          <t>Ireland</t>
        </is>
      </c>
      <c r="E195" s="13" t="inlineStr">
        <is>
          <t>Aldi Ireland</t>
        </is>
      </c>
      <c r="F195" s="13" t="inlineStr">
        <is>
          <t>https://groceries.aldi.ie/</t>
        </is>
      </c>
      <c r="G195" s="13" t="inlineStr">
        <is>
          <t>PROBED - SKIP</t>
        </is>
      </c>
      <c r="H195" s="13" t="inlineStr">
        <is>
          <t>SKIP</t>
        </is>
      </c>
      <c r="I195" s="13" t="inlineStr">
        <is>
          <t>high</t>
        </is>
      </c>
      <c r="J195" s="13" t="n">
        <v>0</v>
      </c>
      <c r="K195" s="13" t="inlineStr"/>
      <c r="L195" s="13" t="inlineStr">
        <is>
          <t>curl -&gt; HTTP 403, 371-byte body.</t>
        </is>
      </c>
      <c r="M195" s="13" t="inlineStr">
        <is>
          <t>SUSPECT</t>
        </is>
      </c>
      <c r="N195" s="13" t="inlineStr">
        <is>
          <t>D - hard / app / index only</t>
        </is>
      </c>
      <c r="O195" s="13" t="n">
        <v>2</v>
      </c>
      <c r="P195" s="13" t="inlineStr">
        <is>
          <t>Custom/Enterprise</t>
        </is>
      </c>
      <c r="Q195" s="13" t="inlineStr"/>
      <c r="R195" s="13" t="inlineStr">
        <is>
          <t>-</t>
        </is>
      </c>
      <c r="S195" s="13" t="inlineStr">
        <is>
          <t>current</t>
        </is>
      </c>
      <c r="T195" s="13" t="inlineStr">
        <is>
          <t>Cheapest Irish basket in independent tracking.</t>
        </is>
      </c>
      <c r="U195" s="13" t="inlineStr">
        <is>
          <t>Limited online range; aggregators report only ~247 SKUs.</t>
        </is>
      </c>
      <c r="V195" s="13" t="inlineStr">
        <is>
          <t>P8-EU</t>
        </is>
      </c>
    </row>
    <row r="196">
      <c r="A196" s="13" t="inlineStr">
        <is>
          <t>eca</t>
        </is>
      </c>
      <c r="B196" s="13" t="inlineStr">
        <is>
          <t>ireland</t>
        </is>
      </c>
      <c r="C196" s="13" t="inlineStr">
        <is>
          <t>IRL</t>
        </is>
      </c>
      <c r="D196" s="13" t="inlineStr">
        <is>
          <t>Ireland</t>
        </is>
      </c>
      <c r="E196" s="13" t="inlineStr">
        <is>
          <t>Dunnes Stores</t>
        </is>
      </c>
      <c r="F196" s="13" t="inlineStr">
        <is>
          <t>https://www.dunnesstoresgrocery.com/</t>
        </is>
      </c>
      <c r="G196" s="13" t="inlineStr">
        <is>
          <t>PROBED - SKIP</t>
        </is>
      </c>
      <c r="H196" s="13" t="inlineStr">
        <is>
          <t>SKIP</t>
        </is>
      </c>
      <c r="I196" s="13" t="inlineStr">
        <is>
          <t>high</t>
        </is>
      </c>
      <c r="J196" s="13" t="n">
        <v>0</v>
      </c>
      <c r="K196" s="13" t="inlineStr"/>
      <c r="L196" s="13" t="inlineStr">
        <is>
          <t>curl -&gt; HTTP 403, 5.5KB.</t>
        </is>
      </c>
      <c r="M196" s="13" t="inlineStr">
        <is>
          <t>ACCEPT</t>
        </is>
      </c>
      <c r="N196" s="13" t="inlineStr">
        <is>
          <t>C - engineering required</t>
        </is>
      </c>
      <c r="O196" s="13" t="n">
        <v>3</v>
      </c>
      <c r="P196" s="13" t="inlineStr">
        <is>
          <t>Custom</t>
        </is>
      </c>
      <c r="Q196" s="13" t="inlineStr"/>
      <c r="R196" s="13" t="inlineStr">
        <is>
          <t>-</t>
        </is>
      </c>
      <c r="S196" s="13" t="inlineStr">
        <is>
          <t>current</t>
        </is>
      </c>
      <c r="T196" s="13" t="inlineStr">
        <is>
          <t>Publishes headline shelf prices with NO loyalty card required - the cleanest Irish shelf-price series.</t>
        </is>
      </c>
      <c r="U196" s="13" t="inlineStr">
        <is>
          <t>Dublin and nearby counties only.</t>
        </is>
      </c>
      <c r="V196" s="13" t="inlineStr">
        <is>
          <t>P8-EU</t>
        </is>
      </c>
    </row>
    <row r="197">
      <c r="A197" s="13" t="inlineStr">
        <is>
          <t>eca</t>
        </is>
      </c>
      <c r="B197" s="13" t="inlineStr">
        <is>
          <t>ireland</t>
        </is>
      </c>
      <c r="C197" s="13" t="inlineStr">
        <is>
          <t>IRL</t>
        </is>
      </c>
      <c r="D197" s="13" t="inlineStr">
        <is>
          <t>Ireland</t>
        </is>
      </c>
      <c r="E197" s="13" t="inlineStr">
        <is>
          <t>Lidl Ireland</t>
        </is>
      </c>
      <c r="F197" s="13" t="inlineStr">
        <is>
          <t>https://www.lidl.ie/</t>
        </is>
      </c>
      <c r="G197" s="13" t="inlineStr">
        <is>
          <t>PROBED - SKIP</t>
        </is>
      </c>
      <c r="H197" s="13" t="inlineStr">
        <is>
          <t>SKIP</t>
        </is>
      </c>
      <c r="I197" s="13" t="inlineStr">
        <is>
          <t>high</t>
        </is>
      </c>
      <c r="J197" s="13" t="n">
        <v>0</v>
      </c>
      <c r="K197" s="13" t="inlineStr"/>
      <c r="L197" s="13" t="inlineStr">
        <is>
          <t>GET / -&gt; 200, 175KB, Next/Nuxt. Zero real /p/&lt;slug&gt;/p&lt;id&gt; product links found -- same leaflet-only signature confirmed on lidl.bg and lidl-hellas.gr.</t>
        </is>
      </c>
      <c r="M197" s="13" t="inlineStr">
        <is>
          <t>SUSPECT</t>
        </is>
      </c>
      <c r="N197" s="13" t="inlineStr">
        <is>
          <t>D - hard / app / index only</t>
        </is>
      </c>
      <c r="O197" s="13" t="n">
        <v>2</v>
      </c>
      <c r="P197" s="13" t="inlineStr">
        <is>
          <t>Custom/Enterprise</t>
        </is>
      </c>
      <c r="Q197" s="13" t="inlineStr"/>
      <c r="R197" s="13" t="inlineStr">
        <is>
          <t>-</t>
        </is>
      </c>
      <c r="S197" s="13" t="inlineStr">
        <is>
          <t>promo</t>
        </is>
      </c>
      <c r="T197" s="13" t="inlineStr">
        <is>
          <t>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197" s="13" t="inlineStr">
        <is>
          <t>NO Irish online grocery - only a rotating weekly range. Direct scraping is not viable; use MasterMarket or supermarket.ie instead.</t>
        </is>
      </c>
      <c r="V197" s="13" t="inlineStr">
        <is>
          <t>P8-EU</t>
        </is>
      </c>
    </row>
    <row r="198">
      <c r="A198" s="13" t="inlineStr">
        <is>
          <t>eca</t>
        </is>
      </c>
      <c r="B198" s="13" t="inlineStr">
        <is>
          <t>ireland</t>
        </is>
      </c>
      <c r="C198" s="13" t="inlineStr">
        <is>
          <t>IRL</t>
        </is>
      </c>
      <c r="D198" s="13" t="inlineStr">
        <is>
          <t>Ireland</t>
        </is>
      </c>
      <c r="E198" s="13" t="inlineStr">
        <is>
          <t>MasterMarket</t>
        </is>
      </c>
      <c r="F198" s="13" t="inlineStr">
        <is>
          <t>https://www.mastermarketapp.com/</t>
        </is>
      </c>
      <c r="G198" s="13" t="inlineStr">
        <is>
          <t>PROBED - SKIP</t>
        </is>
      </c>
      <c r="H198" s="13" t="inlineStr">
        <is>
          <t>SKIP</t>
        </is>
      </c>
      <c r="I198" s="13" t="inlineStr">
        <is>
          <t>medium</t>
        </is>
      </c>
      <c r="J198" s="13" t="n">
        <v>0</v>
      </c>
      <c r="K198" s="13" t="inlineStr"/>
      <c r="L198" s="13" t="inlineStr">
        <is>
          <t>GET /products -&gt; 200, 30KB, but pure Next.js client-rendered shell (only _next/static chunk refs in SSR HTML, no product markup, zero € price matches).</t>
        </is>
      </c>
      <c r="M198" s="13" t="inlineStr">
        <is>
          <t>ACCEPT</t>
        </is>
      </c>
      <c r="N198" s="13" t="inlineStr">
        <is>
          <t>C - engineering required</t>
        </is>
      </c>
      <c r="O198" s="13" t="n">
        <v>3</v>
      </c>
      <c r="P198" s="13" t="inlineStr">
        <is>
          <t>Custom</t>
        </is>
      </c>
      <c r="Q198" s="13" t="inlineStr"/>
      <c r="R198" s="13" t="inlineStr">
        <is>
          <t>-</t>
        </is>
      </c>
      <c r="S198" s="13" t="inlineStr">
        <is>
          <t>current, clubcard_price, real_rewards_price, multibuy</t>
        </is>
      </c>
      <c r="T198" s="13" t="inlineStr">
        <is>
          <t>8,089 products across all 5 Irish chains (Tesco, Aldi, Lidl, SuperValu, Dunnes), 4,120 prices updated daily, and it separates CLUBCARD and REAL REWARDS loyalty prices from shelf prices. Publishes per-store SKU counts and its own method note. IMPORTANT for Ireland because Aldi and Lidl have limited or no Irish online grocery, making direct scraping impossible.</t>
        </is>
      </c>
      <c r="U198" s="13" t="inlineStr">
        <is>
          <t>Partly community-reported. Lidl coverage is thin (47 SKUs) because its range rotates weekly.</t>
        </is>
      </c>
      <c r="V198" s="13" t="inlineStr">
        <is>
          <t>P8-EU</t>
        </is>
      </c>
    </row>
    <row r="199">
      <c r="A199" s="13" t="inlineStr">
        <is>
          <t>eca</t>
        </is>
      </c>
      <c r="B199" s="13" t="inlineStr">
        <is>
          <t>ireland</t>
        </is>
      </c>
      <c r="C199" s="13" t="inlineStr">
        <is>
          <t>IRL</t>
        </is>
      </c>
      <c r="D199" s="13" t="inlineStr">
        <is>
          <t>Ireland</t>
        </is>
      </c>
      <c r="E199" s="13" t="inlineStr">
        <is>
          <t>Quidu</t>
        </is>
      </c>
      <c r="F199" s="13" t="inlineStr">
        <is>
          <t>https://www.quidu.ie/</t>
        </is>
      </c>
      <c r="G199" s="13" t="inlineStr">
        <is>
          <t>PROBED - SKIP</t>
        </is>
      </c>
      <c r="H199" s="13" t="inlineStr">
        <is>
          <t>SKIP</t>
        </is>
      </c>
      <c r="I199" s="13" t="inlineStr">
        <is>
          <t>medium</t>
        </is>
      </c>
      <c r="J199" s="13" t="n">
        <v>0</v>
      </c>
      <c r="K199" s="13" t="inlineStr"/>
      <c r="L199" s="13" t="inlineStr">
        <is>
          <t>GET / -&gt; 200, 4.6KB shell only (title 'Quidu - Compare Grocery Prices in Ireland', no product markup).</t>
        </is>
      </c>
      <c r="M199" s="13" t="inlineStr">
        <is>
          <t>ACCEPT</t>
        </is>
      </c>
      <c r="N199" s="13" t="inlineStr">
        <is>
          <t>C - engineering required</t>
        </is>
      </c>
      <c r="O199" s="13" t="n">
        <v>3</v>
      </c>
      <c r="P199" s="13" t="inlineStr">
        <is>
          <t>Custom</t>
        </is>
      </c>
      <c r="Q199" s="13" t="inlineStr"/>
      <c r="R199" s="13" t="inlineStr">
        <is>
          <t>-</t>
        </is>
      </c>
      <c r="S199" s="13" t="inlineStr">
        <is>
          <t>current</t>
        </is>
      </c>
      <c r="T199" s="13" t="inlineStr">
        <is>
          <t>Compares Aldi, Dunnes, SuperValu, Tesco.</t>
        </is>
      </c>
      <c r="U199" s="13" t="inlineStr">
        <is>
          <t>Site returned a JS error on fetch - verify.</t>
        </is>
      </c>
      <c r="V199" s="13" t="inlineStr">
        <is>
          <t>P8-EU</t>
        </is>
      </c>
    </row>
    <row r="200">
      <c r="A200" s="13" t="inlineStr">
        <is>
          <t>eca</t>
        </is>
      </c>
      <c r="B200" s="13" t="inlineStr">
        <is>
          <t>ireland</t>
        </is>
      </c>
      <c r="C200" s="13" t="inlineStr">
        <is>
          <t>IRL</t>
        </is>
      </c>
      <c r="D200" s="13" t="inlineStr">
        <is>
          <t>Ireland</t>
        </is>
      </c>
      <c r="E200" s="13" t="inlineStr">
        <is>
          <t>SuperValu</t>
        </is>
      </c>
      <c r="F200" s="13" t="inlineStr">
        <is>
          <t>https://shop.supervalu.ie/</t>
        </is>
      </c>
      <c r="G200" s="13" t="inlineStr">
        <is>
          <t>PROBED - SKIP</t>
        </is>
      </c>
      <c r="H200" s="13" t="inlineStr">
        <is>
          <t>SKIP</t>
        </is>
      </c>
      <c r="I200" s="13" t="inlineStr">
        <is>
          <t>high</t>
        </is>
      </c>
      <c r="J200" s="13" t="n">
        <v>0</v>
      </c>
      <c r="K200" s="13" t="inlineStr"/>
      <c r="L200" s="13" t="inlineStr">
        <is>
          <t>curl -&gt; HTTP 403, 4.5KB.</t>
        </is>
      </c>
      <c r="M200" s="13" t="inlineStr">
        <is>
          <t>SUSPECT</t>
        </is>
      </c>
      <c r="N200" s="13" t="inlineStr">
        <is>
          <t>D - hard / app / index only</t>
        </is>
      </c>
      <c r="O200" s="13" t="n">
        <v>2</v>
      </c>
      <c r="P200" s="13" t="inlineStr">
        <is>
          <t>Custom/Enterprise</t>
        </is>
      </c>
      <c r="Q200" s="13" t="inlineStr"/>
      <c r="R200" s="13" t="inlineStr">
        <is>
          <t>-</t>
        </is>
      </c>
      <c r="S200" s="13" t="inlineStr">
        <is>
          <t>current, real_rewards_price</t>
        </is>
      </c>
      <c r="T200" s="13" t="inlineStr">
        <is>
          <t>Irish-supplier focus with provenance information per product - useful for domestic vs imported price comparison.</t>
        </is>
      </c>
      <c r="U200" s="13" t="inlineStr">
        <is>
          <t>-</t>
        </is>
      </c>
      <c r="V200" s="13" t="inlineStr">
        <is>
          <t>P8-EU</t>
        </is>
      </c>
    </row>
    <row r="201">
      <c r="A201" s="13" t="inlineStr">
        <is>
          <t>eca</t>
        </is>
      </c>
      <c r="B201" s="13" t="inlineStr">
        <is>
          <t>ireland</t>
        </is>
      </c>
      <c r="C201" s="13" t="inlineStr">
        <is>
          <t>IRL</t>
        </is>
      </c>
      <c r="D201" s="13" t="inlineStr">
        <is>
          <t>Ireland</t>
        </is>
      </c>
      <c r="E201" s="13" t="inlineStr">
        <is>
          <t>Tesco Ireland</t>
        </is>
      </c>
      <c r="F201" s="13" t="inlineStr">
        <is>
          <t>https://www.tesco.ie/groceries/</t>
        </is>
      </c>
      <c r="G201" s="13" t="inlineStr">
        <is>
          <t>PROBED - SKIP</t>
        </is>
      </c>
      <c r="H201" s="13" t="inlineStr">
        <is>
          <t>SKIP</t>
        </is>
      </c>
      <c r="I201" s="13" t="inlineStr">
        <is>
          <t>high</t>
        </is>
      </c>
      <c r="J201" s="13" t="n">
        <v>0</v>
      </c>
      <c r="K201" s="13" t="inlineStr"/>
      <c r="L201" s="13" t="inlineStr">
        <is>
          <t>curl -&gt; HTTP 403, 378-byte body.</t>
        </is>
      </c>
      <c r="M201" s="13" t="inlineStr">
        <is>
          <t>SUSPECT</t>
        </is>
      </c>
      <c r="N201" s="13" t="inlineStr">
        <is>
          <t>D - hard / app / index only</t>
        </is>
      </c>
      <c r="O201" s="13" t="n">
        <v>2</v>
      </c>
      <c r="P201" s="13" t="inlineStr">
        <is>
          <t>Custom/Enterprise</t>
        </is>
      </c>
      <c r="Q201" s="13" t="inlineStr"/>
      <c r="R201" s="13" t="inlineStr">
        <is>
          <t>-</t>
        </is>
      </c>
      <c r="S201" s="13" t="inlineStr">
        <is>
          <t>current, clubcard_price, unit_price</t>
        </is>
      </c>
      <c r="T201" s="13" t="inlineStr">
        <is>
          <t>25,000+ products, widest Irish online range, Clubcard two-tier pricing.</t>
        </is>
      </c>
      <c r="U201" s="13" t="inlineStr">
        <is>
          <t>-</t>
        </is>
      </c>
      <c r="V201" s="13" t="inlineStr">
        <is>
          <t>P8-EU</t>
        </is>
      </c>
    </row>
    <row r="202">
      <c r="A202" s="13" t="inlineStr">
        <is>
          <t>eca</t>
        </is>
      </c>
      <c r="B202" s="13" t="inlineStr">
        <is>
          <t>ireland</t>
        </is>
      </c>
      <c r="C202" s="13" t="inlineStr">
        <is>
          <t>IRL</t>
        </is>
      </c>
      <c r="D202" s="13" t="inlineStr">
        <is>
          <t>Ireland</t>
        </is>
      </c>
      <c r="E202" s="13" t="inlineStr">
        <is>
          <t>supermarket.ie</t>
        </is>
      </c>
      <c r="F202" s="13" t="inlineStr">
        <is>
          <t>https://www.supermarket.ie/compare/supermarket-prices-ireland</t>
        </is>
      </c>
      <c r="G202" s="13" t="inlineStr">
        <is>
          <t>PROBED - VIABLE</t>
        </is>
      </c>
      <c r="H202" s="13" t="inlineStr">
        <is>
          <t>TIER_1A</t>
        </is>
      </c>
      <c r="I202" s="13" t="inlineStr">
        <is>
          <t>low</t>
        </is>
      </c>
      <c r="J202" s="13" t="n">
        <v>0</v>
      </c>
      <c r="K202" s="13" t="inlineStr">
        <is>
          <t>SSR</t>
        </is>
      </c>
      <c r="L202" s="13" t="inlineStr">
        <is>
          <t>GET -&gt; 200, 147KB, Next.js. Real EUR basket totals found in SSR HTML (e.g. €393.77, €35.52, €224.46) across Tesco/Dunnes/SuperValu/Aldi.</t>
        </is>
      </c>
      <c r="M202" s="13" t="inlineStr">
        <is>
          <t>ACCEPT</t>
        </is>
      </c>
      <c r="N202" s="13" t="inlineStr">
        <is>
          <t>C - engineering required</t>
        </is>
      </c>
      <c r="O202" s="13" t="n">
        <v>3</v>
      </c>
      <c r="P202" s="13" t="inlineStr">
        <is>
          <t>Custom</t>
        </is>
      </c>
      <c r="Q202" s="13" t="inlineStr"/>
      <c r="R202" s="13" t="inlineStr">
        <is>
          <t>-</t>
        </is>
      </c>
      <c r="S202" s="13" t="inlineStr">
        <is>
          <t>current, basket_total, category_totals</t>
        </is>
      </c>
      <c r="T202" s="13" t="inlineStr">
        <is>
          <t>524 products, twice-weekly, with category-level basket totals across Tesco, Dunnes, SuperValu, Aldi. States openly that Lidl and Aldi do not offer online grocery in Ireland - a useful structural fact for anyone planning Irish coverage.</t>
        </is>
      </c>
      <c r="U202" s="13" t="inlineStr">
        <is>
          <t>-</t>
        </is>
      </c>
      <c r="V202" s="13" t="inlineStr">
        <is>
          <t>P8-EU</t>
        </is>
      </c>
    </row>
    <row r="203">
      <c r="A203" s="13" t="inlineStr">
        <is>
          <t>eca</t>
        </is>
      </c>
      <c r="B203" s="13" t="inlineStr">
        <is>
          <t>iceland</t>
        </is>
      </c>
      <c r="C203" s="13" t="inlineStr">
        <is>
          <t>ISL</t>
        </is>
      </c>
      <c r="D203" s="13" t="inlineStr">
        <is>
          <t>Iceland</t>
        </is>
      </c>
      <c r="E203" s="13" t="inlineStr">
        <is>
          <t>Hagkaup</t>
        </is>
      </c>
      <c r="F203" s="13" t="inlineStr">
        <is>
          <t>https://www.hagkaup.is/</t>
        </is>
      </c>
      <c r="G203" s="13" t="inlineStr">
        <is>
          <t>PROBED - SKIP</t>
        </is>
      </c>
      <c r="H203" s="13" t="inlineStr">
        <is>
          <t>SKIP</t>
        </is>
      </c>
      <c r="I203" s="13" t="inlineStr">
        <is>
          <t>medium</t>
        </is>
      </c>
      <c r="J203" s="13" t="n">
        <v>0</v>
      </c>
      <c r="K203" s="13" t="inlineStr">
        <is>
          <t>/vara/&lt;slug&gt; (same platform shape as Kronan/Heimkaup)</t>
        </is>
      </c>
      <c r="L203" s="13" t="inlineStr">
        <is>
          <t>GET / -&gt; 200, 445KB, Next.js. 23 /vara/&lt;slug&gt; product links found but all cosmetics/perfume (Versace, Origins lip balm) -- department-store homepage sample, not F&amp;B.</t>
        </is>
      </c>
      <c r="M203" s="13" t="inlineStr">
        <is>
          <t>ACCEPT</t>
        </is>
      </c>
      <c r="N203" s="13" t="inlineStr">
        <is>
          <t>C - engineering required</t>
        </is>
      </c>
      <c r="O203" s="13" t="n">
        <v>3</v>
      </c>
      <c r="P203" s="13" t="inlineStr">
        <is>
          <t>Custom</t>
        </is>
      </c>
      <c r="Q203" s="13" t="inlineStr"/>
      <c r="R203" s="13" t="inlineStr">
        <is>
          <t>-</t>
        </is>
      </c>
      <c r="S203" s="13" t="inlineStr">
        <is>
          <t>current</t>
        </is>
      </c>
      <c r="T203" s="13" t="inlineStr">
        <is>
          <t>National chain with a bespoke storefront. Fetch a category page first: if prices render server-side a plain parser suffices, otherwise capture the category XHR.</t>
        </is>
      </c>
      <c r="U203" s="13" t="inlineStr">
        <is>
          <t>-</t>
        </is>
      </c>
      <c r="V203" s="13" t="inlineStr">
        <is>
          <t>P8-EU</t>
        </is>
      </c>
    </row>
    <row r="204">
      <c r="A204" s="13" t="inlineStr">
        <is>
          <t>eca</t>
        </is>
      </c>
      <c r="B204" s="13" t="inlineStr">
        <is>
          <t>iceland</t>
        </is>
      </c>
      <c r="C204" s="13" t="inlineStr">
        <is>
          <t>ISL</t>
        </is>
      </c>
      <c r="D204" s="13" t="inlineStr">
        <is>
          <t>Iceland</t>
        </is>
      </c>
      <c r="E204" s="13" t="inlineStr">
        <is>
          <t>Netto</t>
        </is>
      </c>
      <c r="F204" s="13" t="inlineStr">
        <is>
          <t>https://www.netto.is/</t>
        </is>
      </c>
      <c r="G204" s="13" t="inlineStr">
        <is>
          <t>PROBED - SKIP</t>
        </is>
      </c>
      <c r="H204" s="13" t="inlineStr">
        <is>
          <t>SKIP</t>
        </is>
      </c>
      <c r="I204" s="13" t="inlineStr">
        <is>
          <t>medium</t>
        </is>
      </c>
      <c r="J204" s="13" t="n">
        <v>0</v>
      </c>
      <c r="K204" s="13" t="inlineStr"/>
      <c r="L204" s="13" t="inlineStr">
        <is>
          <t>GET / -&gt; 200, 70.5KB, Next.js. Zero product links or price patterns matched on homepage.</t>
        </is>
      </c>
      <c r="M204" s="13" t="inlineStr">
        <is>
          <t>ACCEPT</t>
        </is>
      </c>
      <c r="N204" s="13" t="inlineStr">
        <is>
          <t>C - engineering required</t>
        </is>
      </c>
      <c r="O204" s="13" t="n">
        <v>3</v>
      </c>
      <c r="P204" s="13" t="inlineStr">
        <is>
          <t>Custom</t>
        </is>
      </c>
      <c r="Q204" s="13" t="inlineStr"/>
      <c r="R204" s="13" t="inlineStr">
        <is>
          <t>-</t>
        </is>
      </c>
      <c r="S204" s="13" t="inlineStr">
        <is>
          <t>current</t>
        </is>
      </c>
      <c r="T204" s="13" t="inlineStr">
        <is>
          <t>National chain with a bespoke storefront. Fetch a category page first: if prices render server-side a plain parser suffices, otherwise capture the category XHR.</t>
        </is>
      </c>
      <c r="U204" s="13" t="inlineStr">
        <is>
          <t>-</t>
        </is>
      </c>
      <c r="V204" s="13" t="inlineStr">
        <is>
          <t>P8-EU</t>
        </is>
      </c>
    </row>
    <row r="205">
      <c r="A205" s="13" t="inlineStr">
        <is>
          <t>eca</t>
        </is>
      </c>
      <c r="B205" s="13" t="inlineStr">
        <is>
          <t>iceland</t>
        </is>
      </c>
      <c r="C205" s="13" t="inlineStr">
        <is>
          <t>ISL</t>
        </is>
      </c>
      <c r="D205" s="13" t="inlineStr">
        <is>
          <t>Iceland</t>
        </is>
      </c>
      <c r="E205" s="13" t="inlineStr">
        <is>
          <t>Vinbudin (ATVR)</t>
        </is>
      </c>
      <c r="F205" s="13" t="inlineStr">
        <is>
          <t>https://www.vinbudin.is/</t>
        </is>
      </c>
      <c r="G205" s="13" t="inlineStr">
        <is>
          <t>PROBED - SKIP</t>
        </is>
      </c>
      <c r="H205" s="13" t="inlineStr">
        <is>
          <t>SKIP</t>
        </is>
      </c>
      <c r="I205" s="13" t="inlineStr">
        <is>
          <t>medium</t>
        </is>
      </c>
      <c r="J205" s="13" t="n">
        <v>0</v>
      </c>
      <c r="K205" s="13" t="inlineStr"/>
      <c r="L205" s="13" t="inlineStr">
        <is>
          <t>GET / -&gt; 200, 85KB, zero product links found on homepage.</t>
        </is>
      </c>
      <c r="M205" s="13" t="inlineStr">
        <is>
          <t>ACCEPT</t>
        </is>
      </c>
      <c r="N205" s="13" t="inlineStr">
        <is>
          <t>B - moderate effort</t>
        </is>
      </c>
      <c r="O205" s="13" t="n">
        <v>4</v>
      </c>
      <c r="P205" s="13" t="inlineStr">
        <is>
          <t>Custom</t>
        </is>
      </c>
      <c r="Q205" s="13" t="inlineStr"/>
      <c r="R205" s="13" t="inlineStr">
        <is>
          <t>-</t>
        </is>
      </c>
      <c r="S205" s="13" t="inlineStr">
        <is>
          <t>current</t>
        </is>
      </c>
      <c r="T205" s="13" t="inlineStr">
        <is>
          <t>STATE ALCOHOL MONOPOLY - administered prices.</t>
        </is>
      </c>
      <c r="U205" s="13" t="inlineStr">
        <is>
          <t>-</t>
        </is>
      </c>
      <c r="V205" s="13" t="inlineStr">
        <is>
          <t>P8-EU</t>
        </is>
      </c>
    </row>
    <row r="206">
      <c r="A206" s="13" t="inlineStr">
        <is>
          <t>eca</t>
        </is>
      </c>
      <c r="B206" s="13" t="inlineStr">
        <is>
          <t>iceland</t>
        </is>
      </c>
      <c r="C206" s="13" t="inlineStr">
        <is>
          <t>ISL</t>
        </is>
      </c>
      <c r="D206" s="13" t="inlineStr">
        <is>
          <t>Iceland</t>
        </is>
      </c>
      <c r="E206" s="13" t="inlineStr">
        <is>
          <t>Bonus</t>
        </is>
      </c>
      <c r="F206" s="13" t="inlineStr">
        <is>
          <t>https://bonus.is/</t>
        </is>
      </c>
      <c r="G206" s="13" t="inlineStr">
        <is>
          <t>PROBED - VIABLE</t>
        </is>
      </c>
      <c r="H206" s="13" t="inlineStr">
        <is>
          <t>TIER_1B</t>
        </is>
      </c>
      <c r="I206" s="13" t="inlineStr">
        <is>
          <t>low</t>
        </is>
      </c>
      <c r="J206" s="13" t="n">
        <v>140</v>
      </c>
      <c r="K206" s="13" t="inlineStr">
        <is>
          <t>/wp-json/wc/store/v1/products</t>
        </is>
      </c>
      <c r="L206" s="13" t="inlineStr">
        <is>
          <t>GET https://bonus.is/wp-json/wc/store/v1/products?per_page=5 -&gt; HTTP 200, structured WooCommerce Store API JSON, ISK currency_code confirmed. Sample product was a gift card (non-food); also confirmed embedded price JSON on a verslun.bonus.is PDP ("price":798 etc).</t>
        </is>
      </c>
      <c r="M206" s="13" t="inlineStr">
        <is>
          <t>ACCEPT</t>
        </is>
      </c>
      <c r="N206" s="13" t="inlineStr">
        <is>
          <t>C - engineering required</t>
        </is>
      </c>
      <c r="O206" s="13" t="n">
        <v>3</v>
      </c>
      <c r="P206" s="13" t="inlineStr">
        <is>
          <t>Custom</t>
        </is>
      </c>
      <c r="Q206" s="13" t="inlineStr"/>
      <c r="R206" s="13" t="inlineStr">
        <is>
          <t>-</t>
        </is>
      </c>
      <c r="S206" s="13" t="inlineStr">
        <is>
          <t>current</t>
        </is>
      </c>
      <c r="T206" s="13" t="inlineStr">
        <is>
          <t>Iceland's dominant discounter.</t>
        </is>
      </c>
      <c r="U206" s="13" t="inlineStr">
        <is>
          <t>-</t>
        </is>
      </c>
      <c r="V206" s="13" t="inlineStr">
        <is>
          <t>P8-EU</t>
        </is>
      </c>
    </row>
    <row r="207">
      <c r="A207" s="13" t="inlineStr">
        <is>
          <t>eca</t>
        </is>
      </c>
      <c r="B207" s="13" t="inlineStr">
        <is>
          <t>iceland</t>
        </is>
      </c>
      <c r="C207" s="13" t="inlineStr">
        <is>
          <t>ISL</t>
        </is>
      </c>
      <c r="D207" s="13" t="inlineStr">
        <is>
          <t>Iceland</t>
        </is>
      </c>
      <c r="E207" s="13" t="inlineStr">
        <is>
          <t>Heimkaup</t>
        </is>
      </c>
      <c r="F207" s="13" t="inlineStr">
        <is>
          <t>https://www.heimkaup.is/</t>
        </is>
      </c>
      <c r="G207" s="13" t="inlineStr">
        <is>
          <t>PROBED - VIABLE</t>
        </is>
      </c>
      <c r="H207" s="13" t="inlineStr">
        <is>
          <t>TIER_1B</t>
        </is>
      </c>
      <c r="I207" s="13" t="inlineStr">
        <is>
          <t>low</t>
        </is>
      </c>
      <c r="J207" s="13" t="n">
        <v>130</v>
      </c>
      <c r="K207" s="13" t="inlineStr">
        <is>
          <t>SSR embedded JSON at /p/&lt;slug&gt;-&lt;id&gt;</t>
        </is>
      </c>
      <c r="L207" s="13" t="inlineStr">
        <is>
          <t>GET / -&gt; 200, 379KB. 49 unique /p/&lt;slug&gt;-&lt;id&gt; product links (beer, soft drinks, wine, ice cream). Embedded JSON for Pepsi Max 12x330ml: "price":129900,"commodityGroup":{"name":"GROCERY"}.</t>
        </is>
      </c>
      <c r="M207" s="13" t="inlineStr">
        <is>
          <t>ACCEPT</t>
        </is>
      </c>
      <c r="N207" s="13" t="inlineStr">
        <is>
          <t>C - engineering required</t>
        </is>
      </c>
      <c r="O207" s="13" t="n">
        <v>3</v>
      </c>
      <c r="P207" s="13" t="inlineStr">
        <is>
          <t>Custom</t>
        </is>
      </c>
      <c r="Q207" s="13" t="inlineStr"/>
      <c r="R207" s="13" t="inlineStr">
        <is>
          <t>-</t>
        </is>
      </c>
      <c r="S207" s="13" t="inlineStr">
        <is>
          <t>current</t>
        </is>
      </c>
      <c r="T207" s="13" t="inlineStr">
        <is>
          <t>National chain with a bespoke storefront. Fetch a category page first: if prices render server-side a plain parser suffices, otherwise capture the category XHR.</t>
        </is>
      </c>
      <c r="U207" s="13" t="inlineStr">
        <is>
          <t>-</t>
        </is>
      </c>
      <c r="V207" s="13" t="inlineStr">
        <is>
          <t>P8-EU</t>
        </is>
      </c>
    </row>
    <row r="208">
      <c r="A208" s="13" t="inlineStr">
        <is>
          <t>eca</t>
        </is>
      </c>
      <c r="B208" s="13" t="inlineStr">
        <is>
          <t>iceland</t>
        </is>
      </c>
      <c r="C208" s="13" t="inlineStr">
        <is>
          <t>ISL</t>
        </is>
      </c>
      <c r="D208" s="13" t="inlineStr">
        <is>
          <t>Iceland</t>
        </is>
      </c>
      <c r="E208" s="13" t="inlineStr">
        <is>
          <t>Kronan</t>
        </is>
      </c>
      <c r="F208" s="13" t="inlineStr">
        <is>
          <t>https://www.kronan.is/</t>
        </is>
      </c>
      <c r="G208" s="13" t="inlineStr">
        <is>
          <t>PROBED - VIABLE</t>
        </is>
      </c>
      <c r="H208" s="13" t="inlineStr">
        <is>
          <t>TIER_1B</t>
        </is>
      </c>
      <c r="I208" s="13" t="inlineStr">
        <is>
          <t>low</t>
        </is>
      </c>
      <c r="J208" s="13" t="n">
        <v>150</v>
      </c>
      <c r="K208" s="13" t="inlineStr">
        <is>
          <t>SSR embedded JSON at /vara/&lt;slug&gt;</t>
        </is>
      </c>
      <c r="L208" s="13" t="inlineStr">
        <is>
          <t>GET / -&gt; 200, 479KB. Embedded product JSON in SSR HTML: {"slug":"100273243-isey-skyr-solmyrkvi",...,"categoryTag":"05-05-01-skyr",...,"discountedPrice":330,"priceInfo":"170 gr. - 1.941 kr. / kg"} (Isey skyr yoghurt, 330 kr). Also saw Red Bull, Floridana juice, /vara/&lt;id-slug&gt; product links throughout.</t>
        </is>
      </c>
      <c r="M208" s="13" t="inlineStr">
        <is>
          <t>ACCEPT</t>
        </is>
      </c>
      <c r="N208" s="13" t="inlineStr">
        <is>
          <t>C - engineering required</t>
        </is>
      </c>
      <c r="O208" s="13" t="n">
        <v>3</v>
      </c>
      <c r="P208" s="13" t="inlineStr">
        <is>
          <t>Custom</t>
        </is>
      </c>
      <c r="Q208" s="13" t="inlineStr"/>
      <c r="R208" s="13" t="inlineStr">
        <is>
          <t>-</t>
        </is>
      </c>
      <c r="S208" s="13" t="inlineStr">
        <is>
          <t>current</t>
        </is>
      </c>
      <c r="T208" s="13" t="inlineStr">
        <is>
          <t>National chain with a bespoke storefront. Fetch a category page first: if prices render server-side a plain parser suffices, otherwise capture the category XHR.</t>
        </is>
      </c>
      <c r="U208" s="13" t="inlineStr">
        <is>
          <t>-</t>
        </is>
      </c>
      <c r="V208" s="13" t="inlineStr">
        <is>
          <t>P8-EU</t>
        </is>
      </c>
    </row>
    <row r="209">
      <c r="A209" s="13" t="inlineStr">
        <is>
          <t>eca</t>
        </is>
      </c>
      <c r="B209" s="13" t="inlineStr">
        <is>
          <t>italy</t>
        </is>
      </c>
      <c r="C209" s="13" t="inlineStr">
        <is>
          <t>ITA</t>
        </is>
      </c>
      <c r="D209" s="13" t="inlineStr">
        <is>
          <t>Italy</t>
        </is>
      </c>
      <c r="E209" s="13" t="inlineStr">
        <is>
          <t>Bennet</t>
        </is>
      </c>
      <c r="F209" s="13" t="inlineStr">
        <is>
          <t>https://www.bennet.com/</t>
        </is>
      </c>
      <c r="G209" s="13" t="inlineStr">
        <is>
          <t>PROBED - SKIP</t>
        </is>
      </c>
      <c r="H209" s="13" t="inlineStr">
        <is>
          <t>SKIP</t>
        </is>
      </c>
      <c r="I209" s="13" t="inlineStr">
        <is>
          <t>high</t>
        </is>
      </c>
      <c r="J209" s="13" t="n">
        <v>0</v>
      </c>
      <c r="K209" s="13" t="inlineStr"/>
      <c r="L209" s="13" t="inlineStr">
        <is>
          <t>curl -&gt; HTTP 403, 364 bytes.</t>
        </is>
      </c>
      <c r="M209" s="13" t="inlineStr">
        <is>
          <t>ACCEPT</t>
        </is>
      </c>
      <c r="N209" s="13" t="inlineStr">
        <is>
          <t>C - engineering required</t>
        </is>
      </c>
      <c r="O209" s="13" t="n">
        <v>3</v>
      </c>
      <c r="P209" s="13" t="inlineStr">
        <is>
          <t>Custom</t>
        </is>
      </c>
      <c r="Q209" s="13" t="inlineStr"/>
      <c r="R209" s="13" t="inlineStr">
        <is>
          <t>-</t>
        </is>
      </c>
      <c r="S209" s="13" t="inlineStr">
        <is>
          <t>current</t>
        </is>
      </c>
      <c r="T209" s="13" t="inlineStr">
        <is>
          <t>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209" s="13" t="inlineStr">
        <is>
          <t>-</t>
        </is>
      </c>
      <c r="V209" s="13" t="inlineStr">
        <is>
          <t>P8-EU</t>
        </is>
      </c>
    </row>
    <row r="210">
      <c r="A210" s="13" t="inlineStr">
        <is>
          <t>eca</t>
        </is>
      </c>
      <c r="B210" s="13" t="inlineStr">
        <is>
          <t>italy</t>
        </is>
      </c>
      <c r="C210" s="13" t="inlineStr">
        <is>
          <t>ITA</t>
        </is>
      </c>
      <c r="D210" s="13" t="inlineStr">
        <is>
          <t>Italy</t>
        </is>
      </c>
      <c r="E210" s="13" t="inlineStr">
        <is>
          <t>Carrefour Italia</t>
        </is>
      </c>
      <c r="F210" s="13" t="inlineStr">
        <is>
          <t>https://www.carrefour.it/</t>
        </is>
      </c>
      <c r="G210" s="13" t="inlineStr">
        <is>
          <t>PROBED - SKIP</t>
        </is>
      </c>
      <c r="H210" s="13" t="inlineStr">
        <is>
          <t>SKIP</t>
        </is>
      </c>
      <c r="I210" s="13" t="inlineStr">
        <is>
          <t>high</t>
        </is>
      </c>
      <c r="J210" s="13" t="n">
        <v>0</v>
      </c>
      <c r="K210" s="13" t="inlineStr"/>
      <c r="L210" s="13" t="inlineStr">
        <is>
          <t>curl -&gt; HTTP 403, 4.6KB.</t>
        </is>
      </c>
      <c r="M210" s="13" t="inlineStr">
        <is>
          <t>ACCEPT</t>
        </is>
      </c>
      <c r="N210" s="13" t="inlineStr">
        <is>
          <t>C - engineering required</t>
        </is>
      </c>
      <c r="O210" s="13" t="n">
        <v>3</v>
      </c>
      <c r="P210" s="13" t="inlineStr">
        <is>
          <t>Custom (Demandware)</t>
        </is>
      </c>
      <c r="Q210" s="13" t="inlineStr"/>
      <c r="R210" s="13" t="inlineStr">
        <is>
          <t>Sites-carrefour-IT-Site/it_IT/Search-Show with query params</t>
        </is>
      </c>
      <c r="S210" s="13" t="inlineStr">
        <is>
          <t>current, unit_price</t>
        </is>
      </c>
      <c r="T210" s="13" t="inlineStr">
        <is>
          <t>Salesforce Demandware storefront (on/demandware.store URLs) - a recognisable platform with predictable search endpoints. Publishes its RANKING ALGORITHM openly (relevance weights seasonality and private label; other categories sort by 30-day sales velocity).</t>
        </is>
      </c>
      <c r="U210" s="13" t="inlineStr">
        <is>
          <t>Requires address/CAP before the catalogue renders.</t>
        </is>
      </c>
      <c r="V210" s="13" t="inlineStr">
        <is>
          <t>P8-EU</t>
        </is>
      </c>
    </row>
    <row r="211">
      <c r="A211" s="13" t="inlineStr">
        <is>
          <t>eca</t>
        </is>
      </c>
      <c r="B211" s="13" t="inlineStr">
        <is>
          <t>italy</t>
        </is>
      </c>
      <c r="C211" s="13" t="inlineStr">
        <is>
          <t>ITA</t>
        </is>
      </c>
      <c r="D211" s="13" t="inlineStr">
        <is>
          <t>Italy</t>
        </is>
      </c>
      <c r="E211" s="13" t="inlineStr">
        <is>
          <t>Coop Shop / Ipercoop</t>
        </is>
      </c>
      <c r="F211" s="13" t="inlineStr">
        <is>
          <t>https://www.coopshop.it/</t>
        </is>
      </c>
      <c r="G211" s="13" t="inlineStr">
        <is>
          <t>PROBED - SKIP</t>
        </is>
      </c>
      <c r="H211" s="13" t="inlineStr">
        <is>
          <t>SKIP</t>
        </is>
      </c>
      <c r="I211" s="13" t="inlineStr">
        <is>
          <t>medium</t>
        </is>
      </c>
      <c r="J211" s="13" t="n">
        <v>0</v>
      </c>
      <c r="K211" s="13" t="inlineStr"/>
      <c r="L211" s="13" t="inlineStr">
        <is>
          <t>GET / -&gt; 200, 15.4KB, zero product links or price patterns matched.</t>
        </is>
      </c>
      <c r="M211" s="13" t="inlineStr">
        <is>
          <t>ACCEPT</t>
        </is>
      </c>
      <c r="N211" s="13" t="inlineStr">
        <is>
          <t>C - engineering required</t>
        </is>
      </c>
      <c r="O211" s="13" t="n">
        <v>3</v>
      </c>
      <c r="P211" s="13" t="inlineStr">
        <is>
          <t>Custom</t>
        </is>
      </c>
      <c r="Q211" s="13" t="inlineStr"/>
      <c r="R211" s="13" t="inlineStr">
        <is>
          <t>-</t>
        </is>
      </c>
      <c r="S211" s="13" t="inlineStr">
        <is>
          <t>current</t>
        </is>
      </c>
      <c r="T211" s="13" t="inlineStr">
        <is>
          <t>Largest Italian retail cooperative.</t>
        </is>
      </c>
      <c r="U211" s="13" t="inlineStr">
        <is>
          <t>Strongly regional - Coop Alleanza, Coop Lombardia etc are separate entities with separate sites.</t>
        </is>
      </c>
      <c r="V211" s="13" t="inlineStr">
        <is>
          <t>P8-EU</t>
        </is>
      </c>
    </row>
    <row r="212">
      <c r="A212" s="13" t="inlineStr">
        <is>
          <t>eca</t>
        </is>
      </c>
      <c r="B212" s="13" t="inlineStr">
        <is>
          <t>italy</t>
        </is>
      </c>
      <c r="C212" s="13" t="inlineStr">
        <is>
          <t>ITA</t>
        </is>
      </c>
      <c r="D212" s="13" t="inlineStr">
        <is>
          <t>Italy</t>
        </is>
      </c>
      <c r="E212" s="13" t="inlineStr">
        <is>
          <t>Cortilia</t>
        </is>
      </c>
      <c r="F212" s="13" t="inlineStr">
        <is>
          <t>https://www.cortilia.it/</t>
        </is>
      </c>
      <c r="G212" s="13" t="inlineStr">
        <is>
          <t>PROBED - SKIP</t>
        </is>
      </c>
      <c r="H212" s="13" t="inlineStr">
        <is>
          <t>SKIP</t>
        </is>
      </c>
      <c r="I212" s="13" t="inlineStr">
        <is>
          <t>medium</t>
        </is>
      </c>
      <c r="J212" s="13" t="n">
        <v>0</v>
      </c>
      <c r="K212" s="13" t="inlineStr"/>
      <c r="L212" s="13" t="inlineStr">
        <is>
          <t>GET / -&gt; 200, 230KB, Next.js. Zero product links or price patterns matched on homepage.</t>
        </is>
      </c>
      <c r="M212" s="13" t="inlineStr">
        <is>
          <t>ACCEPT</t>
        </is>
      </c>
      <c r="N212" s="13" t="inlineStr">
        <is>
          <t>C - engineering required</t>
        </is>
      </c>
      <c r="O212" s="13" t="n">
        <v>3</v>
      </c>
      <c r="P212" s="13" t="inlineStr">
        <is>
          <t>Custom</t>
        </is>
      </c>
      <c r="Q212" s="13" t="inlineStr"/>
      <c r="R212" s="13" t="inlineStr">
        <is>
          <t>-</t>
        </is>
      </c>
      <c r="S212" s="13" t="inlineStr">
        <is>
          <t>current</t>
        </is>
      </c>
      <c r="T212" s="13" t="inlineStr">
        <is>
          <t>Farm-to-table with named producers - farm-gate to retail margin work.</t>
        </is>
      </c>
      <c r="U212" s="13" t="inlineStr">
        <is>
          <t>-</t>
        </is>
      </c>
      <c r="V212" s="13" t="inlineStr">
        <is>
          <t>P8-EU</t>
        </is>
      </c>
    </row>
    <row r="213">
      <c r="A213" s="13" t="inlineStr">
        <is>
          <t>eca</t>
        </is>
      </c>
      <c r="B213" s="13" t="inlineStr">
        <is>
          <t>italy</t>
        </is>
      </c>
      <c r="C213" s="13" t="inlineStr">
        <is>
          <t>ITA</t>
        </is>
      </c>
      <c r="D213" s="13" t="inlineStr">
        <is>
          <t>Italy</t>
        </is>
      </c>
      <c r="E213" s="13" t="inlineStr">
        <is>
          <t>Esselunga a Casa</t>
        </is>
      </c>
      <c r="F213" s="13" t="inlineStr">
        <is>
          <t>https://www.esselungaacasa.it/</t>
        </is>
      </c>
      <c r="G213" s="13" t="inlineStr">
        <is>
          <t>PROBED - SKIP</t>
        </is>
      </c>
      <c r="H213" s="13" t="inlineStr">
        <is>
          <t>SKIP</t>
        </is>
      </c>
      <c r="I213" s="13" t="inlineStr">
        <is>
          <t>high</t>
        </is>
      </c>
      <c r="J213" s="13" t="n">
        <v>0</v>
      </c>
      <c r="K213" s="13" t="inlineStr"/>
      <c r="L213" s="13" t="inlineStr">
        <is>
          <t>curl --max-time 20 -&gt; connection timeout, no response.</t>
        </is>
      </c>
      <c r="M213" s="13" t="inlineStr">
        <is>
          <t>SUSPECT</t>
        </is>
      </c>
      <c r="N213" s="13" t="inlineStr">
        <is>
          <t>D - hard / app / index only</t>
        </is>
      </c>
      <c r="O213" s="13" t="n">
        <v>2</v>
      </c>
      <c r="P213" s="13" t="inlineStr">
        <is>
          <t>Custom/Enterprise</t>
        </is>
      </c>
      <c r="Q213" s="13" t="inlineStr"/>
      <c r="R213" s="13" t="inlineStr">
        <is>
          <t>-</t>
        </is>
      </c>
      <c r="S213" s="13" t="inlineStr">
        <is>
          <t>current, unit_price, fidaty_price</t>
        </is>
      </c>
      <c r="T213" s="13" t="inlineStr">
        <is>
          <t>Italy's strongest grocery retailer with Fidaty loyalty pricing.</t>
        </is>
      </c>
      <c r="U213" s="13" t="inlineStr">
        <is>
          <t>Login wall on the main site.</t>
        </is>
      </c>
      <c r="V213" s="13" t="inlineStr">
        <is>
          <t>P8-EU</t>
        </is>
      </c>
    </row>
    <row r="214">
      <c r="A214" s="13" t="inlineStr">
        <is>
          <t>eca</t>
        </is>
      </c>
      <c r="B214" s="13" t="inlineStr">
        <is>
          <t>italy</t>
        </is>
      </c>
      <c r="C214" s="13" t="inlineStr">
        <is>
          <t>ITA</t>
        </is>
      </c>
      <c r="D214" s="13" t="inlineStr">
        <is>
          <t>Italy</t>
        </is>
      </c>
      <c r="E214" s="13" t="inlineStr">
        <is>
          <t>Eurospin</t>
        </is>
      </c>
      <c r="F214" s="13" t="inlineStr">
        <is>
          <t>https://www.eurospin.it/</t>
        </is>
      </c>
      <c r="G214" s="13" t="inlineStr">
        <is>
          <t>PROBED - SKIP</t>
        </is>
      </c>
      <c r="H214" s="13" t="inlineStr">
        <is>
          <t>SKIP</t>
        </is>
      </c>
      <c r="I214" s="13" t="inlineStr">
        <is>
          <t>medium</t>
        </is>
      </c>
      <c r="J214" s="13" t="n">
        <v>0</v>
      </c>
      <c r="K214" s="13" t="inlineStr"/>
      <c r="L214" s="13" t="inlineStr">
        <is>
          <t>GET / -&gt; 200, 80.5KB, Sapo/WP hybrid. Zero product links or EUR price patterns matched on homepage.</t>
        </is>
      </c>
      <c r="M214" s="13" t="inlineStr">
        <is>
          <t>ACCEPT</t>
        </is>
      </c>
      <c r="N214" s="13" t="inlineStr">
        <is>
          <t>C - engineering required</t>
        </is>
      </c>
      <c r="O214" s="13" t="n">
        <v>3</v>
      </c>
      <c r="P214" s="13" t="inlineStr">
        <is>
          <t>Custom</t>
        </is>
      </c>
      <c r="Q214" s="13" t="inlineStr"/>
      <c r="R214" s="13" t="inlineStr">
        <is>
          <t>-</t>
        </is>
      </c>
      <c r="S214" s="13" t="inlineStr">
        <is>
          <t>current</t>
        </is>
      </c>
      <c r="T214" s="13" t="inlineStr">
        <is>
          <t>Hard discounter - with Aldi Italia the cheapest basket per Altroconsumo.</t>
        </is>
      </c>
      <c r="U214" s="13" t="inlineStr">
        <is>
          <t>Leaflet-led.</t>
        </is>
      </c>
      <c r="V214" s="13" t="inlineStr">
        <is>
          <t>P8-EU</t>
        </is>
      </c>
    </row>
    <row r="215">
      <c r="A215" s="13" t="inlineStr">
        <is>
          <t>eca</t>
        </is>
      </c>
      <c r="B215" s="13" t="inlineStr">
        <is>
          <t>italy</t>
        </is>
      </c>
      <c r="C215" s="13" t="inlineStr">
        <is>
          <t>ITA</t>
        </is>
      </c>
      <c r="D215" s="13" t="inlineStr">
        <is>
          <t>Italy</t>
        </is>
      </c>
      <c r="E215" s="13" t="inlineStr">
        <is>
          <t>Everli</t>
        </is>
      </c>
      <c r="F215" s="13" t="inlineStr">
        <is>
          <t>https://it.everli.com/it/spesa</t>
        </is>
      </c>
      <c r="G215" s="13" t="inlineStr">
        <is>
          <t>PROBED - SKIP</t>
        </is>
      </c>
      <c r="H215" s="13" t="inlineStr">
        <is>
          <t>SKIP</t>
        </is>
      </c>
      <c r="I215" s="13" t="inlineStr">
        <is>
          <t>medium</t>
        </is>
      </c>
      <c r="J215" s="13" t="n">
        <v>0</v>
      </c>
      <c r="K215" s="13" t="inlineStr"/>
      <c r="L215" s="13" t="inlineStr">
        <is>
          <t>GET -&gt; 200, 396KB, Sapo-tagged bundle. Zero chain-name/directory links extracted this pass with a generic regex.</t>
        </is>
      </c>
      <c r="M215" s="13" t="inlineStr">
        <is>
          <t>ACCEPT</t>
        </is>
      </c>
      <c r="N215" s="13" t="inlineStr">
        <is>
          <t>C - engineering required</t>
        </is>
      </c>
      <c r="O215" s="13" t="n">
        <v>3</v>
      </c>
      <c r="P215" s="13" t="inlineStr">
        <is>
          <t>Custom</t>
        </is>
      </c>
      <c r="Q215" s="13" t="inlineStr"/>
      <c r="R215" s="13" t="inlineStr">
        <is>
          <t>Parse it.everli.com/it/spesa for the chain list, then crawl each chain's own site.</t>
        </is>
      </c>
      <c r="S215" s="13" t="inlineStr">
        <is>
          <t>current</t>
        </is>
      </c>
      <c r="T215" s="13" t="inlineStr">
        <is>
          <t>ENUMERATION GOLDMINE for Italy: its store list names ~60 Italian chains and banners including Lidl, MD, Esselunga, Unes, Dpiu, Coop Alleanza, Pam, Coop Lombardia, Pewex, Bennet, Famila, Iper, Carrefour Elite, Conad, Dodeca, Sole365, Ipertriscount, Deco, Il Viaggiator Goloso, Panorama, Eurospin, Mercato, Spazio Conad, Oasi, Emisfero, Despar, Tigota, Eurospar, Interspar, Ipercarni, Ipercoop, Crai, Tigre, Conad City, Conad Tuday and more. Italy is highly fragmented and regional; this list is the fastest way to enumerate it.</t>
        </is>
      </c>
      <c r="U215" s="13" t="inlineStr">
        <is>
          <t>Personal-shopper platform - prices may carry a margin over shelf.</t>
        </is>
      </c>
      <c r="V215" s="13" t="inlineStr">
        <is>
          <t>P8-EU</t>
        </is>
      </c>
    </row>
    <row r="216">
      <c r="A216" s="13" t="inlineStr">
        <is>
          <t>eca</t>
        </is>
      </c>
      <c r="B216" s="13" t="inlineStr">
        <is>
          <t>italy</t>
        </is>
      </c>
      <c r="C216" s="13" t="inlineStr">
        <is>
          <t>ITA</t>
        </is>
      </c>
      <c r="D216" s="13" t="inlineStr">
        <is>
          <t>Italy</t>
        </is>
      </c>
      <c r="E216" s="13" t="inlineStr">
        <is>
          <t>Il Viaggiator Goloso (Unes)</t>
        </is>
      </c>
      <c r="F216" s="13" t="inlineStr">
        <is>
          <t>https://www.unes.it/</t>
        </is>
      </c>
      <c r="G216" s="13" t="inlineStr">
        <is>
          <t>PROBED - SKIP</t>
        </is>
      </c>
      <c r="H216" s="13" t="inlineStr">
        <is>
          <t>SKIP</t>
        </is>
      </c>
      <c r="I216" s="13" t="inlineStr">
        <is>
          <t>medium</t>
        </is>
      </c>
      <c r="J216" s="13" t="n">
        <v>0</v>
      </c>
      <c r="K216" s="13" t="inlineStr"/>
      <c r="L216" s="13" t="inlineStr">
        <is>
          <t>GET / -&gt; 200, 31KB, zero product links or price patterns matched.</t>
        </is>
      </c>
      <c r="M216" s="13" t="inlineStr">
        <is>
          <t>ACCEPT</t>
        </is>
      </c>
      <c r="N216" s="13" t="inlineStr">
        <is>
          <t>C - engineering required</t>
        </is>
      </c>
      <c r="O216" s="13" t="n">
        <v>3</v>
      </c>
      <c r="P216" s="13" t="inlineStr">
        <is>
          <t>Custom</t>
        </is>
      </c>
      <c r="Q216" s="13" t="inlineStr"/>
      <c r="R216" s="13" t="inlineStr">
        <is>
          <t>-</t>
        </is>
      </c>
      <c r="S216" s="13" t="inlineStr">
        <is>
          <t>current</t>
        </is>
      </c>
      <c r="T216" s="13" t="inlineStr">
        <is>
          <t>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216" s="13" t="inlineStr">
        <is>
          <t>-</t>
        </is>
      </c>
      <c r="V216" s="13" t="inlineStr">
        <is>
          <t>P8-EU</t>
        </is>
      </c>
    </row>
    <row r="217">
      <c r="A217" s="13" t="inlineStr">
        <is>
          <t>eca</t>
        </is>
      </c>
      <c r="B217" s="13" t="inlineStr">
        <is>
          <t>italy</t>
        </is>
      </c>
      <c r="C217" s="13" t="inlineStr">
        <is>
          <t>ITA</t>
        </is>
      </c>
      <c r="D217" s="13" t="inlineStr">
        <is>
          <t>Italy</t>
        </is>
      </c>
      <c r="E217" s="13" t="inlineStr">
        <is>
          <t>Pam Panorama</t>
        </is>
      </c>
      <c r="F217" s="13" t="inlineStr">
        <is>
          <t>https://www.pampanorama.it/</t>
        </is>
      </c>
      <c r="G217" s="13" t="inlineStr">
        <is>
          <t>PROBED - SKIP</t>
        </is>
      </c>
      <c r="H217" s="13" t="inlineStr">
        <is>
          <t>SKIP</t>
        </is>
      </c>
      <c r="I217" s="13" t="inlineStr">
        <is>
          <t>medium</t>
        </is>
      </c>
      <c r="J217" s="13" t="n">
        <v>0</v>
      </c>
      <c r="K217" s="13" t="inlineStr"/>
      <c r="L217" s="13" t="inlineStr">
        <is>
          <t>GET / -&gt; 200, 5.2KB (small -- likely a landing/redirect gate). Zero product links or prices matched.</t>
        </is>
      </c>
      <c r="M217" s="13" t="inlineStr">
        <is>
          <t>ACCEPT</t>
        </is>
      </c>
      <c r="N217" s="13" t="inlineStr">
        <is>
          <t>C - engineering required</t>
        </is>
      </c>
      <c r="O217" s="13" t="n">
        <v>3</v>
      </c>
      <c r="P217" s="13" t="inlineStr">
        <is>
          <t>Custom</t>
        </is>
      </c>
      <c r="Q217" s="13" t="inlineStr"/>
      <c r="R217" s="13" t="inlineStr">
        <is>
          <t>-</t>
        </is>
      </c>
      <c r="S217" s="13" t="inlineStr">
        <is>
          <t>current</t>
        </is>
      </c>
      <c r="T217" s="13" t="inlineStr">
        <is>
          <t>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217" s="13" t="inlineStr">
        <is>
          <t>-</t>
        </is>
      </c>
      <c r="V217" s="13" t="inlineStr">
        <is>
          <t>P8-EU</t>
        </is>
      </c>
    </row>
    <row r="218">
      <c r="A218" s="13" t="inlineStr">
        <is>
          <t>eca</t>
        </is>
      </c>
      <c r="B218" s="13" t="inlineStr">
        <is>
          <t>italy</t>
        </is>
      </c>
      <c r="C218" s="13" t="inlineStr">
        <is>
          <t>ITA</t>
        </is>
      </c>
      <c r="D218" s="13" t="inlineStr">
        <is>
          <t>Italy</t>
        </is>
      </c>
      <c r="E218" s="13" t="inlineStr">
        <is>
          <t>Sezamo.it</t>
        </is>
      </c>
      <c r="F218" s="13" t="inlineStr">
        <is>
          <t>https://www.sezamo.it/</t>
        </is>
      </c>
      <c r="G218" s="13" t="inlineStr">
        <is>
          <t>PROBED - SKIP</t>
        </is>
      </c>
      <c r="H218" s="13" t="inlineStr">
        <is>
          <t>SKIP</t>
        </is>
      </c>
      <c r="I218" s="13" t="inlineStr">
        <is>
          <t>high</t>
        </is>
      </c>
      <c r="J218" s="13" t="n">
        <v>0</v>
      </c>
      <c r="K218" s="13" t="inlineStr"/>
      <c r="L218" s="13" t="inlineStr">
        <is>
          <t>GET / -&gt; HTTP 403 Cloudflare 'Just a moment...' challenge. Also tried the documented Rohlik endpoint directly (/services/frontend-service/products?offset=0&amp;limit=5) -&gt; also 403 same Cloudflare challenge.</t>
        </is>
      </c>
      <c r="M218" s="13" t="inlineStr">
        <is>
          <t>ACCEPT</t>
        </is>
      </c>
      <c r="N218" s="13" t="inlineStr">
        <is>
          <t>B - moderate effort</t>
        </is>
      </c>
      <c r="O218" s="13" t="n">
        <v>4</v>
      </c>
      <c r="P218" s="13" t="inlineStr">
        <is>
          <t>Custom (Rohlik stack)</t>
        </is>
      </c>
      <c r="Q218" s="13" t="inlineStr"/>
      <c r="R218" s="13" t="inlineStr">
        <is>
          <t>/services/frontend-service/products</t>
        </is>
      </c>
      <c r="S218" s="13" t="inlineStr">
        <is>
          <t>current, was_price, unit_price, promo_end_date</t>
        </is>
      </c>
      <c r="T218" s="13" t="inlineStr">
        <is>
          <t>Rohlik-family Italy - same adapter as Kifli/Gurkerl/Knuspr.</t>
        </is>
      </c>
      <c r="U218" s="13" t="inlineStr">
        <is>
          <t>-</t>
        </is>
      </c>
      <c r="V218" s="13" t="inlineStr">
        <is>
          <t>P8-EU</t>
        </is>
      </c>
    </row>
    <row r="219">
      <c r="A219" s="13" t="inlineStr">
        <is>
          <t>eca</t>
        </is>
      </c>
      <c r="B219" s="13" t="inlineStr">
        <is>
          <t>italy</t>
        </is>
      </c>
      <c r="C219" s="13" t="inlineStr">
        <is>
          <t>ITA</t>
        </is>
      </c>
      <c r="D219" s="13" t="inlineStr">
        <is>
          <t>Italy</t>
        </is>
      </c>
      <c r="E219" s="13" t="inlineStr">
        <is>
          <t>Conad</t>
        </is>
      </c>
      <c r="F219" s="13" t="inlineStr">
        <is>
          <t>https://spesaonline.conad.it/</t>
        </is>
      </c>
      <c r="G219" s="13" t="inlineStr">
        <is>
          <t>PROBED - VIABLE</t>
        </is>
      </c>
      <c r="H219" s="13" t="inlineStr">
        <is>
          <t>TIER_1A</t>
        </is>
      </c>
      <c r="I219" s="13" t="inlineStr">
        <is>
          <t>low</t>
        </is>
      </c>
      <c r="J219" s="13" t="n">
        <v>170</v>
      </c>
      <c r="K219" s="13" t="inlineStr">
        <is>
          <t>/p/&lt;slug&gt;--&lt;id&gt;</t>
        </is>
      </c>
      <c r="L219" s="13" t="inlineStr">
        <is>
          <t>GET / -&gt; 200, 475KB, Sapo/Next hybrid. 15 unique real /p/&lt;slug&gt;--&lt;id&gt; product links on the homepage alone, spanning mozzarella, organic eggs, free-range eggs, water, chicken breast, carrots, toilet paper. EUR prices in SSR HTML (6,55 €, 2,49€, 5,24 €, 1,99€ ...).</t>
        </is>
      </c>
      <c r="M219" s="13" t="inlineStr">
        <is>
          <t>ACCEPT</t>
        </is>
      </c>
      <c r="N219" s="13" t="inlineStr">
        <is>
          <t>C - engineering required</t>
        </is>
      </c>
      <c r="O219" s="13" t="n">
        <v>3</v>
      </c>
      <c r="P219" s="13" t="inlineStr">
        <is>
          <t>Custom</t>
        </is>
      </c>
      <c r="Q219" s="13" t="inlineStr"/>
      <c r="R219" s="13" t="inlineStr">
        <is>
          <t>-</t>
        </is>
      </c>
      <c r="S219" s="13" t="inlineStr">
        <is>
          <t>current</t>
        </is>
      </c>
      <c r="T219" s="13" t="inlineStr">
        <is>
          <t>Largest Italian chain by share; also fragmented into Conad City, Conad Tuday, Spazio Conad.</t>
        </is>
      </c>
      <c r="U219" s="13" t="inlineStr">
        <is>
          <t>-</t>
        </is>
      </c>
      <c r="V219" s="13" t="inlineStr">
        <is>
          <t>P8-EU</t>
        </is>
      </c>
    </row>
    <row r="220">
      <c r="A220" s="13" t="inlineStr">
        <is>
          <t>eca</t>
        </is>
      </c>
      <c r="B220" s="13" t="inlineStr">
        <is>
          <t>kazakhstan</t>
        </is>
      </c>
      <c r="C220" s="13" t="inlineStr">
        <is>
          <t>KAZ</t>
        </is>
      </c>
      <c r="D220" s="13" t="inlineStr">
        <is>
          <t>Kazakhstan</t>
        </is>
      </c>
      <c r="E220" s="13" t="inlineStr">
        <is>
          <t>Airba Fresh</t>
        </is>
      </c>
      <c r="F220" s="13" t="inlineStr">
        <is>
          <t>https://airba.kz/</t>
        </is>
      </c>
      <c r="G220" s="13" t="inlineStr">
        <is>
          <t>PROBED - SKIP</t>
        </is>
      </c>
      <c r="H220" s="13" t="inlineStr">
        <is>
          <t>SKIP</t>
        </is>
      </c>
      <c r="I220" s="13" t="inlineStr">
        <is>
          <t>high</t>
        </is>
      </c>
      <c r="J220" s="13" t="n">
        <v>0</v>
      </c>
      <c r="K220" s="13" t="inlineStr">
        <is>
          <t>blocked</t>
        </is>
      </c>
      <c r="L220" s="13" t="inlineStr">
        <is>
          <t>curl 403 Forbidden, generic nginx block page (548 bytes)</t>
        </is>
      </c>
      <c r="M220" s="13" t="inlineStr">
        <is>
          <t>SUSPECT</t>
        </is>
      </c>
      <c r="N220" s="13" t="inlineStr">
        <is>
          <t>not scored</t>
        </is>
      </c>
      <c r="O220" s="13" t="inlineStr"/>
      <c r="P220" s="13" t="inlineStr">
        <is>
          <t>Custom</t>
        </is>
      </c>
      <c r="Q220" s="13" t="inlineStr">
        <is>
          <t>KZT</t>
        </is>
      </c>
      <c r="R220" s="13" t="inlineStr">
        <is>
          <t>-</t>
        </is>
      </c>
      <c r="S220" s="13" t="inlineStr">
        <is>
          <t>-</t>
        </is>
      </c>
      <c r="T220" s="13" t="inlineStr">
        <is>
          <t>Farm dairy, artisan bread, fresh produce; strong own-brand and VkusVill lines.</t>
        </is>
      </c>
      <c r="U220" s="13" t="inlineStr">
        <is>
          <t>-</t>
        </is>
      </c>
      <c r="V220" s="13" t="inlineStr">
        <is>
          <t>P4</t>
        </is>
      </c>
    </row>
    <row r="221">
      <c r="A221" s="13" t="inlineStr">
        <is>
          <t>eca</t>
        </is>
      </c>
      <c r="B221" s="13" t="inlineStr">
        <is>
          <t>kazakhstan</t>
        </is>
      </c>
      <c r="C221" s="13" t="inlineStr">
        <is>
          <t>KAZ</t>
        </is>
      </c>
      <c r="D221" s="13" t="inlineStr">
        <is>
          <t>Kazakhstan</t>
        </is>
      </c>
      <c r="E221" s="13" t="inlineStr">
        <is>
          <t>Airba Fresh</t>
        </is>
      </c>
      <c r="F221" s="13" t="inlineStr">
        <is>
          <t>https://airba.kz/</t>
        </is>
      </c>
      <c r="G221" s="13" t="inlineStr">
        <is>
          <t>PROBED - SKIP</t>
        </is>
      </c>
      <c r="H221" s="13" t="inlineStr">
        <is>
          <t>SKIP</t>
        </is>
      </c>
      <c r="I221" s="13" t="inlineStr">
        <is>
          <t>high</t>
        </is>
      </c>
      <c r="J221" s="13" t="n">
        <v>0</v>
      </c>
      <c r="K221" s="13" t="inlineStr">
        <is>
          <t>blocked</t>
        </is>
      </c>
      <c r="L221" s="13" t="inlineStr">
        <is>
          <t>curl 403 Forbidden, generic nginx block page (548 bytes)</t>
        </is>
      </c>
      <c r="M221" s="13" t="inlineStr">
        <is>
          <t>SUSPECT</t>
        </is>
      </c>
      <c r="N221" s="13" t="inlineStr">
        <is>
          <t>C - engineering required</t>
        </is>
      </c>
      <c r="O221" s="13" t="n">
        <v>3</v>
      </c>
      <c r="P221" s="13" t="inlineStr">
        <is>
          <t>Custom</t>
        </is>
      </c>
      <c r="Q221" s="13" t="inlineStr">
        <is>
          <t>KZT</t>
        </is>
      </c>
      <c r="R221" s="13" t="inlineStr">
        <is>
          <t>-</t>
        </is>
      </c>
      <c r="S221" s="13" t="inlineStr">
        <is>
          <t>current</t>
        </is>
      </c>
      <c r="T221" s="13" t="inlineStr">
        <is>
          <t>Farm dairy, artisan bread, own-brand and VkusVill lines.</t>
        </is>
      </c>
      <c r="U221" s="13" t="inlineStr">
        <is>
          <t>-</t>
        </is>
      </c>
      <c r="V221" s="13" t="inlineStr">
        <is>
          <t>P6</t>
        </is>
      </c>
    </row>
    <row r="222">
      <c r="A222" s="13" t="inlineStr">
        <is>
          <t>eca</t>
        </is>
      </c>
      <c r="B222" s="13" t="inlineStr">
        <is>
          <t>kazakhstan</t>
        </is>
      </c>
      <c r="C222" s="13" t="inlineStr">
        <is>
          <t>KAZ</t>
        </is>
      </c>
      <c r="D222" s="13" t="inlineStr">
        <is>
          <t>Kazakhstan</t>
        </is>
      </c>
      <c r="E222" s="13" t="inlineStr">
        <is>
          <t>Ryadom (Chocofamily)</t>
        </is>
      </c>
      <c r="F222" s="13" t="inlineStr">
        <is>
          <t>https://landing.ryadom.kz/</t>
        </is>
      </c>
      <c r="G222" s="13" t="inlineStr">
        <is>
          <t>PROBED - SKIP</t>
        </is>
      </c>
      <c r="H222" s="13" t="inlineStr">
        <is>
          <t>SKIP</t>
        </is>
      </c>
      <c r="I222" s="13" t="inlineStr">
        <is>
          <t>high</t>
        </is>
      </c>
      <c r="J222" s="13" t="n">
        <v>0</v>
      </c>
      <c r="K222" s="13" t="inlineStr">
        <is>
          <t>none via web</t>
        </is>
      </c>
      <c r="L222" s="13" t="inlineStr">
        <is>
          <t>not re-probed; CSV already confirms landing-page-only, catalog lives inside the Choco super-app, ARCHIVE verdict</t>
        </is>
      </c>
      <c r="M222" s="13" t="inlineStr">
        <is>
          <t>ARCHIVE</t>
        </is>
      </c>
      <c r="N222" s="13" t="inlineStr">
        <is>
          <t>D - hard / app / index only</t>
        </is>
      </c>
      <c r="O222" s="13" t="n">
        <v>1</v>
      </c>
      <c r="P222" s="13" t="inlineStr">
        <is>
          <t>App-only</t>
        </is>
      </c>
      <c r="Q222" s="13" t="inlineStr">
        <is>
          <t>KZT</t>
        </is>
      </c>
      <c r="R222" s="13" t="inlineStr">
        <is>
          <t>None via web. Would require mobile API interception.</t>
        </is>
      </c>
      <c r="S222" s="13" t="inlineStr">
        <is>
          <t>-</t>
        </is>
      </c>
      <c r="T222" s="13" t="inlineStr">
        <is>
          <t>4,700 SKUs, 15-minute dark-store model, operating 2190 days. But the catalogue lives INSIDE the Choco super-app - the web presence is a landing page only. Real and significant business, no scrapable web catalogue. Logged so a future agent does not waste effort rediscovering it.</t>
        </is>
      </c>
      <c r="U222" s="13" t="inlineStr">
        <is>
          <t>Landing page looks like a storefront but has no products.</t>
        </is>
      </c>
      <c r="V222" s="13" t="inlineStr">
        <is>
          <t>P6</t>
        </is>
      </c>
    </row>
    <row r="223">
      <c r="A223" s="13" t="inlineStr">
        <is>
          <t>eca</t>
        </is>
      </c>
      <c r="B223" s="13" t="inlineStr">
        <is>
          <t>kazakhstan</t>
        </is>
      </c>
      <c r="C223" s="13" t="inlineStr">
        <is>
          <t>KAZ</t>
        </is>
      </c>
      <c r="D223" s="13" t="inlineStr">
        <is>
          <t>Kazakhstan</t>
        </is>
      </c>
      <c r="E223" s="13" t="inlineStr">
        <is>
          <t>Small (Magnum group)</t>
        </is>
      </c>
      <c r="F223" s="13" t="inlineStr">
        <is>
          <t>https://small.kz/</t>
        </is>
      </c>
      <c r="G223" s="13" t="inlineStr">
        <is>
          <t>PROBED - SKIP</t>
        </is>
      </c>
      <c r="H223" s="13" t="inlineStr">
        <is>
          <t>SKIP</t>
        </is>
      </c>
      <c r="I223" s="13" t="inlineStr">
        <is>
          <t>high</t>
        </is>
      </c>
      <c r="J223" s="13" t="n">
        <v>0</v>
      </c>
      <c r="K223" s="13" t="inlineStr">
        <is>
          <t>blocked</t>
        </is>
      </c>
      <c r="L223" s="13" t="inlineStr">
        <is>
          <t>curl 403 title 'Just a moment...' Cloudflare interactive challenge</t>
        </is>
      </c>
      <c r="M223" s="13" t="inlineStr">
        <is>
          <t>ACCEPT</t>
        </is>
      </c>
      <c r="N223" s="13" t="inlineStr">
        <is>
          <t>not scored</t>
        </is>
      </c>
      <c r="O223" s="13" t="inlineStr"/>
      <c r="P223" s="13" t="inlineStr">
        <is>
          <t>Custom</t>
        </is>
      </c>
      <c r="Q223" s="13" t="inlineStr">
        <is>
          <t>KZT</t>
        </is>
      </c>
      <c r="R223" s="13" t="inlineStr">
        <is>
          <t>-</t>
        </is>
      </c>
      <c r="S223" s="13" t="inlineStr">
        <is>
          <t>-</t>
        </is>
      </c>
      <c r="T223" s="13" t="inlineStr">
        <is>
          <t>Major Kazakh supermarket chain, live on Wolt with discounts to -40%.</t>
        </is>
      </c>
      <c r="U223" s="13" t="inlineStr">
        <is>
          <t>-</t>
        </is>
      </c>
      <c r="V223" s="13" t="inlineStr">
        <is>
          <t>P4</t>
        </is>
      </c>
    </row>
    <row r="224">
      <c r="A224" s="13" t="inlineStr">
        <is>
          <t>eca</t>
        </is>
      </c>
      <c r="B224" s="13" t="inlineStr">
        <is>
          <t>kazakhstan</t>
        </is>
      </c>
      <c r="C224" s="13" t="inlineStr">
        <is>
          <t>KAZ</t>
        </is>
      </c>
      <c r="D224" s="13" t="inlineStr">
        <is>
          <t>Kazakhstan</t>
        </is>
      </c>
      <c r="E224" s="13" t="inlineStr">
        <is>
          <t>Small (Magnum group)</t>
        </is>
      </c>
      <c r="F224" s="13" t="inlineStr">
        <is>
          <t>https://small.kz/</t>
        </is>
      </c>
      <c r="G224" s="13" t="inlineStr">
        <is>
          <t>PROBED - SKIP</t>
        </is>
      </c>
      <c r="H224" s="13" t="inlineStr">
        <is>
          <t>SKIP</t>
        </is>
      </c>
      <c r="I224" s="13" t="inlineStr">
        <is>
          <t>high</t>
        </is>
      </c>
      <c r="J224" s="13" t="n">
        <v>0</v>
      </c>
      <c r="K224" s="13" t="inlineStr">
        <is>
          <t>blocked</t>
        </is>
      </c>
      <c r="L224" s="13" t="inlineStr">
        <is>
          <t>curl 403 title 'Just a moment...' Cloudflare interactive challenge</t>
        </is>
      </c>
      <c r="M224" s="13" t="inlineStr">
        <is>
          <t>ACCEPT</t>
        </is>
      </c>
      <c r="N224" s="13" t="inlineStr">
        <is>
          <t>C - engineering required</t>
        </is>
      </c>
      <c r="O224" s="13" t="n">
        <v>3</v>
      </c>
      <c r="P224" s="13" t="inlineStr">
        <is>
          <t>Custom</t>
        </is>
      </c>
      <c r="Q224" s="13" t="inlineStr">
        <is>
          <t>KZT</t>
        </is>
      </c>
      <c r="R224" s="13" t="inlineStr">
        <is>
          <t>-</t>
        </is>
      </c>
      <c r="S224" s="13" t="inlineStr">
        <is>
          <t>current, discount_pct</t>
        </is>
      </c>
      <c r="T224" s="13" t="inlineStr">
        <is>
          <t>Discount banner of the Magnum group; useful as a within-group format comparison.</t>
        </is>
      </c>
      <c r="U224" s="13" t="inlineStr">
        <is>
          <t>-</t>
        </is>
      </c>
      <c r="V224" s="13" t="inlineStr">
        <is>
          <t>P6</t>
        </is>
      </c>
    </row>
    <row r="225">
      <c r="A225" s="13" t="inlineStr">
        <is>
          <t>eca</t>
        </is>
      </c>
      <c r="B225" s="13" t="inlineStr">
        <is>
          <t>kazakhstan</t>
        </is>
      </c>
      <c r="C225" s="13" t="inlineStr">
        <is>
          <t>KAZ</t>
        </is>
      </c>
      <c r="D225" s="13" t="inlineStr">
        <is>
          <t>Kazakhstan</t>
        </is>
      </c>
      <c r="E225" s="13" t="inlineStr">
        <is>
          <t>Arbuz.kz</t>
        </is>
      </c>
      <c r="F225" s="13" t="inlineStr">
        <is>
          <t>https://arbuz.kz/</t>
        </is>
      </c>
      <c r="G225" s="13" t="inlineStr">
        <is>
          <t>PROBED - VIABLE</t>
        </is>
      </c>
      <c r="H225" s="13" t="inlineStr">
        <is>
          <t>TIER_2</t>
        </is>
      </c>
      <c r="I225" s="13" t="inlineStr">
        <is>
          <t>medium</t>
        </is>
      </c>
      <c r="J225" s="13" t="n">
        <v>0</v>
      </c>
      <c r="K225" s="13" t="inlineStr">
        <is>
          <t>not found</t>
        </is>
      </c>
      <c r="L225" s="13" t="inlineStr">
        <is>
          <t>curl 200, 1.03MB homepage, no catalog links or price pattern matched</t>
        </is>
      </c>
      <c r="M225" s="13" t="inlineStr">
        <is>
          <t>ACCEPT</t>
        </is>
      </c>
      <c r="N225" s="13" t="inlineStr">
        <is>
          <t>not scored</t>
        </is>
      </c>
      <c r="O225" s="13" t="inlineStr"/>
      <c r="P225" s="13" t="inlineStr">
        <is>
          <t>Custom</t>
        </is>
      </c>
      <c r="Q225" s="13" t="inlineStr">
        <is>
          <t>KZT</t>
        </is>
      </c>
      <c r="R225" s="13" t="inlineStr">
        <is>
          <t>-</t>
        </is>
      </c>
      <c r="S225" s="13" t="inlineStr">
        <is>
          <t>-</t>
        </is>
      </c>
      <c r="T225" s="13" t="inlineStr">
        <is>
          <t>Major national online grocer with KZT list/discount pairs and detailed product copy.</t>
        </is>
      </c>
      <c r="U225" s="13" t="inlineStr">
        <is>
          <t>-</t>
        </is>
      </c>
      <c r="V225" s="13" t="inlineStr">
        <is>
          <t>P4</t>
        </is>
      </c>
    </row>
    <row r="226">
      <c r="A226" s="13" t="inlineStr">
        <is>
          <t>eca</t>
        </is>
      </c>
      <c r="B226" s="13" t="inlineStr">
        <is>
          <t>kazakhstan</t>
        </is>
      </c>
      <c r="C226" s="13" t="inlineStr">
        <is>
          <t>KAZ</t>
        </is>
      </c>
      <c r="D226" s="13" t="inlineStr">
        <is>
          <t>Kazakhstan</t>
        </is>
      </c>
      <c r="E226" s="13" t="inlineStr">
        <is>
          <t>Arbuz.kz</t>
        </is>
      </c>
      <c r="F226" s="13" t="inlineStr">
        <is>
          <t>https://arbuz.kz/</t>
        </is>
      </c>
      <c r="G226" s="13" t="inlineStr">
        <is>
          <t>PROBED - VIABLE</t>
        </is>
      </c>
      <c r="H226" s="13" t="inlineStr">
        <is>
          <t>TIER_2</t>
        </is>
      </c>
      <c r="I226" s="13" t="inlineStr">
        <is>
          <t>medium</t>
        </is>
      </c>
      <c r="J226" s="13" t="n">
        <v>0</v>
      </c>
      <c r="K226" s="13" t="inlineStr">
        <is>
          <t>not found</t>
        </is>
      </c>
      <c r="L226" s="13" t="inlineStr">
        <is>
          <t>curl 200, 1.03MB homepage, no catalog links or price pattern matched</t>
        </is>
      </c>
      <c r="M226" s="13" t="inlineStr">
        <is>
          <t>ACCEPT</t>
        </is>
      </c>
      <c r="N226" s="13" t="inlineStr">
        <is>
          <t>C - engineering required</t>
        </is>
      </c>
      <c r="O226" s="13" t="n">
        <v>3</v>
      </c>
      <c r="P226" s="13" t="inlineStr">
        <is>
          <t>Custom</t>
        </is>
      </c>
      <c r="Q226" s="13" t="inlineStr">
        <is>
          <t>KZT</t>
        </is>
      </c>
      <c r="R226" s="13" t="inlineStr">
        <is>
          <t>-</t>
        </is>
      </c>
      <c r="S226" s="13" t="inlineStr">
        <is>
          <t>current, was_price</t>
        </is>
      </c>
      <c r="T226" s="13" t="inlineStr">
        <is>
          <t>Major national online grocer.</t>
        </is>
      </c>
      <c r="U226" s="13" t="inlineStr">
        <is>
          <t>-</t>
        </is>
      </c>
      <c r="V226" s="13" t="inlineStr">
        <is>
          <t>P6</t>
        </is>
      </c>
    </row>
    <row r="227">
      <c r="A227" s="13" t="inlineStr">
        <is>
          <t>eca</t>
        </is>
      </c>
      <c r="B227" s="13" t="inlineStr">
        <is>
          <t>kazakhstan</t>
        </is>
      </c>
      <c r="C227" s="13" t="inlineStr">
        <is>
          <t>KAZ</t>
        </is>
      </c>
      <c r="D227" s="13" t="inlineStr">
        <is>
          <t>Kazakhstan</t>
        </is>
      </c>
      <c r="E227" s="13" t="inlineStr">
        <is>
          <t>Galmart</t>
        </is>
      </c>
      <c r="F227" s="13" t="inlineStr">
        <is>
          <t>https://galmart.kz/</t>
        </is>
      </c>
      <c r="G227" s="13" t="inlineStr">
        <is>
          <t>PROBED - VIABLE</t>
        </is>
      </c>
      <c r="H227" s="13" t="inlineStr">
        <is>
          <t>TIER_1A</t>
        </is>
      </c>
      <c r="I227" s="13" t="inlineStr">
        <is>
          <t>low</t>
        </is>
      </c>
      <c r="J227" s="13" t="n">
        <v>150</v>
      </c>
      <c r="K227" s="13" t="inlineStr">
        <is>
          <t>SSR HTML</t>
        </is>
      </c>
      <c r="L227" s="13" t="inlineStr">
        <is>
          <t>curl 200, 142KB, real prices in raw HTML: '2 650₸', '2 850₸', '1 456₸', '1 835₸', '2 310₸', '2 100₸'</t>
        </is>
      </c>
      <c r="M227" s="13" t="inlineStr">
        <is>
          <t>ACCEPT</t>
        </is>
      </c>
      <c r="N227" s="13" t="inlineStr">
        <is>
          <t>C - engineering required</t>
        </is>
      </c>
      <c r="O227" s="13" t="n">
        <v>3</v>
      </c>
      <c r="P227" s="13" t="inlineStr">
        <is>
          <t>Custom</t>
        </is>
      </c>
      <c r="Q227" s="13" t="inlineStr">
        <is>
          <t>KZT</t>
        </is>
      </c>
      <c r="R227" s="13" t="inlineStr">
        <is>
          <t>Set address, then walk /catalog/search.</t>
        </is>
      </c>
      <c r="S227" s="13" t="inlineStr">
        <is>
          <t>current, weight_flag</t>
        </is>
      </c>
      <c r="T227" s="13" t="inlineStr">
        <is>
          <t>Premium Astana chain with an extremely deep category tree (mare/camel/goat milk are separate categories - locally important dairy that generic taxonomies miss). Flags items where sub-1kg ordering is possible.</t>
        </is>
      </c>
      <c r="U227" s="13" t="inlineStr">
        <is>
          <t>Delivery address must be set before the catalogue populates.</t>
        </is>
      </c>
      <c r="V227" s="13" t="inlineStr">
        <is>
          <t>P6</t>
        </is>
      </c>
    </row>
    <row r="228">
      <c r="A228" s="13" t="inlineStr">
        <is>
          <t>eca</t>
        </is>
      </c>
      <c r="B228" s="13" t="inlineStr">
        <is>
          <t>kazakhstan</t>
        </is>
      </c>
      <c r="C228" s="13" t="inlineStr">
        <is>
          <t>KAZ</t>
        </is>
      </c>
      <c r="D228" s="13" t="inlineStr">
        <is>
          <t>Kazakhstan</t>
        </is>
      </c>
      <c r="E228" s="13" t="inlineStr">
        <is>
          <t>GroceryKZ</t>
        </is>
      </c>
      <c r="F228" s="13" t="inlineStr">
        <is>
          <t>https://grocerykz.com/</t>
        </is>
      </c>
      <c r="G228" s="13" t="inlineStr">
        <is>
          <t>PROBED - VIABLE</t>
        </is>
      </c>
      <c r="H228" s="13" t="inlineStr">
        <is>
          <t>TIER_1A</t>
        </is>
      </c>
      <c r="I228" s="13" t="inlineStr">
        <is>
          <t>low</t>
        </is>
      </c>
      <c r="J228" s="13" t="n">
        <v>120</v>
      </c>
      <c r="K228" s="13" t="inlineStr">
        <is>
          <t>SSR HTML</t>
        </is>
      </c>
      <c r="L228" s="13" t="inlineStr">
        <is>
          <t>curl 200, 164KB, real prices in raw HTML: '3 750 KZT', '4 650 KZT', '2 450 KZT', '2 250 KZT', '16 900 KZT'</t>
        </is>
      </c>
      <c r="M228" s="13" t="inlineStr">
        <is>
          <t>ACCEPT</t>
        </is>
      </c>
      <c r="N228" s="13" t="inlineStr">
        <is>
          <t>not scored</t>
        </is>
      </c>
      <c r="O228" s="13" t="inlineStr"/>
      <c r="P228" s="13" t="inlineStr">
        <is>
          <t>Custom</t>
        </is>
      </c>
      <c r="Q228" s="13" t="inlineStr">
        <is>
          <t>KZT</t>
        </is>
      </c>
      <c r="R228" s="13" t="inlineStr">
        <is>
          <t>-</t>
        </is>
      </c>
      <c r="S228" s="13" t="inlineStr">
        <is>
          <t>-</t>
        </is>
      </c>
      <c r="T228" s="13" t="inlineStr">
        <is>
          <t>KZT per-piece pricing with stock flags and a full category tree. English interface.</t>
        </is>
      </c>
      <c r="U228" s="13" t="inlineStr">
        <is>
          <t>-</t>
        </is>
      </c>
      <c r="V228" s="13" t="inlineStr">
        <is>
          <t>P4</t>
        </is>
      </c>
    </row>
    <row r="229">
      <c r="A229" s="13" t="inlineStr">
        <is>
          <t>eca</t>
        </is>
      </c>
      <c r="B229" s="13" t="inlineStr">
        <is>
          <t>kazakhstan</t>
        </is>
      </c>
      <c r="C229" s="13" t="inlineStr">
        <is>
          <t>KAZ</t>
        </is>
      </c>
      <c r="D229" s="13" t="inlineStr">
        <is>
          <t>Kazakhstan</t>
        </is>
      </c>
      <c r="E229" s="13" t="inlineStr">
        <is>
          <t>GroceryKZ</t>
        </is>
      </c>
      <c r="F229" s="13" t="inlineStr">
        <is>
          <t>https://grocerykz.com/</t>
        </is>
      </c>
      <c r="G229" s="13" t="inlineStr">
        <is>
          <t>PROBED - VIABLE</t>
        </is>
      </c>
      <c r="H229" s="13" t="inlineStr">
        <is>
          <t>TIER_1A</t>
        </is>
      </c>
      <c r="I229" s="13" t="inlineStr">
        <is>
          <t>low</t>
        </is>
      </c>
      <c r="J229" s="13" t="n">
        <v>120</v>
      </c>
      <c r="K229" s="13" t="inlineStr">
        <is>
          <t>SSR HTML</t>
        </is>
      </c>
      <c r="L229" s="13" t="inlineStr">
        <is>
          <t>curl 200, 164KB, real prices in raw HTML: '3 750 KZT', '4 650 KZT', '2 450 KZT', '2 250 KZT', '16 900 KZT'</t>
        </is>
      </c>
      <c r="M229" s="13" t="inlineStr">
        <is>
          <t>ACCEPT</t>
        </is>
      </c>
      <c r="N229" s="13" t="inlineStr">
        <is>
          <t>C - engineering required</t>
        </is>
      </c>
      <c r="O229" s="13" t="n">
        <v>3</v>
      </c>
      <c r="P229" s="13" t="inlineStr">
        <is>
          <t>Custom</t>
        </is>
      </c>
      <c r="Q229" s="13" t="inlineStr">
        <is>
          <t>KZT</t>
        </is>
      </c>
      <c r="R229" s="13" t="inlineStr">
        <is>
          <t>-</t>
        </is>
      </c>
      <c r="S229" s="13" t="inlineStr">
        <is>
          <t>current, stock_flag</t>
        </is>
      </c>
      <c r="T229" s="13" t="inlineStr">
        <is>
          <t>English interface, per-piece KZT pricing with stock flags.</t>
        </is>
      </c>
      <c r="U229" s="13" t="inlineStr">
        <is>
          <t>STALE-BY-REGION: withdrew from Tengiz from 10 April 2025 while trading normally elsewhere. Geographic coverage needs its own periodic check, separate from site liveness.</t>
        </is>
      </c>
      <c r="V229" s="13" t="inlineStr">
        <is>
          <t>P6</t>
        </is>
      </c>
    </row>
    <row r="230">
      <c r="A230" s="13" t="inlineStr">
        <is>
          <t>eca</t>
        </is>
      </c>
      <c r="B230" s="13" t="inlineStr">
        <is>
          <t>kazakhstan</t>
        </is>
      </c>
      <c r="C230" s="13" t="inlineStr">
        <is>
          <t>KAZ</t>
        </is>
      </c>
      <c r="D230" s="13" t="inlineStr">
        <is>
          <t>Kazakhstan</t>
        </is>
      </c>
      <c r="E230" s="13" t="inlineStr">
        <is>
          <t>GroceryKZ Tengiz service</t>
        </is>
      </c>
      <c r="F230" s="13" t="inlineStr">
        <is>
          <t>https://grocerykz.com/</t>
        </is>
      </c>
      <c r="G230" s="13" t="inlineStr">
        <is>
          <t>PROBED - VIABLE</t>
        </is>
      </c>
      <c r="H230" s="13" t="inlineStr">
        <is>
          <t>TIER_1A</t>
        </is>
      </c>
      <c r="I230" s="13" t="inlineStr">
        <is>
          <t>low</t>
        </is>
      </c>
      <c r="J230" s="13" t="n">
        <v>120</v>
      </c>
      <c r="K230" s="13" t="inlineStr">
        <is>
          <t>SSR HTML</t>
        </is>
      </c>
      <c r="L230" s="13" t="inlineStr">
        <is>
          <t>curl 200, 164KB, real prices in raw HTML: '3 750 KZT', '4 650 KZT', '2 450 KZT', '2 250 KZT', '16 900 KZT'</t>
        </is>
      </c>
      <c r="M230" s="13" t="inlineStr">
        <is>
          <t>ARCHIVE</t>
        </is>
      </c>
      <c r="N230" s="13" t="inlineStr">
        <is>
          <t>not scored</t>
        </is>
      </c>
      <c r="O230" s="13" t="inlineStr"/>
      <c r="P230" s="13" t="inlineStr">
        <is>
          <t>Custom</t>
        </is>
      </c>
      <c r="Q230" s="13" t="inlineStr">
        <is>
          <t>KZT</t>
        </is>
      </c>
      <c r="R230" s="13" t="inlineStr">
        <is>
          <t>-</t>
        </is>
      </c>
      <c r="S230" s="13" t="inlineStr">
        <is>
          <t>-</t>
        </is>
      </c>
      <c r="T230" s="13" t="inlineStr">
        <is>
          <t>PARTIAL WITHDRAWAL: 'we must stop delivering orders to Tengiz from April 10, 2025'. The main site trades normally. Flagged because a site can go stale REGIONALLY while remaining live - geographic coverage needs its own periodic check.</t>
        </is>
      </c>
      <c r="U230" s="13" t="inlineStr">
        <is>
          <t>-</t>
        </is>
      </c>
      <c r="V230" s="13" t="inlineStr">
        <is>
          <t>P4</t>
        </is>
      </c>
    </row>
    <row r="231">
      <c r="A231" s="13" t="inlineStr">
        <is>
          <t>eca</t>
        </is>
      </c>
      <c r="B231" s="13" t="inlineStr">
        <is>
          <t>kazakhstan</t>
        </is>
      </c>
      <c r="C231" s="13" t="inlineStr">
        <is>
          <t>KAZ</t>
        </is>
      </c>
      <c r="D231" s="13" t="inlineStr">
        <is>
          <t>Kazakhstan</t>
        </is>
      </c>
      <c r="E231" s="13" t="inlineStr">
        <is>
          <t>Instashop.kz</t>
        </is>
      </c>
      <c r="F231" s="13" t="inlineStr">
        <is>
          <t>https://instashop.kz/en/almaty/stores</t>
        </is>
      </c>
      <c r="G231" s="13" t="inlineStr">
        <is>
          <t>PROBED - VIABLE</t>
        </is>
      </c>
      <c r="H231" s="13" t="inlineStr">
        <is>
          <t>TIER_2</t>
        </is>
      </c>
      <c r="I231" s="13" t="inlineStr">
        <is>
          <t>medium</t>
        </is>
      </c>
      <c r="J231" s="13" t="n">
        <v>0</v>
      </c>
      <c r="K231" s="13" t="inlineStr">
        <is>
          <t>not found (store list only)</t>
        </is>
      </c>
      <c r="L231" s="13" t="inlineStr">
        <is>
          <t>curl 200, 60KB - this is the store directory page (by design, no product prices here); need a per-store product listing URL</t>
        </is>
      </c>
      <c r="M231" s="13" t="inlineStr">
        <is>
          <t>ACCEPT</t>
        </is>
      </c>
      <c r="N231" s="13" t="inlineStr">
        <is>
          <t>not scored</t>
        </is>
      </c>
      <c r="O231" s="13" t="inlineStr"/>
      <c r="P231" s="13" t="inlineStr">
        <is>
          <t>Custom</t>
        </is>
      </c>
      <c r="Q231" s="13" t="inlineStr">
        <is>
          <t>KZT</t>
        </is>
      </c>
      <c r="R231" s="13" t="inlineStr">
        <is>
          <t>-</t>
        </is>
      </c>
      <c r="S231" s="13" t="inlineStr">
        <is>
          <t>-</t>
        </is>
      </c>
      <c r="T231" s="13" t="inlineStr">
        <is>
          <t>STRONG: 51+ stores in Almaty alone, 10 cities, 400K+ orders. Explicitly 'prices as in store'. Also carries BAZAAR verticals (Green bazar, Turksib) - rare access to traditional market prices alongside supermarket prices, valuable for formal/informal price gaps.</t>
        </is>
      </c>
      <c r="U231" s="13" t="inlineStr">
        <is>
          <t>-</t>
        </is>
      </c>
      <c r="V231" s="13" t="inlineStr">
        <is>
          <t>P4</t>
        </is>
      </c>
    </row>
    <row r="232">
      <c r="A232" s="13" t="inlineStr">
        <is>
          <t>eca</t>
        </is>
      </c>
      <c r="B232" s="13" t="inlineStr">
        <is>
          <t>kazakhstan</t>
        </is>
      </c>
      <c r="C232" s="13" t="inlineStr">
        <is>
          <t>KAZ</t>
        </is>
      </c>
      <c r="D232" s="13" t="inlineStr">
        <is>
          <t>Kazakhstan</t>
        </is>
      </c>
      <c r="E232" s="13" t="inlineStr">
        <is>
          <t>Instashop.kz</t>
        </is>
      </c>
      <c r="F232" s="13" t="inlineStr">
        <is>
          <t>https://instashop.kz/en/almaty/stores</t>
        </is>
      </c>
      <c r="G232" s="13" t="inlineStr">
        <is>
          <t>PROBED - VIABLE</t>
        </is>
      </c>
      <c r="H232" s="13" t="inlineStr">
        <is>
          <t>TIER_2</t>
        </is>
      </c>
      <c r="I232" s="13" t="inlineStr">
        <is>
          <t>medium</t>
        </is>
      </c>
      <c r="J232" s="13" t="n">
        <v>0</v>
      </c>
      <c r="K232" s="13" t="inlineStr">
        <is>
          <t>not found (store list only)</t>
        </is>
      </c>
      <c r="L232" s="13" t="inlineStr">
        <is>
          <t>curl 200, 60KB - this is the store directory page (by design, no product prices here); need a per-store product listing URL</t>
        </is>
      </c>
      <c r="M232" s="13" t="inlineStr">
        <is>
          <t>ACCEPT</t>
        </is>
      </c>
      <c r="N232" s="13" t="inlineStr">
        <is>
          <t>C - engineering required</t>
        </is>
      </c>
      <c r="O232" s="13" t="n">
        <v>3</v>
      </c>
      <c r="P232" s="13" t="inlineStr">
        <is>
          <t>Custom</t>
        </is>
      </c>
      <c r="Q232" s="13" t="inlineStr">
        <is>
          <t>KZT</t>
        </is>
      </c>
      <c r="R232" s="13" t="inlineStr">
        <is>
          <t>Crawl both the supermarket and bazaar verticals separately and tag channel.</t>
        </is>
      </c>
      <c r="S232" s="13" t="inlineStr">
        <is>
          <t>current</t>
        </is>
      </c>
      <c r="T232" s="13" t="inlineStr">
        <is>
          <t>51+ Almaty stores, 10 cities, 400K orders, explicitly 'prices as in store'. Uniquely also carries TRADITIONAL BAZAAR verticals (Green bazar, Turksib) alongside supermarkets, enabling formal-versus-informal price gap analysis from one source.</t>
        </is>
      </c>
      <c r="U232" s="13" t="inlineStr">
        <is>
          <t>-</t>
        </is>
      </c>
      <c r="V232" s="13" t="inlineStr">
        <is>
          <t>P6</t>
        </is>
      </c>
    </row>
    <row r="233">
      <c r="A233" s="13" t="inlineStr">
        <is>
          <t>eca</t>
        </is>
      </c>
      <c r="B233" s="13" t="inlineStr">
        <is>
          <t>kazakhstan</t>
        </is>
      </c>
      <c r="C233" s="13" t="inlineStr">
        <is>
          <t>KAZ</t>
        </is>
      </c>
      <c r="D233" s="13" t="inlineStr">
        <is>
          <t>Kazakhstan</t>
        </is>
      </c>
      <c r="E233" s="13" t="inlineStr">
        <is>
          <t>Magnum</t>
        </is>
      </c>
      <c r="F233" s="13" t="inlineStr">
        <is>
          <t>https://magnum.kz/</t>
        </is>
      </c>
      <c r="G233" s="13" t="inlineStr">
        <is>
          <t>PROBED - VIABLE</t>
        </is>
      </c>
      <c r="H233" s="13" t="inlineStr">
        <is>
          <t>TIER_2</t>
        </is>
      </c>
      <c r="I233" s="13" t="inlineStr">
        <is>
          <t>medium</t>
        </is>
      </c>
      <c r="J233" s="13" t="n">
        <v>0</v>
      </c>
      <c r="K233" s="13" t="inlineStr">
        <is>
          <t>not found</t>
        </is>
      </c>
      <c r="L233" s="13" t="inlineStr">
        <is>
          <t>curl 200, 748KB, Nuxt detected, no price pattern matched on homepage</t>
        </is>
      </c>
      <c r="M233" s="13" t="inlineStr">
        <is>
          <t>ACCEPT</t>
        </is>
      </c>
      <c r="N233" s="13" t="inlineStr">
        <is>
          <t>C - engineering required</t>
        </is>
      </c>
      <c r="O233" s="13" t="n">
        <v>3</v>
      </c>
      <c r="P233" s="13" t="inlineStr">
        <is>
          <t>Custom</t>
        </is>
      </c>
      <c r="Q233" s="13" t="inlineStr">
        <is>
          <t>KZT</t>
        </is>
      </c>
      <c r="R233" s="13" t="inlineStr">
        <is>
          <t>Crawl the discount catalogue; retain the Kazakh/Russian name pair.</t>
        </is>
      </c>
      <c r="S233" s="13" t="inlineStr">
        <is>
          <t>was_price, current, discount_pct, promo_end_date</t>
        </is>
      </c>
      <c r="T233" s="13" t="inlineStr">
        <is>
          <t>STRONG. Largest Kazakh chain: 200+ branches in 14 cities, 4m shoppers a year, and roughly 50 percent of goods domestically produced. Publishes was/now prices, discount percentages AND promo end dates. Product names appear in BOTH Kazakh and Russian, which is a gift for bilingual item matching. Four store formats (24/7, Super, Express, Daily) - format is a proxy for store type and may carry price differences worth testing.</t>
        </is>
      </c>
      <c r="U233" s="13" t="inlineStr">
        <is>
          <t>Do not assume one price per SKU across formats; check whether format-level pricing differs.</t>
        </is>
      </c>
      <c r="V233" s="13" t="inlineStr">
        <is>
          <t>P6</t>
        </is>
      </c>
    </row>
    <row r="234">
      <c r="A234" s="13" t="inlineStr">
        <is>
          <t>eca</t>
        </is>
      </c>
      <c r="B234" s="13" t="inlineStr">
        <is>
          <t>kazakhstan</t>
        </is>
      </c>
      <c r="C234" s="13" t="inlineStr">
        <is>
          <t>KAZ</t>
        </is>
      </c>
      <c r="D234" s="13" t="inlineStr">
        <is>
          <t>Kazakhstan</t>
        </is>
      </c>
      <c r="E234" s="13" t="inlineStr">
        <is>
          <t>MagnumOpt (wholesale)</t>
        </is>
      </c>
      <c r="F234" s="13" t="inlineStr">
        <is>
          <t>https://magnumopt.kz/</t>
        </is>
      </c>
      <c r="G234" s="13" t="inlineStr">
        <is>
          <t>PROBED - VIABLE</t>
        </is>
      </c>
      <c r="H234" s="13" t="inlineStr">
        <is>
          <t>TIER_2</t>
        </is>
      </c>
      <c r="I234" s="13" t="inlineStr">
        <is>
          <t>medium</t>
        </is>
      </c>
      <c r="J234" s="13" t="n">
        <v>0</v>
      </c>
      <c r="K234" s="13" t="inlineStr">
        <is>
          <t>not found</t>
        </is>
      </c>
      <c r="L234" s="13" t="inlineStr">
        <is>
          <t>curl 200, 466KB homepage, no price pattern matched</t>
        </is>
      </c>
      <c r="M234" s="13" t="inlineStr">
        <is>
          <t>ACCEPT</t>
        </is>
      </c>
      <c r="N234" s="13" t="inlineStr">
        <is>
          <t>C - engineering required</t>
        </is>
      </c>
      <c r="O234" s="13" t="n">
        <v>3</v>
      </c>
      <c r="P234" s="13" t="inlineStr">
        <is>
          <t>Custom</t>
        </is>
      </c>
      <c r="Q234" s="13" t="inlineStr">
        <is>
          <t>KZT</t>
        </is>
      </c>
      <c r="R234" s="13" t="inlineStr">
        <is>
          <t>Compare matched SKUs against magnum.kz.</t>
        </is>
      </c>
      <c r="S234" s="13" t="inlineStr">
        <is>
          <t>wholesale_price</t>
        </is>
      </c>
      <c r="T234" s="13" t="inlineStr">
        <is>
          <t>Magnum's WHOLESALE arm, 6,000+ products, minimum order 100,000 tenge. Pairing this with magnum.kz retail gives a clean wholesale-versus-retail margin series from a SINGLE RETAILER GROUP with a shared product taxonomy - unusually clean identification.</t>
        </is>
      </c>
      <c r="U234" s="13" t="inlineStr">
        <is>
          <t>Requires registration for some pricing; test what is visible anonymously.</t>
        </is>
      </c>
      <c r="V234" s="13" t="inlineStr">
        <is>
          <t>P6</t>
        </is>
      </c>
    </row>
    <row r="235">
      <c r="A235" s="13" t="inlineStr">
        <is>
          <t>eca</t>
        </is>
      </c>
      <c r="B235" s="13" t="inlineStr">
        <is>
          <t>kazakhstan</t>
        </is>
      </c>
      <c r="C235" s="13" t="inlineStr">
        <is>
          <t>KAZ</t>
        </is>
      </c>
      <c r="D235" s="13" t="inlineStr">
        <is>
          <t>Kazakhstan</t>
        </is>
      </c>
      <c r="E235" s="13" t="inlineStr">
        <is>
          <t>Wolt Kazakhstan</t>
        </is>
      </c>
      <c r="F235" s="13" t="inlineStr">
        <is>
          <t>https://wolt.com/en/kaz/almaty/category/supermarkets</t>
        </is>
      </c>
      <c r="G235" s="13" t="inlineStr">
        <is>
          <t>PROBED - VIABLE</t>
        </is>
      </c>
      <c r="H235" s="13" t="inlineStr">
        <is>
          <t>TIER_2</t>
        </is>
      </c>
      <c r="I235" s="13" t="inlineStr">
        <is>
          <t>medium</t>
        </is>
      </c>
      <c r="J235" s="13" t="n">
        <v>0</v>
      </c>
      <c r="K235" s="13" t="inlineStr">
        <is>
          <t>SPA - needs Playwright render</t>
        </is>
      </c>
      <c r="L235" s="13" t="inlineStr">
        <is>
          <t>curl 200, 1.79MB SPA shell; prices render as 'KZT0' placeholder pre-hydration - needs Playwright</t>
        </is>
      </c>
      <c r="M235" s="13" t="inlineStr">
        <is>
          <t>ACCEPT</t>
        </is>
      </c>
      <c r="N235" s="13" t="inlineStr">
        <is>
          <t>not scored</t>
        </is>
      </c>
      <c r="O235" s="13" t="inlineStr"/>
      <c r="P235" s="13" t="inlineStr">
        <is>
          <t>Custom</t>
        </is>
      </c>
      <c r="Q235" s="13" t="inlineStr">
        <is>
          <t>KZT</t>
        </is>
      </c>
      <c r="R235" s="13" t="inlineStr">
        <is>
          <t>-</t>
        </is>
      </c>
      <c r="S235" s="13" t="inlineStr">
        <is>
          <t>-</t>
        </is>
      </c>
      <c r="T235" s="13" t="inlineStr">
        <is>
          <t>Indexes SMALL, TOIMART, Kulikov, damdala, M-Mart, A-Store, Birge Mart, Ruby Market, VkusVill, Eurospar, FlaminGo, Airba Express, Minimarket 116.</t>
        </is>
      </c>
      <c r="U235" s="13" t="inlineStr">
        <is>
          <t>-</t>
        </is>
      </c>
      <c r="V235" s="13" t="inlineStr">
        <is>
          <t>P4</t>
        </is>
      </c>
    </row>
    <row r="236">
      <c r="A236" s="13" t="inlineStr">
        <is>
          <t>eca</t>
        </is>
      </c>
      <c r="B236" s="13" t="inlineStr">
        <is>
          <t>kazakhstan</t>
        </is>
      </c>
      <c r="C236" s="13" t="inlineStr">
        <is>
          <t>KAZ</t>
        </is>
      </c>
      <c r="D236" s="13" t="inlineStr">
        <is>
          <t>Kazakhstan</t>
        </is>
      </c>
      <c r="E236" s="13" t="inlineStr">
        <is>
          <t>Wolt Kazakhstan</t>
        </is>
      </c>
      <c r="F236" s="13" t="inlineStr">
        <is>
          <t>https://wolt.com/en/kaz/almaty/category/supermarkets</t>
        </is>
      </c>
      <c r="G236" s="13" t="inlineStr">
        <is>
          <t>PROBED - VIABLE</t>
        </is>
      </c>
      <c r="H236" s="13" t="inlineStr">
        <is>
          <t>TIER_2</t>
        </is>
      </c>
      <c r="I236" s="13" t="inlineStr">
        <is>
          <t>medium</t>
        </is>
      </c>
      <c r="J236" s="13" t="n">
        <v>0</v>
      </c>
      <c r="K236" s="13" t="inlineStr">
        <is>
          <t>SPA - needs Playwright render</t>
        </is>
      </c>
      <c r="L236" s="13" t="inlineStr">
        <is>
          <t>curl 200, 1.79MB SPA shell; prices render as 'KZT0' placeholder pre-hydration - needs Playwright</t>
        </is>
      </c>
      <c r="M236" s="13" t="inlineStr">
        <is>
          <t>ACCEPT</t>
        </is>
      </c>
      <c r="N236" s="13" t="inlineStr">
        <is>
          <t>C - engineering required</t>
        </is>
      </c>
      <c r="O236" s="13" t="n">
        <v>3</v>
      </c>
      <c r="P236" s="13" t="inlineStr">
        <is>
          <t>Custom</t>
        </is>
      </c>
      <c r="Q236" s="13" t="inlineStr">
        <is>
          <t>KZT</t>
        </is>
      </c>
      <c r="R236" s="13" t="inlineStr">
        <is>
          <t>-</t>
        </is>
      </c>
      <c r="S236" s="13" t="inlineStr">
        <is>
          <t>current</t>
        </is>
      </c>
      <c r="T236" s="13" t="inlineStr">
        <is>
          <t>Enumerates SMALL, TOIMART, Kulikov, damdala, M-Mart, A-Store, Birge Mart, Ruby Market, VkusVill, Eurospar, FlaminGo, Airba Express, Minimarket 116.</t>
        </is>
      </c>
      <c r="U236" s="13" t="inlineStr">
        <is>
          <t>-</t>
        </is>
      </c>
      <c r="V236" s="13" t="inlineStr">
        <is>
          <t>P6</t>
        </is>
      </c>
    </row>
    <row r="237">
      <c r="A237" s="13" t="inlineStr">
        <is>
          <t>eca</t>
        </is>
      </c>
      <c r="B237" s="13" t="inlineStr">
        <is>
          <t>kyrgyz_republic</t>
        </is>
      </c>
      <c r="C237" s="13" t="inlineStr">
        <is>
          <t>KGZ</t>
        </is>
      </c>
      <c r="D237" s="13" t="inlineStr">
        <is>
          <t>Kyrgyz Republic</t>
        </is>
      </c>
      <c r="E237" s="13" t="inlineStr">
        <is>
          <t>Alma Go</t>
        </is>
      </c>
      <c r="F237" s="13" t="inlineStr">
        <is>
          <t>https://almago.kg/</t>
        </is>
      </c>
      <c r="G237" s="13" t="inlineStr">
        <is>
          <t>PROBED - SKIP</t>
        </is>
      </c>
      <c r="H237" s="13" t="inlineStr">
        <is>
          <t>SKIP</t>
        </is>
      </c>
      <c r="I237" s="13" t="inlineStr">
        <is>
          <t>high</t>
        </is>
      </c>
      <c r="J237" s="13" t="n">
        <v>0</v>
      </c>
      <c r="K237" s="13" t="inlineStr"/>
      <c r="L237" s="13" t="inlineStr">
        <is>
          <t>GET / -&gt; 200, 293KB, but zero product links or KGS price patterns found in SSR HTML.</t>
        </is>
      </c>
      <c r="M237" s="13" t="inlineStr">
        <is>
          <t>SUSPECT</t>
        </is>
      </c>
      <c r="N237" s="13" t="inlineStr">
        <is>
          <t>not scored</t>
        </is>
      </c>
      <c r="O237" s="13" t="inlineStr"/>
      <c r="P237" s="13" t="inlineStr">
        <is>
          <t>Custom</t>
        </is>
      </c>
      <c r="Q237" s="13" t="inlineStr">
        <is>
          <t>KGS</t>
        </is>
      </c>
      <c r="R237" s="13" t="inlineStr">
        <is>
          <t>-</t>
        </is>
      </c>
      <c r="S237" s="13" t="inlineStr">
        <is>
          <t>-</t>
        </is>
      </c>
      <c r="T237" s="13" t="inlineStr">
        <is>
          <t>Real dark-store operator, 50K+ app downloads, but the website is a brochure - catalogue is app-only. Prices quoted in som.</t>
        </is>
      </c>
      <c r="U237" s="13" t="inlineStr">
        <is>
          <t>-</t>
        </is>
      </c>
      <c r="V237" s="13" t="inlineStr">
        <is>
          <t>P2</t>
        </is>
      </c>
    </row>
    <row r="238">
      <c r="A238" s="13" t="inlineStr">
        <is>
          <t>eca</t>
        </is>
      </c>
      <c r="B238" s="13" t="inlineStr">
        <is>
          <t>kyrgyz_republic</t>
        </is>
      </c>
      <c r="C238" s="13" t="inlineStr">
        <is>
          <t>KGZ</t>
        </is>
      </c>
      <c r="D238" s="13" t="inlineStr">
        <is>
          <t>Kyrgyz Republic</t>
        </is>
      </c>
      <c r="E238" s="13" t="inlineStr">
        <is>
          <t>Glovo Bishkek - groceries</t>
        </is>
      </c>
      <c r="F238" s="13" t="inlineStr">
        <is>
          <t>https://glovoapp.com/en/kg/bishkek/categories/groceries_4</t>
        </is>
      </c>
      <c r="G238" s="13" t="inlineStr">
        <is>
          <t>PROBED - SKIP</t>
        </is>
      </c>
      <c r="H238" s="13" t="inlineStr">
        <is>
          <t>SKIP</t>
        </is>
      </c>
      <c r="I238" s="13" t="inlineStr">
        <is>
          <t>medium</t>
        </is>
      </c>
      <c r="J238" s="13" t="n">
        <v>0</v>
      </c>
      <c r="K238" s="13" t="inlineStr"/>
      <c r="L238" s="13" t="inlineStr">
        <is>
          <t>Not independently re-probed this round; CSV notes catalogue is client-rendered (SPA).</t>
        </is>
      </c>
      <c r="M238" s="13" t="inlineStr">
        <is>
          <t>SUSPECT</t>
        </is>
      </c>
      <c r="N238" s="13" t="inlineStr">
        <is>
          <t>not scored</t>
        </is>
      </c>
      <c r="O238" s="13" t="inlineStr"/>
      <c r="P238" s="13" t="inlineStr">
        <is>
          <t>Custom</t>
        </is>
      </c>
      <c r="Q238" s="13" t="inlineStr">
        <is>
          <t>KGS</t>
        </is>
      </c>
      <c r="R238" s="13" t="inlineStr">
        <is>
          <t>-</t>
        </is>
      </c>
      <c r="S238" s="13" t="inlineStr">
        <is>
          <t>-</t>
        </is>
      </c>
      <c r="T238" s="13" t="inlineStr">
        <is>
          <t>Live Glovo vertical for Bishkek; catalogue is client-rendered. Use the Glovo adapter.</t>
        </is>
      </c>
      <c r="U238" s="13" t="inlineStr">
        <is>
          <t>-</t>
        </is>
      </c>
      <c r="V238" s="13" t="inlineStr">
        <is>
          <t>P2</t>
        </is>
      </c>
    </row>
    <row r="239">
      <c r="A239" s="13" t="inlineStr">
        <is>
          <t>eca</t>
        </is>
      </c>
      <c r="B239" s="13" t="inlineStr">
        <is>
          <t>kyrgyz_republic</t>
        </is>
      </c>
      <c r="C239" s="13" t="inlineStr">
        <is>
          <t>KGZ</t>
        </is>
      </c>
      <c r="D239" s="13" t="inlineStr">
        <is>
          <t>Kyrgyz Republic</t>
        </is>
      </c>
      <c r="E239" s="13" t="inlineStr">
        <is>
          <t>Globus Online</t>
        </is>
      </c>
      <c r="F239" s="13" t="inlineStr">
        <is>
          <t>https://globus-online.kg/</t>
        </is>
      </c>
      <c r="G239" s="13" t="inlineStr">
        <is>
          <t>PROBED - VIABLE</t>
        </is>
      </c>
      <c r="H239" s="13" t="inlineStr">
        <is>
          <t>TIER_1A</t>
        </is>
      </c>
      <c r="I239" s="13" t="inlineStr">
        <is>
          <t>low</t>
        </is>
      </c>
      <c r="J239" s="13" t="n">
        <v>140</v>
      </c>
      <c r="K239" s="13" t="inlineStr">
        <is>
          <t>/ru-kg/catalog/grocery/category/&lt;hash&gt;</t>
        </is>
      </c>
      <c r="L239" s="13" t="inlineStr">
        <is>
          <t>GET / -&gt; 200, 366KB. Full grocery category tree with real category IDs (/ru-kg/catalog/grocery/category/&lt;hash&gt;), som prices in raw HTML (79,28 сом, 235,47 сом).</t>
        </is>
      </c>
      <c r="M239" s="13" t="inlineStr">
        <is>
          <t>ACCEPT</t>
        </is>
      </c>
      <c r="N239" s="13" t="inlineStr">
        <is>
          <t>not scored</t>
        </is>
      </c>
      <c r="O239" s="13" t="inlineStr"/>
      <c r="P239" s="13" t="inlineStr">
        <is>
          <t>Custom</t>
        </is>
      </c>
      <c r="Q239" s="13" t="inlineStr">
        <is>
          <t>KGS</t>
        </is>
      </c>
      <c r="R239" s="13" t="inlineStr">
        <is>
          <t>-</t>
        </is>
      </c>
      <c r="S239" s="13" t="inlineStr">
        <is>
          <t>-</t>
        </is>
      </c>
      <c r="T239" s="13" t="inlineStr">
        <is>
          <t>STRONG: som prices with list/discount pairs and per-kg pricing (watermelon 23.99 som/kg, buckwheat 99.29 som). Major national chain, 10-minute delivery.</t>
        </is>
      </c>
      <c r="U239" s="13" t="inlineStr">
        <is>
          <t>-</t>
        </is>
      </c>
      <c r="V239" s="13" t="inlineStr">
        <is>
          <t>P2</t>
        </is>
      </c>
    </row>
    <row r="240">
      <c r="A240" s="13" t="inlineStr">
        <is>
          <t>eca</t>
        </is>
      </c>
      <c r="B240" s="13" t="inlineStr">
        <is>
          <t>kyrgyz_republic</t>
        </is>
      </c>
      <c r="C240" s="13" t="inlineStr">
        <is>
          <t>KGZ</t>
        </is>
      </c>
      <c r="D240" s="13" t="inlineStr">
        <is>
          <t>Kyrgyz Republic</t>
        </is>
      </c>
      <c r="E240" s="13" t="inlineStr">
        <is>
          <t>Globus Online</t>
        </is>
      </c>
      <c r="F240" s="13" t="inlineStr">
        <is>
          <t>https://globus-online.kg/</t>
        </is>
      </c>
      <c r="G240" s="13" t="inlineStr">
        <is>
          <t>PROBED - VIABLE</t>
        </is>
      </c>
      <c r="H240" s="13" t="inlineStr">
        <is>
          <t>TIER_1A</t>
        </is>
      </c>
      <c r="I240" s="13" t="inlineStr">
        <is>
          <t>low</t>
        </is>
      </c>
      <c r="J240" s="13" t="n">
        <v>140</v>
      </c>
      <c r="K240" s="13" t="inlineStr">
        <is>
          <t>/ru-kg/catalog/grocery/category/&lt;hash&gt;</t>
        </is>
      </c>
      <c r="L240" s="13" t="inlineStr">
        <is>
          <t>GET / -&gt; 200, 366KB. Full grocery category tree with real category IDs (/ru-kg/catalog/grocery/category/&lt;hash&gt;), som prices in raw HTML (79,28 сом, 235,47 сом).</t>
        </is>
      </c>
      <c r="M240" s="13" t="inlineStr">
        <is>
          <t>ACCEPT</t>
        </is>
      </c>
      <c r="N240" s="13" t="inlineStr">
        <is>
          <t>not scored</t>
        </is>
      </c>
      <c r="O240" s="13" t="inlineStr"/>
      <c r="P240" s="13" t="inlineStr">
        <is>
          <t>Custom</t>
        </is>
      </c>
      <c r="Q240" s="13" t="inlineStr">
        <is>
          <t>KGS</t>
        </is>
      </c>
      <c r="R240" s="13" t="inlineStr">
        <is>
          <t>-</t>
        </is>
      </c>
      <c r="S240" s="13" t="inlineStr">
        <is>
          <t>-</t>
        </is>
      </c>
      <c r="T240" s="13" t="inlineStr">
        <is>
          <t>Confirmed: som prices, list/discount pairs, per-kg produce.</t>
        </is>
      </c>
      <c r="U240" s="13" t="inlineStr">
        <is>
          <t>-</t>
        </is>
      </c>
      <c r="V240" s="13" t="inlineStr">
        <is>
          <t>P4</t>
        </is>
      </c>
    </row>
    <row r="241">
      <c r="A241" s="13" t="inlineStr">
        <is>
          <t>eca</t>
        </is>
      </c>
      <c r="B241" s="13" t="inlineStr">
        <is>
          <t>liechtenstein</t>
        </is>
      </c>
      <c r="C241" s="13" t="inlineStr">
        <is>
          <t>LIE</t>
        </is>
      </c>
      <c r="D241" s="13" t="inlineStr">
        <is>
          <t>Liechtenstein</t>
        </is>
      </c>
      <c r="E241" s="13" t="inlineStr">
        <is>
          <t>Coop / Migros (via CH)</t>
        </is>
      </c>
      <c r="F241" s="13" t="inlineStr">
        <is>
          <t>https://www.coop.ch/</t>
        </is>
      </c>
      <c r="G241" s="13" t="inlineStr">
        <is>
          <t>PROBED - SKIP</t>
        </is>
      </c>
      <c r="H241" s="13" t="inlineStr">
        <is>
          <t>SKIP</t>
        </is>
      </c>
      <c r="I241" s="13" t="inlineStr">
        <is>
          <t>high</t>
        </is>
      </c>
      <c r="J241" s="13" t="n">
        <v>0</v>
      </c>
      <c r="K241" s="13" t="inlineStr">
        <is>
          <t>blocked (DataDome)</t>
        </is>
      </c>
      <c r="L241" s="13" t="inlineStr">
        <is>
          <t>curl 200 (small, 767 bytes) body reads 'Please enable JS and disable any ad blocker' with a 'dd' (DataDome) config object embedded in a data-cfasync script - classic DataDome bot-protection signature</t>
        </is>
      </c>
      <c r="M241" s="13" t="inlineStr">
        <is>
          <t>SUSPECT</t>
        </is>
      </c>
      <c r="N241" s="13" t="inlineStr">
        <is>
          <t>D - hard / app / index only</t>
        </is>
      </c>
      <c r="O241" s="13" t="n">
        <v>2</v>
      </c>
      <c r="P241" s="13" t="inlineStr">
        <is>
          <t>Custom/Enterprise</t>
        </is>
      </c>
      <c r="Q241" s="13" t="inlineStr"/>
      <c r="R241" s="13" t="inlineStr">
        <is>
          <t>-</t>
        </is>
      </c>
      <c r="S241" s="13" t="inlineStr">
        <is>
          <t>current</t>
        </is>
      </c>
      <c r="T241" s="13" t="inlineStr">
        <is>
          <t>Liechtenstein is served by the Swiss chains; coop.ch explicitly delivers there. No separate national retail to scrape.</t>
        </is>
      </c>
      <c r="U241" s="13" t="inlineStr">
        <is>
          <t>Do not double-count with Switzerland.</t>
        </is>
      </c>
      <c r="V241" s="13" t="inlineStr">
        <is>
          <t>P8-EU</t>
        </is>
      </c>
    </row>
    <row r="242">
      <c r="A242" s="13" t="inlineStr">
        <is>
          <t>eca</t>
        </is>
      </c>
      <c r="B242" s="13" t="inlineStr">
        <is>
          <t>lithuania</t>
        </is>
      </c>
      <c r="C242" s="13" t="inlineStr">
        <is>
          <t>LTU</t>
        </is>
      </c>
      <c r="D242" s="13" t="inlineStr">
        <is>
          <t>Lithuania</t>
        </is>
      </c>
      <c r="E242" s="13" t="inlineStr">
        <is>
          <t>IKI</t>
        </is>
      </c>
      <c r="F242" s="13" t="inlineStr">
        <is>
          <t>https://iki.lt/</t>
        </is>
      </c>
      <c r="G242" s="13" t="inlineStr">
        <is>
          <t>PROBED - SKIP</t>
        </is>
      </c>
      <c r="H242" s="13" t="inlineStr">
        <is>
          <t>SKIP</t>
        </is>
      </c>
      <c r="I242" s="13" t="inlineStr">
        <is>
          <t>high</t>
        </is>
      </c>
      <c r="J242" s="13" t="n">
        <v>0</v>
      </c>
      <c r="K242" s="13" t="inlineStr">
        <is>
          <t>blocked</t>
        </is>
      </c>
      <c r="L242" s="13" t="inlineStr">
        <is>
          <t>curl 403 title 'Just a moment...'; Playwright ALSO 403 title 'Just a moment...' (confirmed both channels)</t>
        </is>
      </c>
      <c r="M242" s="13" t="inlineStr">
        <is>
          <t>ACCEPT</t>
        </is>
      </c>
      <c r="N242" s="13" t="inlineStr">
        <is>
          <t>C - engineering required</t>
        </is>
      </c>
      <c r="O242" s="13" t="n">
        <v>3</v>
      </c>
      <c r="P242" s="13" t="inlineStr">
        <is>
          <t>Custom</t>
        </is>
      </c>
      <c r="Q242" s="13" t="inlineStr"/>
      <c r="R242" s="13" t="inlineStr">
        <is>
          <t>-</t>
        </is>
      </c>
      <c r="S242" s="13" t="inlineStr">
        <is>
          <t>current</t>
        </is>
      </c>
      <c r="T242" s="13" t="inlineStr">
        <is>
          <t>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242" s="13" t="inlineStr">
        <is>
          <t>-</t>
        </is>
      </c>
      <c r="V242" s="13" t="inlineStr">
        <is>
          <t>P8-EU</t>
        </is>
      </c>
    </row>
    <row r="243">
      <c r="A243" s="13" t="inlineStr">
        <is>
          <t>eca</t>
        </is>
      </c>
      <c r="B243" s="13" t="inlineStr">
        <is>
          <t>lithuania</t>
        </is>
      </c>
      <c r="C243" s="13" t="inlineStr">
        <is>
          <t>LTU</t>
        </is>
      </c>
      <c r="D243" s="13" t="inlineStr">
        <is>
          <t>Lithuania</t>
        </is>
      </c>
      <c r="E243" s="13" t="inlineStr">
        <is>
          <t>Barbora Lithuania</t>
        </is>
      </c>
      <c r="F243" s="13" t="inlineStr">
        <is>
          <t>https://barbora.lt/</t>
        </is>
      </c>
      <c r="G243" s="13" t="inlineStr">
        <is>
          <t>PROBED - VIABLE</t>
        </is>
      </c>
      <c r="H243" s="13" t="inlineStr">
        <is>
          <t>TIER_2</t>
        </is>
      </c>
      <c r="I243" s="13" t="inlineStr">
        <is>
          <t>medium</t>
        </is>
      </c>
      <c r="J243" s="13" t="n">
        <v>0</v>
      </c>
      <c r="K243" s="13" t="inlineStr">
        <is>
          <t>/api/eshop/v1/category/offertree etc. - CF-gated even for the API, needs a cleared session</t>
        </is>
      </c>
      <c r="L243" s="13" t="inlineStr">
        <is>
          <t>curl 403 title 'Just a moment...' (Cloudflare); Playwright CLEARS the challenge (status 200, title 'BARBORA internetine parduotuve'). Network sniff during the cleared session found internal APIs: /api/eshop/v1/category/offertree (427KB JSON), production-elb.barbora.lt/api/cache/v1/country/LT/categories (214KB), /api/eshop/v1/recommendations/GetHomeRecommendationsInventories (65.7KB) - but a direct plain-curl retest of GetHomeRecommendationsInventories with Origin/Referer still returned 403, meaning the API sits behind the SAME Cloudflare gate and only clears with a real browser session/cf_clearance cookie</t>
        </is>
      </c>
      <c r="M243" s="13" t="inlineStr">
        <is>
          <t>ACCEPT</t>
        </is>
      </c>
      <c r="N243" s="13" t="inlineStr">
        <is>
          <t>C - engineering required</t>
        </is>
      </c>
      <c r="O243" s="13" t="n">
        <v>3</v>
      </c>
      <c r="P243" s="13" t="inlineStr">
        <is>
          <t>Custom</t>
        </is>
      </c>
      <c r="Q243" s="13" t="inlineStr"/>
      <c r="R243" s="13" t="inlineStr">
        <is>
          <t>-</t>
        </is>
      </c>
      <c r="S243" s="13" t="inlineStr">
        <is>
          <t>current</t>
        </is>
      </c>
      <c r="T243" s="13" t="inlineStr">
        <is>
          <t>Maxima group, the original Barbora market.</t>
        </is>
      </c>
      <c r="U243" s="13" t="inlineStr">
        <is>
          <t>Exited Panevezys and Siauliai on 1 Nov 2025.</t>
        </is>
      </c>
      <c r="V243" s="13" t="inlineStr">
        <is>
          <t>P8-EU</t>
        </is>
      </c>
    </row>
    <row r="244">
      <c r="A244" s="13" t="inlineStr">
        <is>
          <t>eca</t>
        </is>
      </c>
      <c r="B244" s="13" t="inlineStr">
        <is>
          <t>lithuania</t>
        </is>
      </c>
      <c r="C244" s="13" t="inlineStr">
        <is>
          <t>LTU</t>
        </is>
      </c>
      <c r="D244" s="13" t="inlineStr">
        <is>
          <t>Lithuania</t>
        </is>
      </c>
      <c r="E244" s="13" t="inlineStr">
        <is>
          <t>Norfa</t>
        </is>
      </c>
      <c r="F244" s="13" t="inlineStr">
        <is>
          <t>https://www.norfa.lt/</t>
        </is>
      </c>
      <c r="G244" s="13" t="inlineStr">
        <is>
          <t>PROBED - VIABLE</t>
        </is>
      </c>
      <c r="H244" s="13" t="inlineStr">
        <is>
          <t>TIER_1A</t>
        </is>
      </c>
      <c r="I244" s="13" t="inlineStr">
        <is>
          <t>low</t>
        </is>
      </c>
      <c r="J244" s="13" t="n">
        <v>90</v>
      </c>
      <c r="K244" s="13" t="inlineStr">
        <is>
          <t>SSR HTML</t>
        </is>
      </c>
      <c r="L244" s="13" t="inlineStr">
        <is>
          <t>curl 200, 110KB, real prices in raw HTML: '0.41 €', '1.99 €', '3.99 €', '5.99 €', '9.99 €'</t>
        </is>
      </c>
      <c r="M244" s="13" t="inlineStr">
        <is>
          <t>ACCEPT</t>
        </is>
      </c>
      <c r="N244" s="13" t="inlineStr">
        <is>
          <t>C - engineering required</t>
        </is>
      </c>
      <c r="O244" s="13" t="n">
        <v>3</v>
      </c>
      <c r="P244" s="13" t="inlineStr">
        <is>
          <t>Custom</t>
        </is>
      </c>
      <c r="Q244" s="13" t="inlineStr"/>
      <c r="R244" s="13" t="inlineStr">
        <is>
          <t>-</t>
        </is>
      </c>
      <c r="S244" s="13" t="inlineStr">
        <is>
          <t>current</t>
        </is>
      </c>
      <c r="T244" s="13" t="inlineStr">
        <is>
          <t>Lithuanian-owned discounter.</t>
        </is>
      </c>
      <c r="U244" s="13" t="inlineStr">
        <is>
          <t>-</t>
        </is>
      </c>
      <c r="V244" s="13" t="inlineStr">
        <is>
          <t>P8-EU</t>
        </is>
      </c>
    </row>
    <row r="245">
      <c r="A245" s="13" t="inlineStr">
        <is>
          <t>eca</t>
        </is>
      </c>
      <c r="B245" s="13" t="inlineStr">
        <is>
          <t>lithuania</t>
        </is>
      </c>
      <c r="C245" s="13" t="inlineStr">
        <is>
          <t>LTU</t>
        </is>
      </c>
      <c r="D245" s="13" t="inlineStr">
        <is>
          <t>Lithuania</t>
        </is>
      </c>
      <c r="E245" s="13" t="inlineStr">
        <is>
          <t>Rimi Lithuania</t>
        </is>
      </c>
      <c r="F245" s="13" t="inlineStr">
        <is>
          <t>https://www.rimi.lt/e-parduotuve/en</t>
        </is>
      </c>
      <c r="G245" s="13" t="inlineStr">
        <is>
          <t>PROBED - VIABLE</t>
        </is>
      </c>
      <c r="H245" s="13" t="inlineStr">
        <is>
          <t>TIER_2</t>
        </is>
      </c>
      <c r="I245" s="13" t="inlineStr">
        <is>
          <t>medium</t>
        </is>
      </c>
      <c r="J245" s="13" t="n">
        <v>0</v>
      </c>
      <c r="K245" s="13" t="inlineStr">
        <is>
          <t>not found</t>
        </is>
      </c>
      <c r="L245" s="13" t="inlineStr">
        <is>
          <t>curl 200, 112KB homepage, no price pattern matched</t>
        </is>
      </c>
      <c r="M245" s="13" t="inlineStr">
        <is>
          <t>ACCEPT</t>
        </is>
      </c>
      <c r="N245" s="13" t="inlineStr">
        <is>
          <t>C - engineering required</t>
        </is>
      </c>
      <c r="O245" s="13" t="n">
        <v>3</v>
      </c>
      <c r="P245" s="13" t="inlineStr">
        <is>
          <t>Custom</t>
        </is>
      </c>
      <c r="Q245" s="13" t="inlineStr"/>
      <c r="R245" s="13" t="inlineStr">
        <is>
          <t>-</t>
        </is>
      </c>
      <c r="S245" s="13" t="inlineStr">
        <is>
          <t>current, was_price, unit_price, lowest_30day</t>
        </is>
      </c>
      <c r="T245" s="13" t="inlineStr">
        <is>
          <t>Same Rimi platform; English interface.</t>
        </is>
      </c>
      <c r="U245" s="13" t="inlineStr">
        <is>
          <t>-</t>
        </is>
      </c>
      <c r="V245" s="13" t="inlineStr">
        <is>
          <t>P8-EU</t>
        </is>
      </c>
    </row>
    <row r="246">
      <c r="A246" s="13" t="inlineStr">
        <is>
          <t>eca</t>
        </is>
      </c>
      <c r="B246" s="13" t="inlineStr">
        <is>
          <t>luxembourg</t>
        </is>
      </c>
      <c r="C246" s="13" t="inlineStr">
        <is>
          <t>LUX</t>
        </is>
      </c>
      <c r="D246" s="13" t="inlineStr">
        <is>
          <t>Luxembourg</t>
        </is>
      </c>
      <c r="E246" s="13" t="inlineStr">
        <is>
          <t>Auchan Luxembourg</t>
        </is>
      </c>
      <c r="F246" s="13" t="inlineStr">
        <is>
          <t>https://www.auchan.lu/</t>
        </is>
      </c>
      <c r="G246" s="13" t="inlineStr">
        <is>
          <t>PROBED - SKIP</t>
        </is>
      </c>
      <c r="H246" s="13" t="inlineStr">
        <is>
          <t>SKIP</t>
        </is>
      </c>
      <c r="I246" s="13" t="inlineStr">
        <is>
          <t>high</t>
        </is>
      </c>
      <c r="J246" s="13" t="n">
        <v>0</v>
      </c>
      <c r="K246" s="13" t="inlineStr"/>
      <c r="L246" s="13" t="inlineStr">
        <is>
          <t>curl -&gt; HTTP 403, 134 bytes.</t>
        </is>
      </c>
      <c r="M246" s="13" t="inlineStr">
        <is>
          <t>ACCEPT</t>
        </is>
      </c>
      <c r="N246" s="13" t="inlineStr">
        <is>
          <t>C - engineering required</t>
        </is>
      </c>
      <c r="O246" s="13" t="n">
        <v>3</v>
      </c>
      <c r="P246" s="13" t="inlineStr">
        <is>
          <t>Custom</t>
        </is>
      </c>
      <c r="Q246" s="13" t="inlineStr"/>
      <c r="R246" s="13" t="inlineStr">
        <is>
          <t>-</t>
        </is>
      </c>
      <c r="S246" s="13" t="inlineStr">
        <is>
          <t>current</t>
        </is>
      </c>
      <c r="T246" s="13" t="inlineStr">
        <is>
          <t>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246" s="13" t="inlineStr">
        <is>
          <t>-</t>
        </is>
      </c>
      <c r="V246" s="13" t="inlineStr">
        <is>
          <t>P8-EU</t>
        </is>
      </c>
    </row>
    <row r="247">
      <c r="A247" s="13" t="inlineStr">
        <is>
          <t>eca</t>
        </is>
      </c>
      <c r="B247" s="13" t="inlineStr">
        <is>
          <t>luxembourg</t>
        </is>
      </c>
      <c r="C247" s="13" t="inlineStr">
        <is>
          <t>LUX</t>
        </is>
      </c>
      <c r="D247" s="13" t="inlineStr">
        <is>
          <t>Luxembourg</t>
        </is>
      </c>
      <c r="E247" s="13" t="inlineStr">
        <is>
          <t>Cactus</t>
        </is>
      </c>
      <c r="F247" s="13" t="inlineStr">
        <is>
          <t>https://www.cactus.lu/</t>
        </is>
      </c>
      <c r="G247" s="13" t="inlineStr">
        <is>
          <t>PROBED - SKIP</t>
        </is>
      </c>
      <c r="H247" s="13" t="inlineStr">
        <is>
          <t>SKIP</t>
        </is>
      </c>
      <c r="I247" s="13" t="inlineStr">
        <is>
          <t>high</t>
        </is>
      </c>
      <c r="J247" s="13" t="n">
        <v>0</v>
      </c>
      <c r="K247" s="13" t="inlineStr"/>
      <c r="L247" s="13" t="inlineStr">
        <is>
          <t>GET / -&gt; 200, 244 bytes, body 'Request Rejected... Your support ID is: &lt;id&gt;' -- an F5/BigIP ASM WAF rejection page, not a real homepage.</t>
        </is>
      </c>
      <c r="M247" s="13" t="inlineStr">
        <is>
          <t>ACCEPT</t>
        </is>
      </c>
      <c r="N247" s="13" t="inlineStr">
        <is>
          <t>C - engineering required</t>
        </is>
      </c>
      <c r="O247" s="13" t="n">
        <v>3</v>
      </c>
      <c r="P247" s="13" t="inlineStr">
        <is>
          <t>Custom</t>
        </is>
      </c>
      <c r="Q247" s="13" t="inlineStr"/>
      <c r="R247" s="13" t="inlineStr">
        <is>
          <t>-</t>
        </is>
      </c>
      <c r="S247" s="13" t="inlineStr">
        <is>
          <t>current</t>
        </is>
      </c>
      <c r="T247" s="13" t="inlineStr">
        <is>
          <t>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247" s="13" t="inlineStr">
        <is>
          <t>-</t>
        </is>
      </c>
      <c r="V247" s="13" t="inlineStr">
        <is>
          <t>P8-EU</t>
        </is>
      </c>
    </row>
    <row r="248">
      <c r="A248" s="13" t="inlineStr">
        <is>
          <t>eca</t>
        </is>
      </c>
      <c r="B248" s="13" t="inlineStr">
        <is>
          <t>luxembourg</t>
        </is>
      </c>
      <c r="C248" s="13" t="inlineStr">
        <is>
          <t>LUX</t>
        </is>
      </c>
      <c r="D248" s="13" t="inlineStr">
        <is>
          <t>Luxembourg</t>
        </is>
      </c>
      <c r="E248" s="13" t="inlineStr">
        <is>
          <t>Delhaize Luxembourg</t>
        </is>
      </c>
      <c r="F248" s="13" t="inlineStr">
        <is>
          <t>https://www.delhaize.lu/</t>
        </is>
      </c>
      <c r="G248" s="13" t="inlineStr">
        <is>
          <t>PROBED - SKIP</t>
        </is>
      </c>
      <c r="H248" s="13" t="inlineStr">
        <is>
          <t>SKIP</t>
        </is>
      </c>
      <c r="I248" s="13" t="inlineStr">
        <is>
          <t>high</t>
        </is>
      </c>
      <c r="J248" s="13" t="n">
        <v>0</v>
      </c>
      <c r="K248" s="13" t="inlineStr"/>
      <c r="L248" s="13" t="inlineStr">
        <is>
          <t>curl -&gt; HTTP 403, 1.0KB.</t>
        </is>
      </c>
      <c r="M248" s="13" t="inlineStr">
        <is>
          <t>ACCEPT</t>
        </is>
      </c>
      <c r="N248" s="13" t="inlineStr">
        <is>
          <t>C - engineering required</t>
        </is>
      </c>
      <c r="O248" s="13" t="n">
        <v>3</v>
      </c>
      <c r="P248" s="13" t="inlineStr">
        <is>
          <t>Custom</t>
        </is>
      </c>
      <c r="Q248" s="13" t="inlineStr"/>
      <c r="R248" s="13" t="inlineStr">
        <is>
          <t>-</t>
        </is>
      </c>
      <c r="S248" s="13" t="inlineStr">
        <is>
          <t>current</t>
        </is>
      </c>
      <c r="T248" s="13" t="inlineStr">
        <is>
          <t>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248" s="13" t="inlineStr">
        <is>
          <t>-</t>
        </is>
      </c>
      <c r="V248" s="13" t="inlineStr">
        <is>
          <t>P8-EU</t>
        </is>
      </c>
    </row>
    <row r="249">
      <c r="A249" s="13" t="inlineStr">
        <is>
          <t>eca</t>
        </is>
      </c>
      <c r="B249" s="13" t="inlineStr">
        <is>
          <t>luxembourg</t>
        </is>
      </c>
      <c r="C249" s="13" t="inlineStr">
        <is>
          <t>LUX</t>
        </is>
      </c>
      <c r="D249" s="13" t="inlineStr">
        <is>
          <t>Luxembourg</t>
        </is>
      </c>
      <c r="E249" s="13" t="inlineStr">
        <is>
          <t>Match Luxembourg</t>
        </is>
      </c>
      <c r="F249" s="13" t="inlineStr">
        <is>
          <t>https://www.supermarchesmatch.lu/</t>
        </is>
      </c>
      <c r="G249" s="13" t="inlineStr">
        <is>
          <t>PROBED - SKIP</t>
        </is>
      </c>
      <c r="H249" s="13" t="inlineStr">
        <is>
          <t>SKIP</t>
        </is>
      </c>
      <c r="I249" s="13" t="inlineStr">
        <is>
          <t>high</t>
        </is>
      </c>
      <c r="J249" s="13" t="n">
        <v>0</v>
      </c>
      <c r="K249" s="13" t="inlineStr"/>
      <c r="L249" s="13" t="inlineStr">
        <is>
          <t>curl --max-time 20 -&gt; connection timeout, no response.</t>
        </is>
      </c>
      <c r="M249" s="13" t="inlineStr">
        <is>
          <t>ACCEPT</t>
        </is>
      </c>
      <c r="N249" s="13" t="inlineStr">
        <is>
          <t>C - engineering required</t>
        </is>
      </c>
      <c r="O249" s="13" t="n">
        <v>3</v>
      </c>
      <c r="P249" s="13" t="inlineStr">
        <is>
          <t>Custom</t>
        </is>
      </c>
      <c r="Q249" s="13" t="inlineStr"/>
      <c r="R249" s="13" t="inlineStr">
        <is>
          <t>-</t>
        </is>
      </c>
      <c r="S249" s="13" t="inlineStr">
        <is>
          <t>current</t>
        </is>
      </c>
      <c r="T249" s="13" t="inlineStr">
        <is>
          <t>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249" s="13" t="inlineStr">
        <is>
          <t>-</t>
        </is>
      </c>
      <c r="V249" s="13" t="inlineStr">
        <is>
          <t>P8-EU</t>
        </is>
      </c>
    </row>
    <row r="250">
      <c r="A250" s="13" t="inlineStr">
        <is>
          <t>eca</t>
        </is>
      </c>
      <c r="B250" s="13" t="inlineStr">
        <is>
          <t>luxembourg</t>
        </is>
      </c>
      <c r="C250" s="13" t="inlineStr">
        <is>
          <t>LUX</t>
        </is>
      </c>
      <c r="D250" s="13" t="inlineStr">
        <is>
          <t>Luxembourg</t>
        </is>
      </c>
      <c r="E250" s="13" t="inlineStr">
        <is>
          <t>Pall Center</t>
        </is>
      </c>
      <c r="F250" s="13" t="inlineStr">
        <is>
          <t>https://www.pallcenter.lu/</t>
        </is>
      </c>
      <c r="G250" s="13" t="inlineStr">
        <is>
          <t>PROBED - SKIP</t>
        </is>
      </c>
      <c r="H250" s="13" t="inlineStr">
        <is>
          <t>SKIP</t>
        </is>
      </c>
      <c r="I250" s="13" t="inlineStr">
        <is>
          <t>high</t>
        </is>
      </c>
      <c r="J250" s="13" t="n">
        <v>0</v>
      </c>
      <c r="K250" s="13" t="inlineStr"/>
      <c r="L250" s="13" t="inlineStr">
        <is>
          <t>GET / -&gt; 200, 147KB (WooCommerce + wp-content + Next signatures in bundle). /wp-json/wc/store/v1/products?per_page=5 -&gt; HTTP 404 'rest_no_route' (Store API not registered). Zero /product/ or /produit/ links found on homepage.</t>
        </is>
      </c>
      <c r="M250" s="13" t="inlineStr">
        <is>
          <t>ACCEPT</t>
        </is>
      </c>
      <c r="N250" s="13" t="inlineStr">
        <is>
          <t>C - engineering required</t>
        </is>
      </c>
      <c r="O250" s="13" t="n">
        <v>3</v>
      </c>
      <c r="P250" s="13" t="inlineStr">
        <is>
          <t>Custom</t>
        </is>
      </c>
      <c r="Q250" s="13" t="inlineStr"/>
      <c r="R250" s="13" t="inlineStr">
        <is>
          <t>-</t>
        </is>
      </c>
      <c r="S250" s="13" t="inlineStr">
        <is>
          <t>current</t>
        </is>
      </c>
      <c r="T250" s="13" t="inlineStr">
        <is>
          <t>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250" s="13" t="inlineStr">
        <is>
          <t>-</t>
        </is>
      </c>
      <c r="V250" s="13" t="inlineStr">
        <is>
          <t>P8-EU</t>
        </is>
      </c>
    </row>
    <row r="251">
      <c r="A251" s="13" t="inlineStr">
        <is>
          <t>eca</t>
        </is>
      </c>
      <c r="B251" s="13" t="inlineStr">
        <is>
          <t>latvia</t>
        </is>
      </c>
      <c r="C251" s="13" t="inlineStr">
        <is>
          <t>LVA</t>
        </is>
      </c>
      <c r="D251" s="13" t="inlineStr">
        <is>
          <t>Latvia</t>
        </is>
      </c>
      <c r="E251" s="13" t="inlineStr">
        <is>
          <t>Barbora Latvia</t>
        </is>
      </c>
      <c r="F251" s="13" t="inlineStr">
        <is>
          <t>https://barbora.lv/</t>
        </is>
      </c>
      <c r="G251" s="13" t="inlineStr">
        <is>
          <t>PROBED - VIABLE</t>
        </is>
      </c>
      <c r="H251" s="13" t="inlineStr">
        <is>
          <t>TIER_2</t>
        </is>
      </c>
      <c r="I251" s="13" t="inlineStr">
        <is>
          <t>medium</t>
        </is>
      </c>
      <c r="J251" s="13" t="n">
        <v>0</v>
      </c>
      <c r="K251" s="13" t="inlineStr"/>
      <c r="L251" s="13" t="inlineStr">
        <is>
          <t>GET -&gt; 200, 55KB, Next/React markers present, no direct price on homepage.</t>
        </is>
      </c>
      <c r="M251" s="13" t="inlineStr">
        <is>
          <t>ACCEPT</t>
        </is>
      </c>
      <c r="N251" s="13" t="inlineStr">
        <is>
          <t>C - engineering required</t>
        </is>
      </c>
      <c r="O251" s="13" t="n">
        <v>3</v>
      </c>
      <c r="P251" s="13" t="inlineStr">
        <is>
          <t>Custom</t>
        </is>
      </c>
      <c r="Q251" s="13" t="inlineStr"/>
      <c r="R251" s="13" t="inlineStr">
        <is>
          <t>-</t>
        </is>
      </c>
      <c r="S251" s="13" t="inlineStr">
        <is>
          <t>current</t>
        </is>
      </c>
      <c r="T251" s="13" t="inlineStr">
        <is>
          <t>8,000+ goods.</t>
        </is>
      </c>
      <c r="U251" s="13" t="inlineStr">
        <is>
          <t>COVERAGE WITHDRAWN from Daugavpils, Liepaja and several regions on 1 Nov 2025. Now only Riga, Jurmala, Olaine, Kekava, Salaspils, Ikskile, Ogre, Jelgava.</t>
        </is>
      </c>
      <c r="V251" s="13" t="inlineStr">
        <is>
          <t>P8-EU</t>
        </is>
      </c>
    </row>
    <row r="252">
      <c r="A252" s="13" t="inlineStr">
        <is>
          <t>eca</t>
        </is>
      </c>
      <c r="B252" s="13" t="inlineStr">
        <is>
          <t>latvia</t>
        </is>
      </c>
      <c r="C252" s="13" t="inlineStr">
        <is>
          <t>LVA</t>
        </is>
      </c>
      <c r="D252" s="13" t="inlineStr">
        <is>
          <t>Latvia</t>
        </is>
      </c>
      <c r="E252" s="13" t="inlineStr">
        <is>
          <t>Elvi</t>
        </is>
      </c>
      <c r="F252" s="13" t="inlineStr">
        <is>
          <t>https://www.elvi.lv/</t>
        </is>
      </c>
      <c r="G252" s="13" t="inlineStr">
        <is>
          <t>PROBED - VIABLE</t>
        </is>
      </c>
      <c r="H252" s="13" t="inlineStr">
        <is>
          <t>TIER_1A</t>
        </is>
      </c>
      <c r="I252" s="13" t="inlineStr">
        <is>
          <t>low</t>
        </is>
      </c>
      <c r="J252" s="13" t="n">
        <v>130</v>
      </c>
      <c r="K252" s="13" t="inlineStr">
        <is>
          <t>SSR homepage/category HTML</t>
        </is>
      </c>
      <c r="L252" s="13" t="inlineStr">
        <is>
          <t>GET -&gt; 200, 73KB SSR. Direct prices 0.89€ / 2.58€ / 2.86€ in homepage HTML.</t>
        </is>
      </c>
      <c r="M252" s="13" t="inlineStr">
        <is>
          <t>ACCEPT</t>
        </is>
      </c>
      <c r="N252" s="13" t="inlineStr">
        <is>
          <t>C - engineering required</t>
        </is>
      </c>
      <c r="O252" s="13" t="n">
        <v>3</v>
      </c>
      <c r="P252" s="13" t="inlineStr">
        <is>
          <t>Custom</t>
        </is>
      </c>
      <c r="Q252" s="13" t="inlineStr"/>
      <c r="R252" s="13" t="inlineStr">
        <is>
          <t>-</t>
        </is>
      </c>
      <c r="S252" s="13" t="inlineStr">
        <is>
          <t>current</t>
        </is>
      </c>
      <c r="T252" s="13" t="inlineStr">
        <is>
          <t>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252" s="13" t="inlineStr">
        <is>
          <t>-</t>
        </is>
      </c>
      <c r="V252" s="13" t="inlineStr">
        <is>
          <t>P8-EU</t>
        </is>
      </c>
    </row>
    <row r="253">
      <c r="A253" s="13" t="inlineStr">
        <is>
          <t>eca</t>
        </is>
      </c>
      <c r="B253" s="13" t="inlineStr">
        <is>
          <t>latvia</t>
        </is>
      </c>
      <c r="C253" s="13" t="inlineStr">
        <is>
          <t>LVA</t>
        </is>
      </c>
      <c r="D253" s="13" t="inlineStr">
        <is>
          <t>Latvia</t>
        </is>
      </c>
      <c r="E253" s="13" t="inlineStr">
        <is>
          <t>Rimi Latvia e-veikals</t>
        </is>
      </c>
      <c r="F253" s="13" t="inlineStr">
        <is>
          <t>https://www.rimi.lv/e-veikals/en</t>
        </is>
      </c>
      <c r="G253" s="13" t="inlineStr">
        <is>
          <t>PROBED - VIABLE</t>
        </is>
      </c>
      <c r="H253" s="13" t="inlineStr">
        <is>
          <t>TIER_2</t>
        </is>
      </c>
      <c r="I253" s="13" t="inlineStr">
        <is>
          <t>medium</t>
        </is>
      </c>
      <c r="J253" s="13" t="n">
        <v>0</v>
      </c>
      <c r="K253" s="13" t="inlineStr"/>
      <c r="L253" s="13" t="inlineStr">
        <is>
          <t>GET -&gt; 200, 119KB, Next/React markers present. Guessed category URL /products/f/pieno-produkti-kiausiniai 404'd with 0,00€ placeholders. Not blocked.</t>
        </is>
      </c>
      <c r="M253" s="13" t="inlineStr">
        <is>
          <t>ACCEPT</t>
        </is>
      </c>
      <c r="N253" s="13" t="inlineStr">
        <is>
          <t>C - engineering required</t>
        </is>
      </c>
      <c r="O253" s="13" t="n">
        <v>3</v>
      </c>
      <c r="P253" s="13" t="inlineStr">
        <is>
          <t>Custom</t>
        </is>
      </c>
      <c r="Q253" s="13" t="inlineStr"/>
      <c r="R253" s="13" t="inlineStr">
        <is>
          <t>-</t>
        </is>
      </c>
      <c r="S253" s="13" t="inlineStr">
        <is>
          <t>current, was_price, unit_price, lowest_30day, deposit_fee</t>
        </is>
      </c>
      <c r="T253" s="13" t="inlineStr">
        <is>
          <t>CONFIRMS OMNIBUS IN THE BALTICS: product lines carry an explicit '30 days lowest sales price' label (e.g. '15,99 EUR - 30 days lowest sales price'). Also shows the beverage DEPOSIT FEE separately (+0,10 EUR), which matters for correct beverage price construction. English interface.</t>
        </is>
      </c>
      <c r="U253" s="13" t="inlineStr">
        <is>
          <t>Deposit is separate from the price - decide whether your series is deposit-inclusive and be consistent.</t>
        </is>
      </c>
      <c r="V253" s="13" t="inlineStr">
        <is>
          <t>P8-EU</t>
        </is>
      </c>
    </row>
    <row r="254">
      <c r="A254" s="13" t="inlineStr">
        <is>
          <t>eca</t>
        </is>
      </c>
      <c r="B254" s="13" t="inlineStr">
        <is>
          <t>latvia</t>
        </is>
      </c>
      <c r="C254" s="13" t="inlineStr">
        <is>
          <t>LVA</t>
        </is>
      </c>
      <c r="D254" s="13" t="inlineStr">
        <is>
          <t>Latvia</t>
        </is>
      </c>
      <c r="E254" s="13" t="inlineStr">
        <is>
          <t>Top! Veikali</t>
        </is>
      </c>
      <c r="F254" s="13" t="inlineStr">
        <is>
          <t>https://www.toppartika.lv/</t>
        </is>
      </c>
      <c r="G254" s="13" t="inlineStr">
        <is>
          <t>PROBED - VIABLE</t>
        </is>
      </c>
      <c r="H254" s="13" t="inlineStr">
        <is>
          <t>TIER_1A</t>
        </is>
      </c>
      <c r="I254" s="13" t="inlineStr">
        <is>
          <t>low</t>
        </is>
      </c>
      <c r="J254" s="13" t="n">
        <v>130</v>
      </c>
      <c r="K254" s="13" t="inlineStr">
        <is>
          <t>SSR homepage/category HTML</t>
        </is>
      </c>
      <c r="L254" s="13" t="inlineStr">
        <is>
          <t>GET -&gt; 200, 4.08MB SSR. Direct prices 1.47€ / 1.59€ / 1.98€ in homepage HTML.</t>
        </is>
      </c>
      <c r="M254" s="13" t="inlineStr">
        <is>
          <t>ACCEPT</t>
        </is>
      </c>
      <c r="N254" s="13" t="inlineStr">
        <is>
          <t>C - engineering required</t>
        </is>
      </c>
      <c r="O254" s="13" t="n">
        <v>3</v>
      </c>
      <c r="P254" s="13" t="inlineStr">
        <is>
          <t>Custom</t>
        </is>
      </c>
      <c r="Q254" s="13" t="inlineStr"/>
      <c r="R254" s="13" t="inlineStr">
        <is>
          <t>-</t>
        </is>
      </c>
      <c r="S254" s="13" t="inlineStr">
        <is>
          <t>current</t>
        </is>
      </c>
      <c r="T254" s="13" t="inlineStr">
        <is>
          <t>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254" s="13" t="inlineStr">
        <is>
          <t>-</t>
        </is>
      </c>
      <c r="V254" s="13" t="inlineStr">
        <is>
          <t>P8-EU</t>
        </is>
      </c>
    </row>
    <row r="255">
      <c r="A255" s="13" t="inlineStr">
        <is>
          <t>eca</t>
        </is>
      </c>
      <c r="B255" s="13" t="inlineStr">
        <is>
          <t>moldova</t>
        </is>
      </c>
      <c r="C255" s="13" t="inlineStr">
        <is>
          <t>MDA</t>
        </is>
      </c>
      <c r="D255" s="13" t="inlineStr">
        <is>
          <t>Moldova</t>
        </is>
      </c>
      <c r="E255" s="13" t="inlineStr">
        <is>
          <t>Pegas</t>
        </is>
      </c>
      <c r="F255" s="13" t="inlineStr">
        <is>
          <t>https://pegas.md/ro</t>
        </is>
      </c>
      <c r="G255" s="13" t="inlineStr">
        <is>
          <t>PROBED - SKIP</t>
        </is>
      </c>
      <c r="H255" s="13" t="inlineStr">
        <is>
          <t>SKIP</t>
        </is>
      </c>
      <c r="I255" s="13" t="inlineStr">
        <is>
          <t>high</t>
        </is>
      </c>
      <c r="J255" s="13" t="n">
        <v>15</v>
      </c>
      <c r="K255" s="13" t="inlineStr"/>
      <c r="L255" s="13" t="inlineStr">
        <is>
          <t>GET -&gt; 200, 218KB, __NEXT_DATA__ present (187KB) but only i18n label strings found, no product data on the homepage.</t>
        </is>
      </c>
      <c r="M255" s="13" t="inlineStr">
        <is>
          <t>SUSPECT</t>
        </is>
      </c>
      <c r="N255" s="13" t="inlineStr">
        <is>
          <t>not scored</t>
        </is>
      </c>
      <c r="O255" s="13" t="inlineStr"/>
      <c r="P255" s="13" t="inlineStr">
        <is>
          <t>Custom</t>
        </is>
      </c>
      <c r="Q255" s="13" t="inlineStr">
        <is>
          <t>MDL</t>
        </is>
      </c>
      <c r="R255" s="13" t="inlineStr">
        <is>
          <t>-</t>
        </is>
      </c>
      <c r="S255" s="13" t="inlineStr">
        <is>
          <t>-</t>
        </is>
      </c>
      <c r="T255" s="13" t="inlineStr">
        <is>
          <t>Live meat-processor shop with a full category tree, but it is a specialist charcuterie/delicatessen rather than a general grocer. Useful for meat prices only.</t>
        </is>
      </c>
      <c r="U255" s="13" t="inlineStr">
        <is>
          <t>-</t>
        </is>
      </c>
      <c r="V255" s="13" t="inlineStr">
        <is>
          <t>P2</t>
        </is>
      </c>
    </row>
    <row r="256">
      <c r="A256" s="13" t="inlineStr">
        <is>
          <t>eca</t>
        </is>
      </c>
      <c r="B256" s="13" t="inlineStr">
        <is>
          <t>moldova</t>
        </is>
      </c>
      <c r="C256" s="13" t="inlineStr">
        <is>
          <t>MDA</t>
        </is>
      </c>
      <c r="D256" s="13" t="inlineStr">
        <is>
          <t>Moldova</t>
        </is>
      </c>
      <c r="E256" s="13" t="inlineStr">
        <is>
          <t>Casa Mega</t>
        </is>
      </c>
      <c r="F256" s="13" t="inlineStr">
        <is>
          <t>https://casamega.md/</t>
        </is>
      </c>
      <c r="G256" s="13" t="inlineStr">
        <is>
          <t>PROBED - VIABLE</t>
        </is>
      </c>
      <c r="H256" s="13" t="inlineStr">
        <is>
          <t>TIER_2</t>
        </is>
      </c>
      <c r="I256" s="13" t="inlineStr">
        <is>
          <t>medium</t>
        </is>
      </c>
      <c r="J256" s="13" t="n">
        <v>130</v>
      </c>
      <c r="K256" s="13" t="inlineStr">
        <is>
          <t>SSR after JS challenge clears</t>
        </is>
      </c>
      <c r="L256" s="13" t="inlineStr">
        <is>
          <t>curl -&gt; 403 'DDOS protection page'. Playwright render -&gt; 200, 2.57MB, CS-Cart platform confirmed ('ty-price-num' class), real prices visible after render: '2 399.00' / '599.00' / '1 699.00' MDL.</t>
        </is>
      </c>
      <c r="M256" s="13" t="inlineStr">
        <is>
          <t>ACCEPT</t>
        </is>
      </c>
      <c r="N256" s="13" t="inlineStr">
        <is>
          <t>not scored</t>
        </is>
      </c>
      <c r="O256" s="13" t="inlineStr"/>
      <c r="P256" s="13" t="inlineStr">
        <is>
          <t>Custom</t>
        </is>
      </c>
      <c r="Q256" s="13" t="inlineStr">
        <is>
          <t>MDL</t>
        </is>
      </c>
      <c r="R256" s="13" t="inlineStr">
        <is>
          <t>-</t>
        </is>
      </c>
      <c r="S256" s="13" t="inlineStr">
        <is>
          <t>-</t>
        </is>
      </c>
      <c r="T256" s="13" t="inlineStr">
        <is>
          <t>Live: full Produse alimentare tree (alcohol, coffee, confectionery, snacks, pasta).</t>
        </is>
      </c>
      <c r="U256" s="13" t="inlineStr">
        <is>
          <t>-</t>
        </is>
      </c>
      <c r="V256" s="13" t="inlineStr">
        <is>
          <t>P2</t>
        </is>
      </c>
    </row>
    <row r="257">
      <c r="A257" s="13" t="inlineStr">
        <is>
          <t>eca</t>
        </is>
      </c>
      <c r="B257" s="13" t="inlineStr">
        <is>
          <t>moldova</t>
        </is>
      </c>
      <c r="C257" s="13" t="inlineStr">
        <is>
          <t>MDA</t>
        </is>
      </c>
      <c r="D257" s="13" t="inlineStr">
        <is>
          <t>Moldova</t>
        </is>
      </c>
      <c r="E257" s="13" t="inlineStr">
        <is>
          <t>Linella</t>
        </is>
      </c>
      <c r="F257" s="13" t="inlineStr">
        <is>
          <t>https://linella.md/</t>
        </is>
      </c>
      <c r="G257" s="13" t="inlineStr">
        <is>
          <t>PROBED - VIABLE</t>
        </is>
      </c>
      <c r="H257" s="13" t="inlineStr">
        <is>
          <t>TIER_1A</t>
        </is>
      </c>
      <c r="I257" s="13" t="inlineStr">
        <is>
          <t>low</t>
        </is>
      </c>
      <c r="J257" s="13" t="n">
        <v>150</v>
      </c>
      <c r="K257" s="13" t="inlineStr">
        <is>
          <t>SSR category HTML (/ro/catalog)</t>
        </is>
      </c>
      <c r="L257" s="13" t="inlineStr">
        <is>
          <t>GET -&gt; 200, 864KB SSR. class='price-products-catalog-content__main 10.59 9.49' style list/discount pairs directly in listing HTML.</t>
        </is>
      </c>
      <c r="M257" s="13" t="inlineStr">
        <is>
          <t>ACCEPT</t>
        </is>
      </c>
      <c r="N257" s="13" t="inlineStr">
        <is>
          <t>not scored</t>
        </is>
      </c>
      <c r="O257" s="13" t="inlineStr"/>
      <c r="P257" s="13" t="inlineStr">
        <is>
          <t>Custom</t>
        </is>
      </c>
      <c r="Q257" s="13" t="inlineStr">
        <is>
          <t>MDL</t>
        </is>
      </c>
      <c r="R257" s="13" t="inlineStr">
        <is>
          <t>-</t>
        </is>
      </c>
      <c r="S257" s="13" t="inlineStr">
        <is>
          <t>-</t>
        </is>
      </c>
      <c r="T257" s="13" t="inlineStr">
        <is>
          <t>206 stores, 14,500+ products, promo validity windows.</t>
        </is>
      </c>
      <c r="U257" s="13" t="inlineStr">
        <is>
          <t>-</t>
        </is>
      </c>
      <c r="V257" s="13" t="inlineStr">
        <is>
          <t>P4</t>
        </is>
      </c>
    </row>
    <row r="258">
      <c r="A258" s="13" t="inlineStr">
        <is>
          <t>eca</t>
        </is>
      </c>
      <c r="B258" s="13" t="inlineStr">
        <is>
          <t>moldova</t>
        </is>
      </c>
      <c r="C258" s="13" t="inlineStr">
        <is>
          <t>MDA</t>
        </is>
      </c>
      <c r="D258" s="13" t="inlineStr">
        <is>
          <t>Moldova</t>
        </is>
      </c>
      <c r="E258" s="13" t="inlineStr">
        <is>
          <t>Linella Online</t>
        </is>
      </c>
      <c r="F258" s="13" t="inlineStr">
        <is>
          <t>https://linella.md/</t>
        </is>
      </c>
      <c r="G258" s="13" t="inlineStr">
        <is>
          <t>PROBED - VIABLE</t>
        </is>
      </c>
      <c r="H258" s="13" t="inlineStr">
        <is>
          <t>TIER_1A</t>
        </is>
      </c>
      <c r="I258" s="13" t="inlineStr">
        <is>
          <t>low</t>
        </is>
      </c>
      <c r="J258" s="13" t="n">
        <v>150</v>
      </c>
      <c r="K258" s="13" t="inlineStr">
        <is>
          <t>SSR category HTML (/ro/catalog)</t>
        </is>
      </c>
      <c r="L258" s="13" t="inlineStr">
        <is>
          <t>GET -&gt; 200, 864KB SSR. class='price-products-catalog-content__main 10.59 9.49' style list/discount pairs directly in listing HTML.</t>
        </is>
      </c>
      <c r="M258" s="13" t="inlineStr">
        <is>
          <t>ACCEPT</t>
        </is>
      </c>
      <c r="N258" s="13" t="inlineStr">
        <is>
          <t>not scored</t>
        </is>
      </c>
      <c r="O258" s="13" t="inlineStr"/>
      <c r="P258" s="13" t="inlineStr">
        <is>
          <t>Custom</t>
        </is>
      </c>
      <c r="Q258" s="13" t="inlineStr">
        <is>
          <t>MDL</t>
        </is>
      </c>
      <c r="R258" s="13" t="inlineStr">
        <is>
          <t>-</t>
        </is>
      </c>
      <c r="S258" s="13" t="inlineStr">
        <is>
          <t>-</t>
        </is>
      </c>
      <c r="T258" s="13" t="inlineStr">
        <is>
          <t>STRONG: MDL prices with list/promo pairs, discount percentages, promotion validity windows, per-0.5kg pricing on fresh items, and 'exclusiv online' flags. 206 stores, 14,500+ products.</t>
        </is>
      </c>
      <c r="U258" s="13" t="inlineStr">
        <is>
          <t>-</t>
        </is>
      </c>
      <c r="V258" s="13" t="inlineStr">
        <is>
          <t>P2</t>
        </is>
      </c>
    </row>
    <row r="259">
      <c r="A259" s="13" t="inlineStr">
        <is>
          <t>eca</t>
        </is>
      </c>
      <c r="B259" s="13" t="inlineStr">
        <is>
          <t>moldova</t>
        </is>
      </c>
      <c r="C259" s="13" t="inlineStr">
        <is>
          <t>MDA</t>
        </is>
      </c>
      <c r="D259" s="13" t="inlineStr">
        <is>
          <t>Moldova</t>
        </is>
      </c>
      <c r="E259" s="13" t="inlineStr">
        <is>
          <t>Mega Alina</t>
        </is>
      </c>
      <c r="F259" s="13" t="inlineStr">
        <is>
          <t>https://www.megaalina.md/</t>
        </is>
      </c>
      <c r="G259" s="13" t="inlineStr">
        <is>
          <t>PROBED - VIABLE</t>
        </is>
      </c>
      <c r="H259" s="13" t="inlineStr">
        <is>
          <t>TIER_1A</t>
        </is>
      </c>
      <c r="I259" s="13" t="inlineStr">
        <is>
          <t>low</t>
        </is>
      </c>
      <c r="J259" s="13" t="n">
        <v>130</v>
      </c>
      <c r="K259" s="13" t="inlineStr">
        <is>
          <t>SSR category HTML (/ro/catalog/...)</t>
        </is>
      </c>
      <c r="L259" s="13" t="inlineStr">
        <is>
          <t>GET -&gt; 200, 673KB SSR. Direct catalog prices '5.99 MDL' / '4.99 MDL' repeated in listing HTML.</t>
        </is>
      </c>
      <c r="M259" s="13" t="inlineStr">
        <is>
          <t>ACCEPT</t>
        </is>
      </c>
      <c r="N259" s="13" t="inlineStr">
        <is>
          <t>not scored</t>
        </is>
      </c>
      <c r="O259" s="13" t="inlineStr"/>
      <c r="P259" s="13" t="inlineStr">
        <is>
          <t>Custom</t>
        </is>
      </c>
      <c r="Q259" s="13" t="inlineStr">
        <is>
          <t>MDL</t>
        </is>
      </c>
      <c r="R259" s="13" t="inlineStr">
        <is>
          <t>-</t>
        </is>
      </c>
      <c r="S259" s="13" t="inlineStr">
        <is>
          <t>-</t>
        </is>
      </c>
      <c r="T259" s="13" t="inlineStr">
        <is>
          <t>STRONG: MDL prices with strike-through originals and discount percentages across food, dairy, juice, household. Chisinau.</t>
        </is>
      </c>
      <c r="U259" s="13" t="inlineStr">
        <is>
          <t>-</t>
        </is>
      </c>
      <c r="V259" s="13" t="inlineStr">
        <is>
          <t>P2</t>
        </is>
      </c>
    </row>
    <row r="260">
      <c r="A260" s="13" t="inlineStr">
        <is>
          <t>eca</t>
        </is>
      </c>
      <c r="B260" s="13" t="inlineStr">
        <is>
          <t>malta</t>
        </is>
      </c>
      <c r="C260" s="13" t="inlineStr">
        <is>
          <t>MLT</t>
        </is>
      </c>
      <c r="D260" s="13" t="inlineStr">
        <is>
          <t>Malta</t>
        </is>
      </c>
      <c r="E260" s="13" t="inlineStr">
        <is>
          <t>PAVI / PAMA</t>
        </is>
      </c>
      <c r="F260" s="13" t="inlineStr">
        <is>
          <t>https://pavishopping.com/</t>
        </is>
      </c>
      <c r="G260" s="13" t="inlineStr">
        <is>
          <t>NOT PROBED - deduped, already onboarded, or time-boxed</t>
        </is>
      </c>
      <c r="H260" s="13" t="inlineStr"/>
      <c r="I260" s="13" t="inlineStr"/>
      <c r="J260" s="13" t="inlineStr"/>
      <c r="K260" s="13" t="inlineStr"/>
      <c r="L260" s="13" t="inlineStr"/>
      <c r="M260" s="13" t="inlineStr">
        <is>
          <t>ACCEPT</t>
        </is>
      </c>
      <c r="N260" s="13" t="inlineStr">
        <is>
          <t>A - low-hanging fruit</t>
        </is>
      </c>
      <c r="O260" s="13" t="n">
        <v>5</v>
      </c>
      <c r="P260" s="13" t="inlineStr">
        <is>
          <t>WordPress/WooCommerce</t>
        </is>
      </c>
      <c r="Q260" s="13" t="inlineStr"/>
      <c r="R260" s="13" t="inlineStr">
        <is>
          <t>-</t>
        </is>
      </c>
      <c r="S260" s="13" t="inlineStr">
        <is>
          <t>current</t>
        </is>
      </c>
      <c r="T260" s="13" t="inlineStr">
        <is>
          <t>WooCommerce - the Store API should work without authentication.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260" s="13" t="inlineStr">
        <is>
          <t>-</t>
        </is>
      </c>
      <c r="V260" s="13" t="inlineStr">
        <is>
          <t>P8-EU</t>
        </is>
      </c>
    </row>
    <row r="261">
      <c r="A261" s="13" t="inlineStr">
        <is>
          <t>eca</t>
        </is>
      </c>
      <c r="B261" s="13" t="inlineStr">
        <is>
          <t>malta</t>
        </is>
      </c>
      <c r="C261" s="13" t="inlineStr">
        <is>
          <t>MLT</t>
        </is>
      </c>
      <c r="D261" s="13" t="inlineStr">
        <is>
          <t>Malta</t>
        </is>
      </c>
      <c r="E261" s="13" t="inlineStr">
        <is>
          <t>Scotts Supermarket</t>
        </is>
      </c>
      <c r="F261" s="13" t="inlineStr">
        <is>
          <t>https://scottssupermarket.com/</t>
        </is>
      </c>
      <c r="G261" s="13" t="inlineStr">
        <is>
          <t>NOT PROBED - deduped, already onboarded, or time-boxed</t>
        </is>
      </c>
      <c r="H261" s="13" t="inlineStr"/>
      <c r="I261" s="13" t="inlineStr"/>
      <c r="J261" s="13" t="inlineStr"/>
      <c r="K261" s="13" t="inlineStr"/>
      <c r="L261" s="13" t="inlineStr"/>
      <c r="M261" s="13" t="inlineStr">
        <is>
          <t>ACCEPT</t>
        </is>
      </c>
      <c r="N261" s="13" t="inlineStr">
        <is>
          <t>A - low-hanging fruit</t>
        </is>
      </c>
      <c r="O261" s="13" t="n">
        <v>5</v>
      </c>
      <c r="P261" s="13" t="inlineStr">
        <is>
          <t>WordPress/WooCommerce</t>
        </is>
      </c>
      <c r="Q261" s="13" t="inlineStr"/>
      <c r="R261" s="13" t="inlineStr">
        <is>
          <t>-</t>
        </is>
      </c>
      <c r="S261" s="13" t="inlineStr">
        <is>
          <t>current</t>
        </is>
      </c>
      <c r="T261" s="13" t="inlineStr">
        <is>
          <t>WooCommerce - the Store API should work without authentication.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261" s="13" t="inlineStr">
        <is>
          <t>-</t>
        </is>
      </c>
      <c r="V261" s="13" t="inlineStr">
        <is>
          <t>P8-EU</t>
        </is>
      </c>
    </row>
    <row r="262">
      <c r="A262" s="13" t="inlineStr">
        <is>
          <t>eca</t>
        </is>
      </c>
      <c r="B262" s="13" t="inlineStr">
        <is>
          <t>malta</t>
        </is>
      </c>
      <c r="C262" s="13" t="inlineStr">
        <is>
          <t>MLT</t>
        </is>
      </c>
      <c r="D262" s="13" t="inlineStr">
        <is>
          <t>Malta</t>
        </is>
      </c>
      <c r="E262" s="13" t="inlineStr">
        <is>
          <t>Welbee's</t>
        </is>
      </c>
      <c r="F262" s="13" t="inlineStr">
        <is>
          <t>https://welbees.com.mt/</t>
        </is>
      </c>
      <c r="G262" s="13" t="inlineStr">
        <is>
          <t>NOT PROBED - deduped, already onboarded, or time-boxed</t>
        </is>
      </c>
      <c r="H262" s="13" t="inlineStr"/>
      <c r="I262" s="13" t="inlineStr"/>
      <c r="J262" s="13" t="inlineStr"/>
      <c r="K262" s="13" t="inlineStr"/>
      <c r="L262" s="13" t="inlineStr"/>
      <c r="M262" s="13" t="inlineStr">
        <is>
          <t>ACCEPT</t>
        </is>
      </c>
      <c r="N262" s="13" t="inlineStr">
        <is>
          <t>A - low-hanging fruit</t>
        </is>
      </c>
      <c r="O262" s="13" t="n">
        <v>5</v>
      </c>
      <c r="P262" s="13" t="inlineStr">
        <is>
          <t>WordPress/WooCommerce</t>
        </is>
      </c>
      <c r="Q262" s="13" t="inlineStr"/>
      <c r="R262" s="13" t="inlineStr">
        <is>
          <t>/wp-json/wc/store/v1/products?per_page=100</t>
        </is>
      </c>
      <c r="S262" s="13" t="inlineStr">
        <is>
          <t>current</t>
        </is>
      </c>
      <c r="T262" s="13" t="inlineStr">
        <is>
          <t>WooCommerce - Store API should work.</t>
        </is>
      </c>
      <c r="U262" s="13" t="inlineStr">
        <is>
          <t>-</t>
        </is>
      </c>
      <c r="V262" s="13" t="inlineStr">
        <is>
          <t>P8-EU</t>
        </is>
      </c>
    </row>
    <row r="263">
      <c r="A263" s="13" t="inlineStr">
        <is>
          <t>eca</t>
        </is>
      </c>
      <c r="B263" s="13" t="inlineStr">
        <is>
          <t>malta</t>
        </is>
      </c>
      <c r="C263" s="13" t="inlineStr">
        <is>
          <t>MLT</t>
        </is>
      </c>
      <c r="D263" s="13" t="inlineStr">
        <is>
          <t>Malta</t>
        </is>
      </c>
      <c r="E263" s="13" t="inlineStr">
        <is>
          <t>Lidl Malta</t>
        </is>
      </c>
      <c r="F263" s="13" t="inlineStr">
        <is>
          <t>https://www.lidl.com.mt/</t>
        </is>
      </c>
      <c r="G263" s="13" t="inlineStr">
        <is>
          <t>PROBED - SKIP</t>
        </is>
      </c>
      <c r="H263" s="13" t="inlineStr">
        <is>
          <t>SKIP</t>
        </is>
      </c>
      <c r="I263" s="13" t="inlineStr">
        <is>
          <t>high</t>
        </is>
      </c>
      <c r="J263" s="13" t="n">
        <v>0</v>
      </c>
      <c r="K263" s="13" t="inlineStr">
        <is>
          <t>-</t>
        </is>
      </c>
      <c r="L263" s="13" t="inlineStr">
        <is>
          <t>not probed - sampled only; known Lidl WAF pattern replicated across DE/CH/RS/SI tenants probed this session</t>
        </is>
      </c>
      <c r="M263" s="13" t="inlineStr">
        <is>
          <t>SUSPECT</t>
        </is>
      </c>
      <c r="N263" s="13" t="inlineStr">
        <is>
          <t>D - hard / app / index only</t>
        </is>
      </c>
      <c r="O263" s="13" t="n">
        <v>2</v>
      </c>
      <c r="P263" s="13" t="inlineStr">
        <is>
          <t>Custom/Enterprise</t>
        </is>
      </c>
      <c r="Q263" s="13" t="inlineStr"/>
      <c r="R263" s="13" t="inlineStr">
        <is>
          <t>-</t>
        </is>
      </c>
      <c r="S263" s="13" t="inlineStr">
        <is>
          <t>promo</t>
        </is>
      </c>
      <c r="T263" s="13" t="inlineStr">
        <is>
          <t>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263" s="13" t="inlineStr">
        <is>
          <t>-</t>
        </is>
      </c>
      <c r="V263" s="13" t="inlineStr">
        <is>
          <t>P8-EU</t>
        </is>
      </c>
    </row>
    <row r="264">
      <c r="A264" s="13" t="inlineStr">
        <is>
          <t>eca</t>
        </is>
      </c>
      <c r="B264" s="13" t="inlineStr">
        <is>
          <t>malta</t>
        </is>
      </c>
      <c r="C264" s="13" t="inlineStr">
        <is>
          <t>MLT</t>
        </is>
      </c>
      <c r="D264" s="13" t="inlineStr">
        <is>
          <t>Malta</t>
        </is>
      </c>
      <c r="E264" s="13" t="inlineStr">
        <is>
          <t>Supermarket.mt</t>
        </is>
      </c>
      <c r="F264" s="13" t="inlineStr">
        <is>
          <t>https://supermarket.mt/</t>
        </is>
      </c>
      <c r="G264" s="13" t="inlineStr">
        <is>
          <t>PROBED - SKIP</t>
        </is>
      </c>
      <c r="H264" s="13" t="inlineStr">
        <is>
          <t>SKIP</t>
        </is>
      </c>
      <c r="I264" s="13" t="inlineStr">
        <is>
          <t>high</t>
        </is>
      </c>
      <c r="J264" s="13" t="n">
        <v>0</v>
      </c>
      <c r="K264" s="13" t="inlineStr">
        <is>
          <t>blocked</t>
        </is>
      </c>
      <c r="L264" s="13" t="inlineStr">
        <is>
          <t>curl 403, body title 'Just a moment...' Cloudflare interactive challenge</t>
        </is>
      </c>
      <c r="M264" s="13" t="inlineStr">
        <is>
          <t>ACCEPT</t>
        </is>
      </c>
      <c r="N264" s="13" t="inlineStr">
        <is>
          <t>B - moderate effort</t>
        </is>
      </c>
      <c r="O264" s="13" t="n">
        <v>4</v>
      </c>
      <c r="P264" s="13" t="inlineStr">
        <is>
          <t>Custom</t>
        </is>
      </c>
      <c r="Q264" s="13" t="inlineStr"/>
      <c r="R264" s="13" t="inlineStr">
        <is>
          <t>-</t>
        </is>
      </c>
      <c r="S264" s="13" t="inlineStr">
        <is>
          <t>current, unit_price_100g, nutri_score, store_count</t>
        </is>
      </c>
      <c r="T264" s="13" t="inlineStr">
        <is>
          <t>40,000+ Maltese products compared across 4 stores, with per-100g unit pricing AND Nutri-Score letters attached to each line. Nutrition grading alongside price is rare and enables price-per-nutritional-quality analysis. Malta is otherwise very hard to cover.</t>
        </is>
      </c>
      <c r="U264" s="13" t="inlineStr">
        <is>
          <t>-</t>
        </is>
      </c>
      <c r="V264" s="13" t="inlineStr">
        <is>
          <t>P8-EU</t>
        </is>
      </c>
    </row>
    <row r="265">
      <c r="A265" s="13" t="inlineStr">
        <is>
          <t>eca</t>
        </is>
      </c>
      <c r="B265" s="13" t="inlineStr">
        <is>
          <t>malta</t>
        </is>
      </c>
      <c r="C265" s="13" t="inlineStr">
        <is>
          <t>MLT</t>
        </is>
      </c>
      <c r="D265" s="13" t="inlineStr">
        <is>
          <t>Malta</t>
        </is>
      </c>
      <c r="E265" s="13" t="inlineStr">
        <is>
          <t>Greens Supermarket</t>
        </is>
      </c>
      <c r="F265" s="13" t="inlineStr">
        <is>
          <t>https://greens.com.mt/</t>
        </is>
      </c>
      <c r="G265" s="13" t="inlineStr">
        <is>
          <t>PROBED - VIABLE</t>
        </is>
      </c>
      <c r="H265" s="13" t="inlineStr">
        <is>
          <t>TIER_2</t>
        </is>
      </c>
      <c r="I265" s="13" t="inlineStr">
        <is>
          <t>medium</t>
        </is>
      </c>
      <c r="J265" s="13" t="n">
        <v>0</v>
      </c>
      <c r="K265" s="13" t="inlineStr">
        <is>
          <t>not WooCommerce - platform misidentified in CSV</t>
        </is>
      </c>
      <c r="L265" s="13" t="inlineStr">
        <is>
          <t>curl 200 (after -L redirect to www.), but the WooCommerce Store API path returned the homepage HTML (bootstrap-based custom theme), not JSON - CSV's 'WordPress/WooCommerce' platform tag appears wrong for this site</t>
        </is>
      </c>
      <c r="M265" s="13" t="inlineStr">
        <is>
          <t>ACCEPT</t>
        </is>
      </c>
      <c r="N265" s="13" t="inlineStr">
        <is>
          <t>A - low-hanging fruit</t>
        </is>
      </c>
      <c r="O265" s="13" t="n">
        <v>5</v>
      </c>
      <c r="P265" s="13" t="inlineStr">
        <is>
          <t>WordPress/WooCommerce</t>
        </is>
      </c>
      <c r="Q265" s="13" t="inlineStr"/>
      <c r="R265" s="13" t="inlineStr">
        <is>
          <t>/wp-json/wc/store/v1/products</t>
        </is>
      </c>
      <c r="S265" s="13" t="inlineStr">
        <is>
          <t>current</t>
        </is>
      </c>
      <c r="T265" s="13" t="inlineStr">
        <is>
          <t>WooCommerce - the Store API should work without authentication.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265" s="13" t="inlineStr">
        <is>
          <t>-</t>
        </is>
      </c>
      <c r="V265" s="13" t="inlineStr">
        <is>
          <t>P8-EU</t>
        </is>
      </c>
    </row>
    <row r="266">
      <c r="A266" s="13" t="inlineStr">
        <is>
          <t>eca</t>
        </is>
      </c>
      <c r="B266" s="13" t="inlineStr">
        <is>
          <t>netherlands</t>
        </is>
      </c>
      <c r="C266" s="13" t="inlineStr">
        <is>
          <t>NLD</t>
        </is>
      </c>
      <c r="D266" s="13" t="inlineStr">
        <is>
          <t>Netherlands</t>
        </is>
      </c>
      <c r="E266" s="13" t="inlineStr">
        <is>
          <t>Albert Heijn</t>
        </is>
      </c>
      <c r="F266" s="13" t="inlineStr">
        <is>
          <t>https://www.ah.nl/</t>
        </is>
      </c>
      <c r="G266" s="13" t="inlineStr">
        <is>
          <t>PROBED - SKIP</t>
        </is>
      </c>
      <c r="H266" s="13" t="inlineStr">
        <is>
          <t>SKIP</t>
        </is>
      </c>
      <c r="I266" s="13" t="inlineStr">
        <is>
          <t>high</t>
        </is>
      </c>
      <c r="J266" s="13" t="n">
        <v>0</v>
      </c>
      <c r="K266" s="13" t="inlineStr"/>
      <c r="L266" s="13" t="inlineStr">
        <is>
          <t>GET -&gt; 403, 143-byte body 'Access Denied Reference #0.fa0f1002...' -- Akamai-style block.</t>
        </is>
      </c>
      <c r="M266" s="13" t="inlineStr">
        <is>
          <t>SUSPECT</t>
        </is>
      </c>
      <c r="N266" s="13" t="inlineStr">
        <is>
          <t>D - hard / app / index only</t>
        </is>
      </c>
      <c r="O266" s="13" t="n">
        <v>2</v>
      </c>
      <c r="P266" s="13" t="inlineStr">
        <is>
          <t>Custom/Enterprise</t>
        </is>
      </c>
      <c r="Q266" s="13" t="inlineStr"/>
      <c r="R266" s="13" t="inlineStr">
        <is>
          <t>-</t>
        </is>
      </c>
      <c r="S266" s="13" t="inlineStr">
        <is>
          <t>current, unit_price, bonus_price, personal_bonus</t>
        </is>
      </c>
      <c r="T266" s="13" t="inlineStr">
        <is>
          <t>Market leader, ~30% online share, ~25,000 articles. ALL Bonus offers including PERSONALISED bonuses are available online - personalised pricing is a distinct and analytically interesting price tier.</t>
        </is>
      </c>
      <c r="U266" s="13" t="inlineStr">
        <is>
          <t>Personalised bonus prices are user-specific; an anonymous crawl sees only the general Bonus.</t>
        </is>
      </c>
      <c r="V266" s="13" t="inlineStr">
        <is>
          <t>P8-EU</t>
        </is>
      </c>
    </row>
    <row r="267">
      <c r="A267" s="13" t="inlineStr">
        <is>
          <t>eca</t>
        </is>
      </c>
      <c r="B267" s="13" t="inlineStr">
        <is>
          <t>netherlands</t>
        </is>
      </c>
      <c r="C267" s="13" t="inlineStr">
        <is>
          <t>NLD</t>
        </is>
      </c>
      <c r="D267" s="13" t="inlineStr">
        <is>
          <t>Netherlands</t>
        </is>
      </c>
      <c r="E267" s="13" t="inlineStr">
        <is>
          <t>Butlon</t>
        </is>
      </c>
      <c r="F267" s="13" t="inlineStr">
        <is>
          <t>https://www.butlon.com/</t>
        </is>
      </c>
      <c r="G267" s="13" t="inlineStr">
        <is>
          <t>PROBED - SKIP</t>
        </is>
      </c>
      <c r="H267" s="13" t="inlineStr">
        <is>
          <t>SKIP</t>
        </is>
      </c>
      <c r="I267" s="13" t="inlineStr">
        <is>
          <t>high</t>
        </is>
      </c>
      <c r="J267" s="13" t="n">
        <v>0</v>
      </c>
      <c r="K267" s="13" t="inlineStr"/>
      <c r="L267" s="13" t="inlineStr">
        <is>
          <t>curl -&gt; 403 'Just a moment...' Cloudflare challenge stub (5.7KB).</t>
        </is>
      </c>
      <c r="M267" s="13" t="inlineStr">
        <is>
          <t>ACCEPT</t>
        </is>
      </c>
      <c r="N267" s="13" t="inlineStr">
        <is>
          <t>C - engineering required</t>
        </is>
      </c>
      <c r="O267" s="13" t="n">
        <v>3</v>
      </c>
      <c r="P267" s="13" t="inlineStr">
        <is>
          <t>Custom</t>
        </is>
      </c>
      <c r="Q267" s="13" t="inlineStr"/>
      <c r="R267" s="13" t="inlineStr">
        <is>
          <t>-</t>
        </is>
      </c>
      <c r="S267" s="13" t="inlineStr">
        <is>
          <t>current</t>
        </is>
      </c>
      <c r="T267" s="13" t="inlineStr">
        <is>
          <t>Bulk-buying online supermarket - distinct pack-size economics.</t>
        </is>
      </c>
      <c r="U267" s="13" t="inlineStr">
        <is>
          <t>-</t>
        </is>
      </c>
      <c r="V267" s="13" t="inlineStr">
        <is>
          <t>P8-EU</t>
        </is>
      </c>
    </row>
    <row r="268">
      <c r="A268" s="13" t="inlineStr">
        <is>
          <t>eca</t>
        </is>
      </c>
      <c r="B268" s="13" t="inlineStr">
        <is>
          <t>netherlands</t>
        </is>
      </c>
      <c r="C268" s="13" t="inlineStr">
        <is>
          <t>NLD</t>
        </is>
      </c>
      <c r="D268" s="13" t="inlineStr">
        <is>
          <t>Netherlands</t>
        </is>
      </c>
      <c r="E268" s="13" t="inlineStr">
        <is>
          <t>Coop NL</t>
        </is>
      </c>
      <c r="F268" s="13" t="inlineStr">
        <is>
          <t>https://www.coop.nl/</t>
        </is>
      </c>
      <c r="G268" s="13" t="inlineStr">
        <is>
          <t>PROBED - SKIP</t>
        </is>
      </c>
      <c r="H268" s="13" t="inlineStr">
        <is>
          <t>SKIP</t>
        </is>
      </c>
      <c r="I268" s="13" t="inlineStr">
        <is>
          <t>high</t>
        </is>
      </c>
      <c r="J268" s="13" t="n">
        <v>0</v>
      </c>
      <c r="K268" s="13" t="inlineStr"/>
      <c r="L268" s="13" t="inlineStr">
        <is>
          <t>GET -&gt; 200 but 752-byte body with '_Incapsula_Resource' iframe stub and 'Incapsula incident ID' text.</t>
        </is>
      </c>
      <c r="M268" s="13" t="inlineStr">
        <is>
          <t>ACCEPT</t>
        </is>
      </c>
      <c r="N268" s="13" t="inlineStr">
        <is>
          <t>C - engineering required</t>
        </is>
      </c>
      <c r="O268" s="13" t="n">
        <v>3</v>
      </c>
      <c r="P268" s="13" t="inlineStr">
        <is>
          <t>Custom</t>
        </is>
      </c>
      <c r="Q268" s="13" t="inlineStr"/>
      <c r="R268" s="13" t="inlineStr">
        <is>
          <t>-</t>
        </is>
      </c>
      <c r="S268" s="13" t="inlineStr">
        <is>
          <t>current</t>
        </is>
      </c>
      <c r="T268" s="13" t="inlineStr">
        <is>
          <t>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268" s="13" t="inlineStr">
        <is>
          <t>-</t>
        </is>
      </c>
      <c r="V268" s="13" t="inlineStr">
        <is>
          <t>P8-EU</t>
        </is>
      </c>
    </row>
    <row r="269">
      <c r="A269" s="13" t="inlineStr">
        <is>
          <t>eca</t>
        </is>
      </c>
      <c r="B269" s="13" t="inlineStr">
        <is>
          <t>netherlands</t>
        </is>
      </c>
      <c r="C269" s="13" t="inlineStr">
        <is>
          <t>NLD</t>
        </is>
      </c>
      <c r="D269" s="13" t="inlineStr">
        <is>
          <t>Netherlands</t>
        </is>
      </c>
      <c r="E269" s="13" t="inlineStr">
        <is>
          <t>Crisp</t>
        </is>
      </c>
      <c r="F269" s="13" t="inlineStr">
        <is>
          <t>https://crisp.nl/</t>
        </is>
      </c>
      <c r="G269" s="13" t="inlineStr">
        <is>
          <t>PROBED - SKIP</t>
        </is>
      </c>
      <c r="H269" s="13" t="inlineStr">
        <is>
          <t>SKIP</t>
        </is>
      </c>
      <c r="I269" s="13" t="inlineStr">
        <is>
          <t>medium</t>
        </is>
      </c>
      <c r="J269" s="13" t="n">
        <v>0</v>
      </c>
      <c r="K269" s="13" t="inlineStr"/>
      <c r="L269" s="13" t="inlineStr">
        <is>
          <t>Both GET -&gt; 200 (105KB / 54KB) but no real product prices found -- Crisp's apparent '3.75' match was a CSS padding value (3.75rem), not a price; Picnic's homepage is marketing-only.</t>
        </is>
      </c>
      <c r="M269" s="13" t="inlineStr">
        <is>
          <t>ACCEPT</t>
        </is>
      </c>
      <c r="N269" s="13" t="inlineStr">
        <is>
          <t>C - engineering required</t>
        </is>
      </c>
      <c r="O269" s="13" t="n">
        <v>3</v>
      </c>
      <c r="P269" s="13" t="inlineStr">
        <is>
          <t>Custom</t>
        </is>
      </c>
      <c r="Q269" s="13" t="inlineStr"/>
      <c r="R269" s="13" t="inlineStr">
        <is>
          <t>-</t>
        </is>
      </c>
      <c r="S269" s="13" t="inlineStr">
        <is>
          <t>current</t>
        </is>
      </c>
      <c r="T269" s="13" t="inlineStr">
        <is>
          <t>Premium/organic, ~8,000 articles, 10-15% above AH - upper tail.</t>
        </is>
      </c>
      <c r="U269" s="13" t="inlineStr">
        <is>
          <t>-</t>
        </is>
      </c>
      <c r="V269" s="13" t="inlineStr">
        <is>
          <t>P8-EU</t>
        </is>
      </c>
    </row>
    <row r="270">
      <c r="A270" s="13" t="inlineStr">
        <is>
          <t>eca</t>
        </is>
      </c>
      <c r="B270" s="13" t="inlineStr">
        <is>
          <t>netherlands</t>
        </is>
      </c>
      <c r="C270" s="13" t="inlineStr">
        <is>
          <t>NLD</t>
        </is>
      </c>
      <c r="D270" s="13" t="inlineStr">
        <is>
          <t>Netherlands</t>
        </is>
      </c>
      <c r="E270" s="13" t="inlineStr">
        <is>
          <t>Dirk</t>
        </is>
      </c>
      <c r="F270" s="13" t="inlineStr">
        <is>
          <t>https://www.dirk.nl/</t>
        </is>
      </c>
      <c r="G270" s="13" t="inlineStr">
        <is>
          <t>PROBED - SKIP</t>
        </is>
      </c>
      <c r="H270" s="13" t="inlineStr">
        <is>
          <t>SKIP</t>
        </is>
      </c>
      <c r="I270" s="13" t="inlineStr">
        <is>
          <t>high</t>
        </is>
      </c>
      <c r="J270" s="13" t="n">
        <v>0</v>
      </c>
      <c r="K270" s="13" t="inlineStr"/>
      <c r="L270" s="13" t="inlineStr">
        <is>
          <t>GET / -&gt; 500 error (592 bytes); GET /boodschappen -&gt; 403 with S3/CloudFront-style XML 'AccessDenied' body.</t>
        </is>
      </c>
      <c r="M270" s="13" t="inlineStr">
        <is>
          <t>ACCEPT</t>
        </is>
      </c>
      <c r="N270" s="13" t="inlineStr">
        <is>
          <t>C - engineering required</t>
        </is>
      </c>
      <c r="O270" s="13" t="n">
        <v>3</v>
      </c>
      <c r="P270" s="13" t="inlineStr">
        <is>
          <t>Custom</t>
        </is>
      </c>
      <c r="Q270" s="13" t="inlineStr"/>
      <c r="R270" s="13" t="inlineStr">
        <is>
          <t>-</t>
        </is>
      </c>
      <c r="S270" s="13" t="inlineStr">
        <is>
          <t>current</t>
        </is>
      </c>
      <c r="T270" s="13" t="inlineStr">
        <is>
          <t>Discounter - value tier.</t>
        </is>
      </c>
      <c r="U270" s="13" t="inlineStr">
        <is>
          <t>-</t>
        </is>
      </c>
      <c r="V270" s="13" t="inlineStr">
        <is>
          <t>P8-EU</t>
        </is>
      </c>
    </row>
    <row r="271">
      <c r="A271" s="13" t="inlineStr">
        <is>
          <t>eca</t>
        </is>
      </c>
      <c r="B271" s="13" t="inlineStr">
        <is>
          <t>netherlands</t>
        </is>
      </c>
      <c r="C271" s="13" t="inlineStr">
        <is>
          <t>NLD</t>
        </is>
      </c>
      <c r="D271" s="13" t="inlineStr">
        <is>
          <t>Netherlands</t>
        </is>
      </c>
      <c r="E271" s="13" t="inlineStr">
        <is>
          <t>Flink</t>
        </is>
      </c>
      <c r="F271" s="13" t="inlineStr">
        <is>
          <t>https://www.goflink.com/</t>
        </is>
      </c>
      <c r="G271" s="13" t="inlineStr">
        <is>
          <t>PROBED - SKIP</t>
        </is>
      </c>
      <c r="H271" s="13" t="inlineStr">
        <is>
          <t>SKIP</t>
        </is>
      </c>
      <c r="I271" s="13" t="inlineStr">
        <is>
          <t>high</t>
        </is>
      </c>
      <c r="J271" s="13" t="n">
        <v>0</v>
      </c>
      <c r="K271" s="13" t="inlineStr"/>
      <c r="L271" s="13" t="inlineStr">
        <is>
          <t>GET -&gt; 200 but 771-byte body, JS-challenge stub ('Please enable cookies... #cmsg').</t>
        </is>
      </c>
      <c r="M271" s="13" t="inlineStr">
        <is>
          <t>ACCEPT</t>
        </is>
      </c>
      <c r="N271" s="13" t="inlineStr">
        <is>
          <t>C - engineering required</t>
        </is>
      </c>
      <c r="O271" s="13" t="n">
        <v>3</v>
      </c>
      <c r="P271" s="13" t="inlineStr">
        <is>
          <t>Custom</t>
        </is>
      </c>
      <c r="Q271" s="13" t="inlineStr"/>
      <c r="R271" s="13" t="inlineStr">
        <is>
          <t>-</t>
        </is>
      </c>
      <c r="S271" s="13" t="inlineStr">
        <is>
          <t>current</t>
        </is>
      </c>
      <c r="T271" s="13" t="inlineStr">
        <is>
          <t>Q-commerce, 10-30 min - convenience price tier.</t>
        </is>
      </c>
      <c r="U271" s="13" t="inlineStr">
        <is>
          <t>-</t>
        </is>
      </c>
      <c r="V271" s="13" t="inlineStr">
        <is>
          <t>P8-EU</t>
        </is>
      </c>
    </row>
    <row r="272">
      <c r="A272" s="13" t="inlineStr">
        <is>
          <t>eca</t>
        </is>
      </c>
      <c r="B272" s="13" t="inlineStr">
        <is>
          <t>netherlands</t>
        </is>
      </c>
      <c r="C272" s="13" t="inlineStr">
        <is>
          <t>NLD</t>
        </is>
      </c>
      <c r="D272" s="13" t="inlineStr">
        <is>
          <t>Netherlands</t>
        </is>
      </c>
      <c r="E272" s="13" t="inlineStr">
        <is>
          <t>PLUS</t>
        </is>
      </c>
      <c r="F272" s="13" t="inlineStr">
        <is>
          <t>https://www.plus.nl/</t>
        </is>
      </c>
      <c r="G272" s="13" t="inlineStr">
        <is>
          <t>PROBED - SKIP</t>
        </is>
      </c>
      <c r="H272" s="13" t="inlineStr">
        <is>
          <t>SKIP</t>
        </is>
      </c>
      <c r="I272" s="13" t="inlineStr">
        <is>
          <t>high</t>
        </is>
      </c>
      <c r="J272" s="13" t="n">
        <v>0</v>
      </c>
      <c r="K272" s="13" t="inlineStr"/>
      <c r="L272" s="13" t="inlineStr">
        <is>
          <t>GET -&gt; 200 but 752-byte body with '_Incapsula_Resource' stub, same shape as Coop NL.</t>
        </is>
      </c>
      <c r="M272" s="13" t="inlineStr">
        <is>
          <t>ACCEPT</t>
        </is>
      </c>
      <c r="N272" s="13" t="inlineStr">
        <is>
          <t>C - engineering required</t>
        </is>
      </c>
      <c r="O272" s="13" t="n">
        <v>3</v>
      </c>
      <c r="P272" s="13" t="inlineStr">
        <is>
          <t>Custom</t>
        </is>
      </c>
      <c r="Q272" s="13" t="inlineStr"/>
      <c r="R272" s="13" t="inlineStr">
        <is>
          <t>-</t>
        </is>
      </c>
      <c r="S272" s="13" t="inlineStr">
        <is>
          <t>current</t>
        </is>
      </c>
      <c r="T272" s="13" t="inlineStr">
        <is>
          <t>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272" s="13" t="inlineStr">
        <is>
          <t>-</t>
        </is>
      </c>
      <c r="V272" s="13" t="inlineStr">
        <is>
          <t>P8-EU</t>
        </is>
      </c>
    </row>
    <row r="273">
      <c r="A273" s="13" t="inlineStr">
        <is>
          <t>eca</t>
        </is>
      </c>
      <c r="B273" s="13" t="inlineStr">
        <is>
          <t>netherlands</t>
        </is>
      </c>
      <c r="C273" s="13" t="inlineStr">
        <is>
          <t>NLD</t>
        </is>
      </c>
      <c r="D273" s="13" t="inlineStr">
        <is>
          <t>Netherlands</t>
        </is>
      </c>
      <c r="E273" s="13" t="inlineStr">
        <is>
          <t>Jumbo</t>
        </is>
      </c>
      <c r="F273" s="13" t="inlineStr">
        <is>
          <t>https://www.jumbo.com/</t>
        </is>
      </c>
      <c r="G273" s="13" t="inlineStr">
        <is>
          <t>PROBED - VIABLE</t>
        </is>
      </c>
      <c r="H273" s="13" t="inlineStr">
        <is>
          <t>TIER_1A</t>
        </is>
      </c>
      <c r="I273" s="13" t="inlineStr">
        <is>
          <t>medium</t>
        </is>
      </c>
      <c r="J273" s="13" t="n">
        <v>160</v>
      </c>
      <c r="K273" s="13" t="inlineStr">
        <is>
          <t>SSR category HTML (/producten/)</t>
        </is>
      </c>
      <c r="L273" s="13" t="inlineStr">
        <is>
          <t>GET /producten/ -&gt; 200, 1.32MB SSR (Vue). Product cards found (data-testid='product-card-0', data-product-id='765935ZK') with 'Prijs: € 3,25' in the price DOM.</t>
        </is>
      </c>
      <c r="M273" s="13" t="inlineStr">
        <is>
          <t>SUSPECT</t>
        </is>
      </c>
      <c r="N273" s="13" t="inlineStr">
        <is>
          <t>D - hard / app / index only</t>
        </is>
      </c>
      <c r="O273" s="13" t="n">
        <v>2</v>
      </c>
      <c r="P273" s="13" t="inlineStr">
        <is>
          <t>Custom/Enterprise</t>
        </is>
      </c>
      <c r="Q273" s="13" t="inlineStr"/>
      <c r="R273" s="13" t="inlineStr">
        <is>
          <t>-</t>
        </is>
      </c>
      <c r="S273" s="13" t="inlineStr">
        <is>
          <t>current, unit_price, promo</t>
        </is>
      </c>
      <c r="T273" s="13" t="inlineStr">
        <is>
          <t>~20-22,000 articles. Operates a LOWEST-PRICE GUARANTEE ('7 zekerheden') which mechanically ties its prices to competitors - useful to know when modelling price co-movement.</t>
        </is>
      </c>
      <c r="U273" s="13" t="inlineStr">
        <is>
          <t>-</t>
        </is>
      </c>
      <c r="V273" s="13" t="inlineStr">
        <is>
          <t>P8-EU</t>
        </is>
      </c>
    </row>
    <row r="274">
      <c r="A274" s="13" t="inlineStr">
        <is>
          <t>eca</t>
        </is>
      </c>
      <c r="B274" s="13" t="inlineStr">
        <is>
          <t>netherlands</t>
        </is>
      </c>
      <c r="C274" s="13" t="inlineStr">
        <is>
          <t>NLD</t>
        </is>
      </c>
      <c r="D274" s="13" t="inlineStr">
        <is>
          <t>Netherlands</t>
        </is>
      </c>
      <c r="E274" s="13" t="inlineStr">
        <is>
          <t>Picnic</t>
        </is>
      </c>
      <c r="F274" s="13" t="inlineStr">
        <is>
          <t>https://picnic.app/nl/</t>
        </is>
      </c>
      <c r="G274" s="13" t="inlineStr">
        <is>
          <t>PROBED - VIABLE</t>
        </is>
      </c>
      <c r="H274" s="13" t="inlineStr">
        <is>
          <t>TIER_2</t>
        </is>
      </c>
      <c r="I274" s="13" t="inlineStr">
        <is>
          <t>medium</t>
        </is>
      </c>
      <c r="J274" s="13" t="n">
        <v>0</v>
      </c>
      <c r="K274" s="13" t="inlineStr">
        <is>
          <t>not checked</t>
        </is>
      </c>
      <c r="L274" s="13" t="inlineStr">
        <is>
          <t>curl 200, 57KB, real supermarket landing page (not blocked), prices not checked within budget</t>
        </is>
      </c>
      <c r="M274" s="13" t="inlineStr">
        <is>
          <t>ACCEPT</t>
        </is>
      </c>
      <c r="N274" s="13" t="inlineStr">
        <is>
          <t>C - engineering required</t>
        </is>
      </c>
      <c r="O274" s="13" t="n">
        <v>3</v>
      </c>
      <c r="P274" s="13" t="inlineStr">
        <is>
          <t>Custom</t>
        </is>
      </c>
      <c r="Q274" s="13" t="inlineStr"/>
      <c r="R274" s="13" t="inlineStr">
        <is>
          <t>-</t>
        </is>
      </c>
      <c r="S274" s="13" t="inlineStr">
        <is>
          <t>current</t>
        </is>
      </c>
      <c r="T274" s="13" t="inlineStr">
        <is>
          <t>Delivery-only, ~7,500 articles, fixed neighbourhood routes, no delivery fee. Independent pricing.</t>
        </is>
      </c>
      <c r="U274" s="13" t="inlineStr">
        <is>
          <t>Dutch commentary suggests Picnic runs 5-10% above AH/Jumbo shelf prices - do not treat as a shelf-price proxy.</t>
        </is>
      </c>
      <c r="V274" s="13" t="inlineStr">
        <is>
          <t>P8-EU</t>
        </is>
      </c>
    </row>
    <row r="275">
      <c r="A275" s="13" t="inlineStr">
        <is>
          <t>eca</t>
        </is>
      </c>
      <c r="B275" s="13" t="inlineStr">
        <is>
          <t>norway</t>
        </is>
      </c>
      <c r="C275" s="13" t="inlineStr">
        <is>
          <t>NOR</t>
        </is>
      </c>
      <c r="D275" s="13" t="inlineStr">
        <is>
          <t>Norway</t>
        </is>
      </c>
      <c r="E275" s="13" t="inlineStr">
        <is>
          <t>Oda</t>
        </is>
      </c>
      <c r="F275" s="13" t="inlineStr">
        <is>
          <t>https://oda.com/no/</t>
        </is>
      </c>
      <c r="G275" s="13" t="inlineStr">
        <is>
          <t>PROBED - SKIP</t>
        </is>
      </c>
      <c r="H275" s="13" t="inlineStr">
        <is>
          <t>SKIP</t>
        </is>
      </c>
      <c r="I275" s="13" t="inlineStr">
        <is>
          <t>high</t>
        </is>
      </c>
      <c r="J275" s="13" t="n">
        <v>0</v>
      </c>
      <c r="K275" s="13" t="inlineStr">
        <is>
          <t>unresolved (timeout)</t>
        </is>
      </c>
      <c r="L275" s="13" t="inlineStr">
        <is>
          <t>curl: (28) Connection timed out after 20s - reproduced twice</t>
        </is>
      </c>
      <c r="M275" s="13" t="inlineStr">
        <is>
          <t>ACCEPT</t>
        </is>
      </c>
      <c r="N275" s="13" t="inlineStr">
        <is>
          <t>C - engineering required</t>
        </is>
      </c>
      <c r="O275" s="13" t="n">
        <v>3</v>
      </c>
      <c r="P275" s="13" t="inlineStr">
        <is>
          <t>Custom</t>
        </is>
      </c>
      <c r="Q275" s="13" t="inlineStr"/>
      <c r="R275" s="13" t="inlineStr">
        <is>
          <t>-</t>
        </is>
      </c>
      <c r="S275" s="13" t="inlineStr">
        <is>
          <t>current, unit_price</t>
        </is>
      </c>
      <c r="T275" s="13" t="inlineStr">
        <is>
          <t>Norway's leading online grocer, &gt;NOK 4bn revenue. Same group and platform as Mathem (Sweden). Oda Systems is now sold as a platform to other retailers internationally - so this stack may appear in further markets.</t>
        </is>
      </c>
      <c r="U275" s="13" t="inlineStr">
        <is>
          <t>-</t>
        </is>
      </c>
      <c r="V275" s="13" t="inlineStr">
        <is>
          <t>P8-EU</t>
        </is>
      </c>
    </row>
    <row r="276">
      <c r="A276" s="13" t="inlineStr">
        <is>
          <t>eca</t>
        </is>
      </c>
      <c r="B276" s="13" t="inlineStr">
        <is>
          <t>norway</t>
        </is>
      </c>
      <c r="C276" s="13" t="inlineStr">
        <is>
          <t>NOR</t>
        </is>
      </c>
      <c r="D276" s="13" t="inlineStr">
        <is>
          <t>Norway</t>
        </is>
      </c>
      <c r="E276" s="13" t="inlineStr">
        <is>
          <t>Coop Norge</t>
        </is>
      </c>
      <c r="F276" s="13" t="inlineStr">
        <is>
          <t>https://coop.no/</t>
        </is>
      </c>
      <c r="G276" s="13" t="inlineStr">
        <is>
          <t>PROBED - VIABLE</t>
        </is>
      </c>
      <c r="H276" s="13" t="inlineStr">
        <is>
          <t>TIER_2</t>
        </is>
      </c>
      <c r="I276" s="13" t="inlineStr">
        <is>
          <t>medium</t>
        </is>
      </c>
      <c r="J276" s="13" t="n">
        <v>0</v>
      </c>
      <c r="K276" s="13" t="inlineStr">
        <is>
          <t>not found</t>
        </is>
      </c>
      <c r="L276" s="13" t="inlineStr">
        <is>
          <t>curl 200, 104KB, no product/category evidence in nav grep - only corporate/membership menu items ('Bli medlem', 'Butikkoversikt', 'Kundeservice')</t>
        </is>
      </c>
      <c r="M276" s="13" t="inlineStr">
        <is>
          <t>ACCEPT</t>
        </is>
      </c>
      <c r="N276" s="13" t="inlineStr">
        <is>
          <t>C - engineering required</t>
        </is>
      </c>
      <c r="O276" s="13" t="n">
        <v>3</v>
      </c>
      <c r="P276" s="13" t="inlineStr">
        <is>
          <t>Custom</t>
        </is>
      </c>
      <c r="Q276" s="13" t="inlineStr"/>
      <c r="R276" s="13" t="inlineStr">
        <is>
          <t>-</t>
        </is>
      </c>
      <c r="S276" s="13" t="inlineStr">
        <is>
          <t>current</t>
        </is>
      </c>
      <c r="T276" s="13" t="inlineStr">
        <is>
          <t>National chain with a bespoke storefront. Fetch a category page first: if prices render server-side a plain parser suffices, otherwise capture the category XHR.</t>
        </is>
      </c>
      <c r="U276" s="13" t="inlineStr">
        <is>
          <t>-</t>
        </is>
      </c>
      <c r="V276" s="13" t="inlineStr">
        <is>
          <t>P8-EU</t>
        </is>
      </c>
    </row>
    <row r="277">
      <c r="A277" s="13" t="inlineStr">
        <is>
          <t>eca</t>
        </is>
      </c>
      <c r="B277" s="13" t="inlineStr">
        <is>
          <t>norway</t>
        </is>
      </c>
      <c r="C277" s="13" t="inlineStr">
        <is>
          <t>NOR</t>
        </is>
      </c>
      <c r="D277" s="13" t="inlineStr">
        <is>
          <t>Norway</t>
        </is>
      </c>
      <c r="E277" s="13" t="inlineStr">
        <is>
          <t>Kolonial/Spar NO</t>
        </is>
      </c>
      <c r="F277" s="13" t="inlineStr">
        <is>
          <t>https://spar.no/</t>
        </is>
      </c>
      <c r="G277" s="13" t="inlineStr">
        <is>
          <t>PROBED - VIABLE</t>
        </is>
      </c>
      <c r="H277" s="13" t="inlineStr">
        <is>
          <t>TIER_2</t>
        </is>
      </c>
      <c r="I277" s="13" t="inlineStr">
        <is>
          <t>medium</t>
        </is>
      </c>
      <c r="J277" s="13" t="n">
        <v>0</v>
      </c>
      <c r="K277" s="13" t="inlineStr">
        <is>
          <t>not found</t>
        </is>
      </c>
      <c r="L277" s="13" t="inlineStr">
        <is>
          <t>curl 200, 184KB, no F&amp;B category evidence in nav grep (menu items only). Guessed /handlelister path 404'd</t>
        </is>
      </c>
      <c r="M277" s="13" t="inlineStr">
        <is>
          <t>ACCEPT</t>
        </is>
      </c>
      <c r="N277" s="13" t="inlineStr">
        <is>
          <t>C - engineering required</t>
        </is>
      </c>
      <c r="O277" s="13" t="n">
        <v>3</v>
      </c>
      <c r="P277" s="13" t="inlineStr">
        <is>
          <t>Custom</t>
        </is>
      </c>
      <c r="Q277" s="13" t="inlineStr"/>
      <c r="R277" s="13" t="inlineStr">
        <is>
          <t>-</t>
        </is>
      </c>
      <c r="S277" s="13" t="inlineStr">
        <is>
          <t>current</t>
        </is>
      </c>
      <c r="T277" s="13" t="inlineStr">
        <is>
          <t>National chain with a bespoke storefront. Fetch a category page first: if prices render server-side a plain parser suffices, otherwise capture the category XHR.</t>
        </is>
      </c>
      <c r="U277" s="13" t="inlineStr">
        <is>
          <t>-</t>
        </is>
      </c>
      <c r="V277" s="13" t="inlineStr">
        <is>
          <t>P8-EU</t>
        </is>
      </c>
    </row>
    <row r="278">
      <c r="A278" s="13" t="inlineStr">
        <is>
          <t>eca</t>
        </is>
      </c>
      <c r="B278" s="13" t="inlineStr">
        <is>
          <t>norway</t>
        </is>
      </c>
      <c r="C278" s="13" t="inlineStr">
        <is>
          <t>NOR</t>
        </is>
      </c>
      <c r="D278" s="13" t="inlineStr">
        <is>
          <t>Norway</t>
        </is>
      </c>
      <c r="E278" s="13" t="inlineStr">
        <is>
          <t>Meny</t>
        </is>
      </c>
      <c r="F278" s="13" t="inlineStr">
        <is>
          <t>https://meny.no/</t>
        </is>
      </c>
      <c r="G278" s="13" t="inlineStr">
        <is>
          <t>PROBED - VIABLE</t>
        </is>
      </c>
      <c r="H278" s="13" t="inlineStr">
        <is>
          <t>TIER_2</t>
        </is>
      </c>
      <c r="I278" s="13" t="inlineStr">
        <is>
          <t>medium</t>
        </is>
      </c>
      <c r="J278" s="13" t="n">
        <v>0</v>
      </c>
      <c r="K278" s="13" t="inlineStr">
        <is>
          <t>not found</t>
        </is>
      </c>
      <c r="L278" s="13" t="inlineStr">
        <is>
          <t>curl 200, 316KB homepage; /varer path returns 200/227KB but no price pattern or F&amp;B category names matched in nav grep (menu/corporate items only, one recipe name 'Pastagrateng med kjottdeig')</t>
        </is>
      </c>
      <c r="M278" s="13" t="inlineStr">
        <is>
          <t>ACCEPT</t>
        </is>
      </c>
      <c r="N278" s="13" t="inlineStr">
        <is>
          <t>C - engineering required</t>
        </is>
      </c>
      <c r="O278" s="13" t="n">
        <v>3</v>
      </c>
      <c r="P278" s="13" t="inlineStr">
        <is>
          <t>Custom</t>
        </is>
      </c>
      <c r="Q278" s="13" t="inlineStr"/>
      <c r="R278" s="13" t="inlineStr">
        <is>
          <t>-</t>
        </is>
      </c>
      <c r="S278" s="13" t="inlineStr">
        <is>
          <t>current</t>
        </is>
      </c>
      <c r="T278" s="13" t="inlineStr">
        <is>
          <t>National chain with a bespoke storefront. Fetch a category page first: if prices render server-side a plain parser suffices, otherwise capture the category XHR.</t>
        </is>
      </c>
      <c r="U278" s="13" t="inlineStr">
        <is>
          <t>-</t>
        </is>
      </c>
      <c r="V278" s="13" t="inlineStr">
        <is>
          <t>P8-EU</t>
        </is>
      </c>
    </row>
    <row r="279">
      <c r="A279" s="13" t="inlineStr">
        <is>
          <t>eca</t>
        </is>
      </c>
      <c r="B279" s="13" t="inlineStr">
        <is>
          <t>norway</t>
        </is>
      </c>
      <c r="C279" s="13" t="inlineStr">
        <is>
          <t>NOR</t>
        </is>
      </c>
      <c r="D279" s="13" t="inlineStr">
        <is>
          <t>Norway</t>
        </is>
      </c>
      <c r="E279" s="13" t="inlineStr">
        <is>
          <t>Vinmonopolet</t>
        </is>
      </c>
      <c r="F279" s="13" t="inlineStr">
        <is>
          <t>https://www.vinmonopolet.no/</t>
        </is>
      </c>
      <c r="G279" s="13" t="inlineStr">
        <is>
          <t>PROBED - VIABLE</t>
        </is>
      </c>
      <c r="H279" s="13" t="inlineStr">
        <is>
          <t>TIER_2</t>
        </is>
      </c>
      <c r="I279" s="13" t="inlineStr">
        <is>
          <t>medium</t>
        </is>
      </c>
      <c r="J279" s="13" t="n">
        <v>9</v>
      </c>
      <c r="K279" s="13" t="inlineStr">
        <is>
          <t>not found (search guess 404'd)</t>
        </is>
      </c>
      <c r="L279" s="13" t="inlineStr">
        <is>
          <t>curl 200, 38.2KB homepage; nav grep confirms real alcohol-category names: 'Alkoholfritt' (non-alcoholic), 'Aromatisert vin' (aromatized wine), 'Brennevin' (spirits), 'Fruktvin' (fruit wine), 'Alle varer' (all products) - a guessed /sok?q= search path 404'd</t>
        </is>
      </c>
      <c r="M279" s="13" t="inlineStr">
        <is>
          <t>ACCEPT</t>
        </is>
      </c>
      <c r="N279" s="13" t="inlineStr">
        <is>
          <t>B - moderate effort</t>
        </is>
      </c>
      <c r="O279" s="13" t="n">
        <v>4</v>
      </c>
      <c r="P279" s="13" t="inlineStr">
        <is>
          <t>Custom</t>
        </is>
      </c>
      <c r="Q279" s="13" t="inlineStr"/>
      <c r="R279" s="13" t="inlineStr">
        <is>
          <t>-</t>
        </is>
      </c>
      <c r="S279" s="13" t="inlineStr">
        <is>
          <t>current, unit_price</t>
        </is>
      </c>
      <c r="T279" s="13" t="inlineStr">
        <is>
          <t>STATE ALCOHOL MONOPOLY - administered prices, complete national catalogue, and a well-structured site. The cleanest possible source for COICOP 2.1 in Norway and a policy-price benchmark.</t>
        </is>
      </c>
      <c r="U279" s="13" t="inlineStr">
        <is>
          <t>-</t>
        </is>
      </c>
      <c r="V279" s="13" t="inlineStr">
        <is>
          <t>P8-EU</t>
        </is>
      </c>
    </row>
    <row r="280">
      <c r="A280" s="13" t="inlineStr">
        <is>
          <t>eca</t>
        </is>
      </c>
      <c r="B280" s="13" t="inlineStr">
        <is>
          <t>poland</t>
        </is>
      </c>
      <c r="C280" s="13" t="inlineStr">
        <is>
          <t>POL</t>
        </is>
      </c>
      <c r="D280" s="13" t="inlineStr">
        <is>
          <t>Poland</t>
        </is>
      </c>
      <c r="E280" s="13" t="inlineStr">
        <is>
          <t>Biedronka Home</t>
        </is>
      </c>
      <c r="F280" s="13" t="inlineStr">
        <is>
          <t>https://home.biedronka.pl/</t>
        </is>
      </c>
      <c r="G280" s="13" t="inlineStr">
        <is>
          <t>NOT PROBED - deduped, already onboarded, or time-boxed</t>
        </is>
      </c>
      <c r="H280" s="13" t="inlineStr"/>
      <c r="I280" s="13" t="inlineStr"/>
      <c r="J280" s="13" t="inlineStr"/>
      <c r="K280" s="13" t="inlineStr"/>
      <c r="L280" s="13" t="inlineStr"/>
      <c r="M280" s="13" t="inlineStr">
        <is>
          <t>SUSPECT</t>
        </is>
      </c>
      <c r="N280" s="13" t="inlineStr">
        <is>
          <t>C - engineering required</t>
        </is>
      </c>
      <c r="O280" s="13" t="n">
        <v>3</v>
      </c>
      <c r="P280" s="13" t="inlineStr">
        <is>
          <t>Custom</t>
        </is>
      </c>
      <c r="Q280" s="13" t="inlineStr">
        <is>
          <t>PLN</t>
        </is>
      </c>
      <c r="R280" s="13" t="inlineStr">
        <is>
          <t>-</t>
        </is>
      </c>
      <c r="S280" s="13" t="inlineStr">
        <is>
          <t>current</t>
        </is>
      </c>
      <c r="T280" s="13" t="inlineStr">
        <is>
          <t>Non-food arm (COICOP 5, 9, 12) with published courier tariffs.</t>
        </is>
      </c>
      <c r="U280" s="13" t="inlineStr">
        <is>
          <t>-</t>
        </is>
      </c>
      <c r="V280" s="13" t="inlineStr">
        <is>
          <t>P7</t>
        </is>
      </c>
    </row>
    <row r="281">
      <c r="A281" s="13" t="inlineStr">
        <is>
          <t>eca</t>
        </is>
      </c>
      <c r="B281" s="13" t="inlineStr">
        <is>
          <t>poland</t>
        </is>
      </c>
      <c r="C281" s="13" t="inlineStr">
        <is>
          <t>POL</t>
        </is>
      </c>
      <c r="D281" s="13" t="inlineStr">
        <is>
          <t>Poland</t>
        </is>
      </c>
      <c r="E281" s="13" t="inlineStr">
        <is>
          <t>Delio</t>
        </is>
      </c>
      <c r="F281" s="13" t="inlineStr">
        <is>
          <t>https://delio.pl/</t>
        </is>
      </c>
      <c r="G281" s="13" t="inlineStr">
        <is>
          <t>NOT PROBED - deduped, already onboarded, or time-boxed</t>
        </is>
      </c>
      <c r="H281" s="13" t="inlineStr"/>
      <c r="I281" s="13" t="inlineStr"/>
      <c r="J281" s="13" t="inlineStr"/>
      <c r="K281" s="13" t="inlineStr"/>
      <c r="L281" s="13" t="inlineStr"/>
      <c r="M281" s="13" t="inlineStr">
        <is>
          <t>ACCEPT</t>
        </is>
      </c>
      <c r="N281" s="13" t="inlineStr">
        <is>
          <t>C - engineering required</t>
        </is>
      </c>
      <c r="O281" s="13" t="n">
        <v>3</v>
      </c>
      <c r="P281" s="13" t="inlineStr">
        <is>
          <t>Custom</t>
        </is>
      </c>
      <c r="Q281" s="13" t="inlineStr">
        <is>
          <t>PLN</t>
        </is>
      </c>
      <c r="R281" s="13" t="inlineStr">
        <is>
          <t>-</t>
        </is>
      </c>
      <c r="S281" s="13" t="inlineStr">
        <is>
          <t>current</t>
        </is>
      </c>
      <c r="T281" s="13" t="inlineStr">
        <is>
          <t>Premium q-commerce grocer; useful as a high-end price tier alongside Biedronka's discount tier.</t>
        </is>
      </c>
      <c r="U281" s="13" t="inlineStr">
        <is>
          <t>-</t>
        </is>
      </c>
      <c r="V281" s="13" t="inlineStr">
        <is>
          <t>P7</t>
        </is>
      </c>
    </row>
    <row r="282">
      <c r="A282" s="13" t="inlineStr">
        <is>
          <t>eca</t>
        </is>
      </c>
      <c r="B282" s="13" t="inlineStr">
        <is>
          <t>poland</t>
        </is>
      </c>
      <c r="C282" s="13" t="inlineStr">
        <is>
          <t>POL</t>
        </is>
      </c>
      <c r="D282" s="13" t="inlineStr">
        <is>
          <t>Poland</t>
        </is>
      </c>
      <c r="E282" s="13" t="inlineStr">
        <is>
          <t>Delio</t>
        </is>
      </c>
      <c r="F282" s="13" t="inlineStr">
        <is>
          <t>https://delio.pl/</t>
        </is>
      </c>
      <c r="G282" s="13" t="inlineStr">
        <is>
          <t>NOT PROBED - deduped, already onboarded, or time-boxed</t>
        </is>
      </c>
      <c r="H282" s="13" t="inlineStr"/>
      <c r="I282" s="13" t="inlineStr"/>
      <c r="J282" s="13" t="inlineStr"/>
      <c r="K282" s="13" t="inlineStr"/>
      <c r="L282" s="13" t="inlineStr"/>
      <c r="M282" s="13" t="inlineStr">
        <is>
          <t>ACCEPT</t>
        </is>
      </c>
      <c r="N282" s="13" t="inlineStr">
        <is>
          <t>C - engineering required</t>
        </is>
      </c>
      <c r="O282" s="13" t="n">
        <v>3</v>
      </c>
      <c r="P282" s="13" t="inlineStr">
        <is>
          <t>Custom</t>
        </is>
      </c>
      <c r="Q282" s="13" t="inlineStr"/>
      <c r="R282" s="13" t="inlineStr">
        <is>
          <t>-</t>
        </is>
      </c>
      <c r="S282" s="13" t="inlineStr">
        <is>
          <t>current</t>
        </is>
      </c>
      <c r="T282" s="13" t="inlineStr">
        <is>
          <t>Premium q-commerce.</t>
        </is>
      </c>
      <c r="U282" s="13" t="inlineStr">
        <is>
          <t>-</t>
        </is>
      </c>
      <c r="V282" s="13" t="inlineStr">
        <is>
          <t>P8-EU</t>
        </is>
      </c>
    </row>
    <row r="283">
      <c r="A283" s="13" t="inlineStr">
        <is>
          <t>eca</t>
        </is>
      </c>
      <c r="B283" s="13" t="inlineStr">
        <is>
          <t>poland</t>
        </is>
      </c>
      <c r="C283" s="13" t="inlineStr">
        <is>
          <t>POL</t>
        </is>
      </c>
      <c r="D283" s="13" t="inlineStr">
        <is>
          <t>Poland</t>
        </is>
      </c>
      <c r="E283" s="13" t="inlineStr">
        <is>
          <t>Auchan Poland</t>
        </is>
      </c>
      <c r="F283" s="13" t="inlineStr">
        <is>
          <t>https://www.auchan.pl/</t>
        </is>
      </c>
      <c r="G283" s="13" t="inlineStr">
        <is>
          <t>PROBED - SKIP</t>
        </is>
      </c>
      <c r="H283" s="13" t="inlineStr">
        <is>
          <t>SKIP</t>
        </is>
      </c>
      <c r="I283" s="13" t="inlineStr">
        <is>
          <t>high</t>
        </is>
      </c>
      <c r="J283" s="13" t="n">
        <v>0</v>
      </c>
      <c r="K283" s="13" t="inlineStr"/>
      <c r="L283" s="13" t="inlineStr">
        <is>
          <t>GET -&gt; 200 but only 2KB, pure Vue SPA shell (empty &lt;div id="app"&gt;), zero SSR content.</t>
        </is>
      </c>
      <c r="M283" s="13" t="inlineStr">
        <is>
          <t>ACCEPT</t>
        </is>
      </c>
      <c r="N283" s="13" t="inlineStr">
        <is>
          <t>D - hard / app / index only</t>
        </is>
      </c>
      <c r="O283" s="13" t="n">
        <v>2</v>
      </c>
      <c r="P283" s="13" t="inlineStr">
        <is>
          <t>Custom/Enterprise</t>
        </is>
      </c>
      <c r="Q283" s="13" t="inlineStr">
        <is>
          <t>PLN</t>
        </is>
      </c>
      <c r="R283" s="13" t="inlineStr">
        <is>
          <t>-</t>
        </is>
      </c>
      <c r="S283" s="13" t="inlineStr">
        <is>
          <t>current, promo, unit_price</t>
        </is>
      </c>
      <c r="T283" s="13" t="inlineStr">
        <is>
          <t>Hypermarket with full online grocery. EU pricing rules apply, so test for the pre-reduction field here too.</t>
        </is>
      </c>
      <c r="U283" s="13" t="inlineStr">
        <is>
          <t>-</t>
        </is>
      </c>
      <c r="V283" s="13" t="inlineStr">
        <is>
          <t>P7</t>
        </is>
      </c>
    </row>
    <row r="284">
      <c r="A284" s="13" t="inlineStr">
        <is>
          <t>eca</t>
        </is>
      </c>
      <c r="B284" s="13" t="inlineStr">
        <is>
          <t>poland</t>
        </is>
      </c>
      <c r="C284" s="13" t="inlineStr">
        <is>
          <t>POL</t>
        </is>
      </c>
      <c r="D284" s="13" t="inlineStr">
        <is>
          <t>Poland</t>
        </is>
      </c>
      <c r="E284" s="13" t="inlineStr">
        <is>
          <t>Auchan Poland</t>
        </is>
      </c>
      <c r="F284" s="13" t="inlineStr">
        <is>
          <t>https://www.auchan.pl/</t>
        </is>
      </c>
      <c r="G284" s="13" t="inlineStr">
        <is>
          <t>PROBED - SKIP</t>
        </is>
      </c>
      <c r="H284" s="13" t="inlineStr">
        <is>
          <t>SKIP</t>
        </is>
      </c>
      <c r="I284" s="13" t="inlineStr">
        <is>
          <t>high</t>
        </is>
      </c>
      <c r="J284" s="13" t="n">
        <v>0</v>
      </c>
      <c r="K284" s="13" t="inlineStr"/>
      <c r="L284" s="13" t="inlineStr">
        <is>
          <t>GET -&gt; 200 but only 2KB, pure Vue SPA shell (empty &lt;div id="app"&gt;), zero SSR content.</t>
        </is>
      </c>
      <c r="M284" s="13" t="inlineStr">
        <is>
          <t>SUSPECT</t>
        </is>
      </c>
      <c r="N284" s="13" t="inlineStr">
        <is>
          <t>D - hard / app / index only</t>
        </is>
      </c>
      <c r="O284" s="13" t="n">
        <v>2</v>
      </c>
      <c r="P284" s="13" t="inlineStr">
        <is>
          <t>Custom/Enterprise</t>
        </is>
      </c>
      <c r="Q284" s="13" t="inlineStr"/>
      <c r="R284" s="13" t="inlineStr">
        <is>
          <t>-</t>
        </is>
      </c>
      <c r="S284" s="13" t="inlineStr">
        <is>
          <t>current, unit_price</t>
        </is>
      </c>
      <c r="T284" s="13" t="inlineStr">
        <is>
          <t>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284" s="13" t="inlineStr">
        <is>
          <t>-</t>
        </is>
      </c>
      <c r="V284" s="13" t="inlineStr">
        <is>
          <t>P8-EU</t>
        </is>
      </c>
    </row>
    <row r="285">
      <c r="A285" s="13" t="inlineStr">
        <is>
          <t>eca</t>
        </is>
      </c>
      <c r="B285" s="13" t="inlineStr">
        <is>
          <t>poland</t>
        </is>
      </c>
      <c r="C285" s="13" t="inlineStr">
        <is>
          <t>POL</t>
        </is>
      </c>
      <c r="D285" s="13" t="inlineStr">
        <is>
          <t>Poland</t>
        </is>
      </c>
      <c r="E285" s="13" t="inlineStr">
        <is>
          <t>Carrefour Poland</t>
        </is>
      </c>
      <c r="F285" s="13" t="inlineStr">
        <is>
          <t>https://www.carrefour.pl/</t>
        </is>
      </c>
      <c r="G285" s="13" t="inlineStr">
        <is>
          <t>PROBED - SKIP</t>
        </is>
      </c>
      <c r="H285" s="13" t="inlineStr">
        <is>
          <t>SKIP</t>
        </is>
      </c>
      <c r="I285" s="13" t="inlineStr">
        <is>
          <t>high</t>
        </is>
      </c>
      <c r="J285" s="13" t="n">
        <v>0</v>
      </c>
      <c r="K285" s="13" t="inlineStr"/>
      <c r="L285" s="13" t="inlineStr">
        <is>
          <t>GET -&gt; 403, body contains an IE6/IE7-branch bot-challenge page with 'captcha'/'blocked' strings -- same shape confirmed on carrefour.es and asda.com.</t>
        </is>
      </c>
      <c r="M285" s="13" t="inlineStr">
        <is>
          <t>ACCEPT</t>
        </is>
      </c>
      <c r="N285" s="13" t="inlineStr">
        <is>
          <t>D - hard / app / index only</t>
        </is>
      </c>
      <c r="O285" s="13" t="n">
        <v>2</v>
      </c>
      <c r="P285" s="13" t="inlineStr">
        <is>
          <t>Custom/Enterprise</t>
        </is>
      </c>
      <c r="Q285" s="13" t="inlineStr">
        <is>
          <t>PLN</t>
        </is>
      </c>
      <c r="R285" s="13" t="inlineStr">
        <is>
          <t>-</t>
        </is>
      </c>
      <c r="S285" s="13" t="inlineStr">
        <is>
          <t>current, promo</t>
        </is>
      </c>
      <c r="T285" s="13" t="inlineStr">
        <is>
          <t>Major hypermarket chain.</t>
        </is>
      </c>
      <c r="U285" s="13" t="inlineStr">
        <is>
          <t>-</t>
        </is>
      </c>
      <c r="V285" s="13" t="inlineStr">
        <is>
          <t>P7</t>
        </is>
      </c>
    </row>
    <row r="286">
      <c r="A286" s="13" t="inlineStr">
        <is>
          <t>eca</t>
        </is>
      </c>
      <c r="B286" s="13" t="inlineStr">
        <is>
          <t>poland</t>
        </is>
      </c>
      <c r="C286" s="13" t="inlineStr">
        <is>
          <t>POL</t>
        </is>
      </c>
      <c r="D286" s="13" t="inlineStr">
        <is>
          <t>Poland</t>
        </is>
      </c>
      <c r="E286" s="13" t="inlineStr">
        <is>
          <t>Carrefour Poland</t>
        </is>
      </c>
      <c r="F286" s="13" t="inlineStr">
        <is>
          <t>https://www.carrefour.pl/</t>
        </is>
      </c>
      <c r="G286" s="13" t="inlineStr">
        <is>
          <t>PROBED - SKIP</t>
        </is>
      </c>
      <c r="H286" s="13" t="inlineStr">
        <is>
          <t>SKIP</t>
        </is>
      </c>
      <c r="I286" s="13" t="inlineStr">
        <is>
          <t>high</t>
        </is>
      </c>
      <c r="J286" s="13" t="n">
        <v>0</v>
      </c>
      <c r="K286" s="13" t="inlineStr"/>
      <c r="L286" s="13" t="inlineStr">
        <is>
          <t>GET -&gt; 403, body contains an IE6/IE7-branch bot-challenge page with 'captcha'/'blocked' strings -- same shape confirmed on carrefour.es and asda.com.</t>
        </is>
      </c>
      <c r="M286" s="13" t="inlineStr">
        <is>
          <t>SUSPECT</t>
        </is>
      </c>
      <c r="N286" s="13" t="inlineStr">
        <is>
          <t>D - hard / app / index only</t>
        </is>
      </c>
      <c r="O286" s="13" t="n">
        <v>2</v>
      </c>
      <c r="P286" s="13" t="inlineStr">
        <is>
          <t>Custom/Enterprise</t>
        </is>
      </c>
      <c r="Q286" s="13" t="inlineStr"/>
      <c r="R286" s="13" t="inlineStr">
        <is>
          <t>-</t>
        </is>
      </c>
      <c r="S286" s="13" t="inlineStr">
        <is>
          <t>current</t>
        </is>
      </c>
      <c r="T286" s="13" t="inlineStr">
        <is>
          <t>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286" s="13" t="inlineStr">
        <is>
          <t>-</t>
        </is>
      </c>
      <c r="V286" s="13" t="inlineStr">
        <is>
          <t>P8-EU</t>
        </is>
      </c>
    </row>
    <row r="287">
      <c r="A287" s="13" t="inlineStr">
        <is>
          <t>eca</t>
        </is>
      </c>
      <c r="B287" s="13" t="inlineStr">
        <is>
          <t>poland</t>
        </is>
      </c>
      <c r="C287" s="13" t="inlineStr">
        <is>
          <t>POL</t>
        </is>
      </c>
      <c r="D287" s="13" t="inlineStr">
        <is>
          <t>Poland</t>
        </is>
      </c>
      <c r="E287" s="13" t="inlineStr">
        <is>
          <t>Glovo Poland</t>
        </is>
      </c>
      <c r="F287" s="13" t="inlineStr">
        <is>
          <t>https://glovoapp.com/pl/</t>
        </is>
      </c>
      <c r="G287" s="13" t="inlineStr">
        <is>
          <t>PROBED - SKIP</t>
        </is>
      </c>
      <c r="H287" s="13" t="inlineStr">
        <is>
          <t>SKIP</t>
        </is>
      </c>
      <c r="I287" s="13" t="inlineStr">
        <is>
          <t>medium</t>
        </is>
      </c>
      <c r="J287" s="13" t="n">
        <v>0</v>
      </c>
      <c r="K287" s="13" t="inlineStr"/>
      <c r="L287" s="13" t="inlineStr">
        <is>
          <t>Not independently re-probed this round; CSV notes catalogue is client-rendered (SPA).</t>
        </is>
      </c>
      <c r="M287" s="13" t="inlineStr">
        <is>
          <t>ACCEPT</t>
        </is>
      </c>
      <c r="N287" s="13" t="inlineStr">
        <is>
          <t>C - engineering required</t>
        </is>
      </c>
      <c r="O287" s="13" t="n">
        <v>3</v>
      </c>
      <c r="P287" s="13" t="inlineStr">
        <is>
          <t>Custom</t>
        </is>
      </c>
      <c r="Q287" s="13" t="inlineStr">
        <is>
          <t>PLN</t>
        </is>
      </c>
      <c r="R287" s="13" t="inlineStr">
        <is>
          <t>Walk Glovo PL city pages to enumerate partner supermarkets.</t>
        </is>
      </c>
      <c r="S287" s="13" t="inlineStr">
        <is>
          <t>current</t>
        </is>
      </c>
      <c r="T287" s="13" t="inlineStr">
        <is>
          <t>Biedronka's own site directs express-delivery customers to Glovo, so Glovo carries Biedronka assortment beyond Warsaw. This is the enumeration route for the rest of Poland.</t>
        </is>
      </c>
      <c r="U287" s="13" t="inlineStr">
        <is>
          <t>Platform prices may carry a markup over in-store; verify against zakupy.biedronka.pl.</t>
        </is>
      </c>
      <c r="V287" s="13" t="inlineStr">
        <is>
          <t>P7</t>
        </is>
      </c>
    </row>
    <row r="288">
      <c r="A288" s="13" t="inlineStr">
        <is>
          <t>eca</t>
        </is>
      </c>
      <c r="B288" s="13" t="inlineStr">
        <is>
          <t>poland</t>
        </is>
      </c>
      <c r="C288" s="13" t="inlineStr">
        <is>
          <t>POL</t>
        </is>
      </c>
      <c r="D288" s="13" t="inlineStr">
        <is>
          <t>Poland</t>
        </is>
      </c>
      <c r="E288" s="13" t="inlineStr">
        <is>
          <t>Kaufland Poland</t>
        </is>
      </c>
      <c r="F288" s="13" t="inlineStr">
        <is>
          <t>https://www.kaufland.pl/</t>
        </is>
      </c>
      <c r="G288" s="13" t="inlineStr">
        <is>
          <t>PROBED - SKIP</t>
        </is>
      </c>
      <c r="H288" s="13" t="inlineStr">
        <is>
          <t>SKIP</t>
        </is>
      </c>
      <c r="I288" s="13" t="inlineStr">
        <is>
          <t>high</t>
        </is>
      </c>
      <c r="J288" s="13" t="n">
        <v>0</v>
      </c>
      <c r="K288" s="13" t="inlineStr"/>
      <c r="L288" s="13" t="inlineStr">
        <is>
          <t>GET -&gt; 403, 16KB branded page 'Kaufland.pl - Dostęp zablokowany' (Access Blocked), same shape as Kaufland CZ/SK.</t>
        </is>
      </c>
      <c r="M288" s="13" t="inlineStr">
        <is>
          <t>SUSPECT</t>
        </is>
      </c>
      <c r="N288" s="13" t="inlineStr">
        <is>
          <t>D - hard / app / index only</t>
        </is>
      </c>
      <c r="O288" s="13" t="n">
        <v>2</v>
      </c>
      <c r="P288" s="13" t="inlineStr">
        <is>
          <t>Custom/Enterprise</t>
        </is>
      </c>
      <c r="Q288" s="13" t="inlineStr">
        <is>
          <t>PLN</t>
        </is>
      </c>
      <c r="R288" s="13" t="inlineStr">
        <is>
          <t>-</t>
        </is>
      </c>
      <c r="S288" s="13" t="inlineStr">
        <is>
          <t>current, promo</t>
        </is>
      </c>
      <c r="T288" s="13" t="inlineStr">
        <is>
          <t>Check whether Poland follows the Bulgarian pattern of Glovo-only distribution.</t>
        </is>
      </c>
      <c r="U288" s="13" t="inlineStr">
        <is>
          <t>-</t>
        </is>
      </c>
      <c r="V288" s="13" t="inlineStr">
        <is>
          <t>P7</t>
        </is>
      </c>
    </row>
    <row r="289">
      <c r="A289" s="13" t="inlineStr">
        <is>
          <t>eca</t>
        </is>
      </c>
      <c r="B289" s="13" t="inlineStr">
        <is>
          <t>poland</t>
        </is>
      </c>
      <c r="C289" s="13" t="inlineStr">
        <is>
          <t>POL</t>
        </is>
      </c>
      <c r="D289" s="13" t="inlineStr">
        <is>
          <t>Poland</t>
        </is>
      </c>
      <c r="E289" s="13" t="inlineStr">
        <is>
          <t>Kaufland Poland</t>
        </is>
      </c>
      <c r="F289" s="13" t="inlineStr">
        <is>
          <t>https://www.kaufland.pl/</t>
        </is>
      </c>
      <c r="G289" s="13" t="inlineStr">
        <is>
          <t>PROBED - SKIP</t>
        </is>
      </c>
      <c r="H289" s="13" t="inlineStr">
        <is>
          <t>SKIP</t>
        </is>
      </c>
      <c r="I289" s="13" t="inlineStr">
        <is>
          <t>high</t>
        </is>
      </c>
      <c r="J289" s="13" t="n">
        <v>0</v>
      </c>
      <c r="K289" s="13" t="inlineStr"/>
      <c r="L289" s="13" t="inlineStr">
        <is>
          <t>GET -&gt; 403, 16KB branded page 'Kaufland.pl - Dostęp zablokowany' (Access Blocked), same shape as Kaufland CZ/SK.</t>
        </is>
      </c>
      <c r="M289" s="13" t="inlineStr">
        <is>
          <t>SUSPECT</t>
        </is>
      </c>
      <c r="N289" s="13" t="inlineStr">
        <is>
          <t>D - hard / app / index only</t>
        </is>
      </c>
      <c r="O289" s="13" t="n">
        <v>2</v>
      </c>
      <c r="P289" s="13" t="inlineStr">
        <is>
          <t>Custom/Enterprise</t>
        </is>
      </c>
      <c r="Q289" s="13" t="inlineStr"/>
      <c r="R289" s="13" t="inlineStr">
        <is>
          <t>-</t>
        </is>
      </c>
      <c r="S289" s="13" t="inlineStr">
        <is>
          <t>current</t>
        </is>
      </c>
      <c r="T289" s="13" t="inlineStr">
        <is>
          <t>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289" s="13" t="inlineStr">
        <is>
          <t>-</t>
        </is>
      </c>
      <c r="V289" s="13" t="inlineStr">
        <is>
          <t>P8-EU</t>
        </is>
      </c>
    </row>
    <row r="290">
      <c r="A290" s="13" t="inlineStr">
        <is>
          <t>eca</t>
        </is>
      </c>
      <c r="B290" s="13" t="inlineStr">
        <is>
          <t>poland</t>
        </is>
      </c>
      <c r="C290" s="13" t="inlineStr">
        <is>
          <t>POL</t>
        </is>
      </c>
      <c r="D290" s="13" t="inlineStr">
        <is>
          <t>Poland</t>
        </is>
      </c>
      <c r="E290" s="13" t="inlineStr">
        <is>
          <t>Lidl Poland</t>
        </is>
      </c>
      <c r="F290" s="13" t="inlineStr">
        <is>
          <t>https://www.lidl.pl/</t>
        </is>
      </c>
      <c r="G290" s="13" t="inlineStr">
        <is>
          <t>PROBED - SKIP</t>
        </is>
      </c>
      <c r="H290" s="13" t="inlineStr">
        <is>
          <t>SKIP</t>
        </is>
      </c>
      <c r="I290" s="13" t="inlineStr">
        <is>
          <t>medium</t>
        </is>
      </c>
      <c r="J290" s="13" t="n">
        <v>0</v>
      </c>
      <c r="K290" s="13" t="inlineStr"/>
      <c r="L290" s="13" t="inlineStr">
        <is>
          <t>Lidl.pl GET -&gt; 200, 191KB, no price pattern found on homepage (leaflet-led per shard note, not pursued further). Delio.pl GET -&gt; connection failed (curl exit 000) on two attempts.</t>
        </is>
      </c>
      <c r="M290" s="13" t="inlineStr">
        <is>
          <t>SUSPECT</t>
        </is>
      </c>
      <c r="N290" s="13" t="inlineStr">
        <is>
          <t>D - hard / app / index only</t>
        </is>
      </c>
      <c r="O290" s="13" t="n">
        <v>2</v>
      </c>
      <c r="P290" s="13" t="inlineStr">
        <is>
          <t>Custom/Enterprise</t>
        </is>
      </c>
      <c r="Q290" s="13" t="inlineStr">
        <is>
          <t>PLN</t>
        </is>
      </c>
      <c r="R290" s="13" t="inlineStr">
        <is>
          <t>-</t>
        </is>
      </c>
      <c r="S290" s="13" t="inlineStr">
        <is>
          <t>promo</t>
        </is>
      </c>
      <c r="T290" s="13" t="inlineStr">
        <is>
          <t>Discounter; leaflet-led rather than a full catalogue.</t>
        </is>
      </c>
      <c r="U290" s="13" t="inlineStr">
        <is>
          <t>Leaflet is not a catalogue.</t>
        </is>
      </c>
      <c r="V290" s="13" t="inlineStr">
        <is>
          <t>P7</t>
        </is>
      </c>
    </row>
    <row r="291">
      <c r="A291" s="13" t="inlineStr">
        <is>
          <t>eca</t>
        </is>
      </c>
      <c r="B291" s="13" t="inlineStr">
        <is>
          <t>poland</t>
        </is>
      </c>
      <c r="C291" s="13" t="inlineStr">
        <is>
          <t>POL</t>
        </is>
      </c>
      <c r="D291" s="13" t="inlineStr">
        <is>
          <t>Poland</t>
        </is>
      </c>
      <c r="E291" s="13" t="inlineStr">
        <is>
          <t>Lidl Poland</t>
        </is>
      </c>
      <c r="F291" s="13" t="inlineStr">
        <is>
          <t>https://www.lidl.pl/</t>
        </is>
      </c>
      <c r="G291" s="13" t="inlineStr">
        <is>
          <t>PROBED - SKIP</t>
        </is>
      </c>
      <c r="H291" s="13" t="inlineStr">
        <is>
          <t>SKIP</t>
        </is>
      </c>
      <c r="I291" s="13" t="inlineStr">
        <is>
          <t>medium</t>
        </is>
      </c>
      <c r="J291" s="13" t="n">
        <v>0</v>
      </c>
      <c r="K291" s="13" t="inlineStr"/>
      <c r="L291" s="13" t="inlineStr">
        <is>
          <t>Lidl.pl GET -&gt; 200, 191KB, no price pattern found on homepage (leaflet-led per shard note, not pursued further). Delio.pl GET -&gt; connection failed (curl exit 000) on two attempts.</t>
        </is>
      </c>
      <c r="M291" s="13" t="inlineStr">
        <is>
          <t>SUSPECT</t>
        </is>
      </c>
      <c r="N291" s="13" t="inlineStr">
        <is>
          <t>D - hard / app / index only</t>
        </is>
      </c>
      <c r="O291" s="13" t="n">
        <v>2</v>
      </c>
      <c r="P291" s="13" t="inlineStr">
        <is>
          <t>Custom/Enterprise</t>
        </is>
      </c>
      <c r="Q291" s="13" t="inlineStr"/>
      <c r="R291" s="13" t="inlineStr">
        <is>
          <t>-</t>
        </is>
      </c>
      <c r="S291" s="13" t="inlineStr">
        <is>
          <t>promo</t>
        </is>
      </c>
      <c r="T291" s="13" t="inlineStr">
        <is>
          <t>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291" s="13" t="inlineStr">
        <is>
          <t>-</t>
        </is>
      </c>
      <c r="V291" s="13" t="inlineStr">
        <is>
          <t>P8-EU</t>
        </is>
      </c>
    </row>
    <row r="292">
      <c r="A292" s="13" t="inlineStr">
        <is>
          <t>eca</t>
        </is>
      </c>
      <c r="B292" s="13" t="inlineStr">
        <is>
          <t>poland</t>
        </is>
      </c>
      <c r="C292" s="13" t="inlineStr">
        <is>
          <t>POL</t>
        </is>
      </c>
      <c r="D292" s="13" t="inlineStr">
        <is>
          <t>Poland</t>
        </is>
      </c>
      <c r="E292" s="13" t="inlineStr">
        <is>
          <t>Biedronka (zakupy)</t>
        </is>
      </c>
      <c r="F292" s="13" t="inlineStr">
        <is>
          <t>https://zakupy.biedronka.pl/</t>
        </is>
      </c>
      <c r="G292" s="13" t="inlineStr">
        <is>
          <t>PROBED - VIABLE</t>
        </is>
      </c>
      <c r="H292" s="13" t="inlineStr">
        <is>
          <t>TIER_2</t>
        </is>
      </c>
      <c r="I292" s="13" t="inlineStr">
        <is>
          <t>medium</t>
        </is>
      </c>
      <c r="J292" s="13" t="n">
        <v>0</v>
      </c>
      <c r="K292" s="13" t="inlineStr"/>
      <c r="L292" s="13" t="inlineStr">
        <is>
          <t>GET / -&gt; 200, 324KB, only '0,00 zł' placeholder found (empty-cart state). Guessed category /c/nabial -&gt; 410 Gone. Not WAF-blocked.</t>
        </is>
      </c>
      <c r="M292" s="13" t="inlineStr">
        <is>
          <t>ACCEPT</t>
        </is>
      </c>
      <c r="N292" s="13" t="inlineStr">
        <is>
          <t>C - engineering required</t>
        </is>
      </c>
      <c r="O292" s="13" t="n">
        <v>3</v>
      </c>
      <c r="P292" s="13" t="inlineStr">
        <is>
          <t>Custom</t>
        </is>
      </c>
      <c r="Q292" s="13" t="inlineStr">
        <is>
          <t>PLN</t>
        </is>
      </c>
      <c r="R292" s="13" t="inlineStr">
        <is>
          <t>Walk the category tree; use the published counts as a completeness check.</t>
        </is>
      </c>
      <c r="S292" s="13" t="inlineStr">
        <is>
          <t>current, promo</t>
        </is>
      </c>
      <c r="T292" s="13" t="inlineStr">
        <is>
          <t>Poland's largest discounter (Jeronimo Martins). The online store publishes PER-CATEGORY ITEM COUNTS throughout the tree (Promocje 44, Bestsellery 347, Nabial 140, Slodycze 134, Artykuly spozywcze 577), which gives a stated denominator for verifying crawl completeness.</t>
        </is>
      </c>
      <c r="U292" s="13" t="inlineStr">
        <is>
          <t>Home delivery is Warsaw-only at present, so the catalogue may be a Warsaw assortment rather than national. Do not generalise to the whole country without checking.</t>
        </is>
      </c>
      <c r="V292" s="13" t="inlineStr">
        <is>
          <t>P7</t>
        </is>
      </c>
    </row>
    <row r="293">
      <c r="A293" s="13" t="inlineStr">
        <is>
          <t>eca</t>
        </is>
      </c>
      <c r="B293" s="13" t="inlineStr">
        <is>
          <t>poland</t>
        </is>
      </c>
      <c r="C293" s="13" t="inlineStr">
        <is>
          <t>POL</t>
        </is>
      </c>
      <c r="D293" s="13" t="inlineStr">
        <is>
          <t>Poland</t>
        </is>
      </c>
      <c r="E293" s="13" t="inlineStr">
        <is>
          <t>Biedronka zakupy</t>
        </is>
      </c>
      <c r="F293" s="13" t="inlineStr">
        <is>
          <t>https://zakupy.biedronka.pl/</t>
        </is>
      </c>
      <c r="G293" s="13" t="inlineStr">
        <is>
          <t>PROBED - VIABLE</t>
        </is>
      </c>
      <c r="H293" s="13" t="inlineStr">
        <is>
          <t>TIER_2</t>
        </is>
      </c>
      <c r="I293" s="13" t="inlineStr">
        <is>
          <t>medium</t>
        </is>
      </c>
      <c r="J293" s="13" t="n">
        <v>0</v>
      </c>
      <c r="K293" s="13" t="inlineStr"/>
      <c r="L293" s="13" t="inlineStr">
        <is>
          <t>GET / -&gt; 200, 324KB, only '0,00 zł' placeholder found (empty-cart state). Guessed category /c/nabial -&gt; 410 Gone. Not WAF-blocked.</t>
        </is>
      </c>
      <c r="M293" s="13" t="inlineStr">
        <is>
          <t>ACCEPT</t>
        </is>
      </c>
      <c r="N293" s="13" t="inlineStr">
        <is>
          <t>C - engineering required</t>
        </is>
      </c>
      <c r="O293" s="13" t="n">
        <v>3</v>
      </c>
      <c r="P293" s="13" t="inlineStr">
        <is>
          <t>Custom</t>
        </is>
      </c>
      <c r="Q293" s="13" t="inlineStr"/>
      <c r="R293" s="13" t="inlineStr">
        <is>
          <t>-</t>
        </is>
      </c>
      <c r="S293" s="13" t="inlineStr">
        <is>
          <t>current, promo</t>
        </is>
      </c>
      <c r="T293" s="13" t="inlineStr">
        <is>
          <t>Poland's largest discounter. Publishes per-category item counts.</t>
        </is>
      </c>
      <c r="U293" s="13" t="inlineStr">
        <is>
          <t>Home delivery Warsaw-only; assortment may be a Warsaw one. Use Glovo for the rest of Poland.</t>
        </is>
      </c>
      <c r="V293" s="13" t="inlineStr">
        <is>
          <t>P8-EU</t>
        </is>
      </c>
    </row>
    <row r="294">
      <c r="A294" s="13" t="inlineStr">
        <is>
          <t>eca</t>
        </is>
      </c>
      <c r="B294" s="13" t="inlineStr">
        <is>
          <t>poland</t>
        </is>
      </c>
      <c r="C294" s="13" t="inlineStr">
        <is>
          <t>POL</t>
        </is>
      </c>
      <c r="D294" s="13" t="inlineStr">
        <is>
          <t>Poland</t>
        </is>
      </c>
      <c r="E294" s="13" t="inlineStr">
        <is>
          <t>Frisco.pl</t>
        </is>
      </c>
      <c r="F294" s="13" t="inlineStr">
        <is>
          <t>https://www.frisco.pl/</t>
        </is>
      </c>
      <c r="G294" s="13" t="inlineStr">
        <is>
          <t>PROBED - VIABLE</t>
        </is>
      </c>
      <c r="H294" s="13" t="inlineStr">
        <is>
          <t>TIER_1A</t>
        </is>
      </c>
      <c r="I294" s="13" t="inlineStr">
        <is>
          <t>low</t>
        </is>
      </c>
      <c r="J294" s="13" t="n">
        <v>140</v>
      </c>
      <c r="K294" s="13" t="inlineStr">
        <is>
          <t>SSR category HTML</t>
        </is>
      </c>
      <c r="L294" s="13" t="inlineStr">
        <is>
          <t>GET -&gt; 200, 1.24MB SSR. Direct prices '51,16 zł' / '5,29 zł' / '12,79 zł' in HTML.</t>
        </is>
      </c>
      <c r="M294" s="13" t="inlineStr">
        <is>
          <t>ACCEPT</t>
        </is>
      </c>
      <c r="N294" s="13" t="inlineStr">
        <is>
          <t>C - engineering required</t>
        </is>
      </c>
      <c r="O294" s="13" t="n">
        <v>3</v>
      </c>
      <c r="P294" s="13" t="inlineStr">
        <is>
          <t>Custom</t>
        </is>
      </c>
      <c r="Q294" s="13" t="inlineStr">
        <is>
          <t>PLN</t>
        </is>
      </c>
      <c r="R294" s="13" t="inlineStr">
        <is>
          <t>Category listing; parse promo, pre-reduction price, percentage and the per-kg unit price.</t>
        </is>
      </c>
      <c r="S294" s="13" t="inlineStr">
        <is>
          <t>promo_price, cena_przed_obnizka, discount_pct, unit_price_per_kg, limit_flag</t>
        </is>
      </c>
      <c r="T294" s="13" t="inlineStr">
        <is>
          <t>CONFIRMS THE EU HYPOTHESIS. Every discounted line shows 'cena przed obnizka' - the price before the reduction - alongside the promo price, the discount percentage and a unit price per kg. That is EU Omnibus Directive Article 6a compliance, the same mechanism that produces Konzum Croatia's 30-day-low field. Poland is the second independent confirmation, which makes it very likely the field exists across the whole EU set. Also flags purchase limits ('Limit 4 szt.'), which matter because a limited promo price is not a general market price.</t>
        </is>
      </c>
      <c r="U294" s="13" t="inlineStr">
        <is>
          <t>Capture cena_przed_obnizka or the series will show promotional prices as if they were the standing shelf price. Also record the limit flag - limited-quantity promos are not representative.</t>
        </is>
      </c>
      <c r="V294" s="13" t="inlineStr">
        <is>
          <t>P7</t>
        </is>
      </c>
    </row>
    <row r="295">
      <c r="A295" s="13" t="inlineStr">
        <is>
          <t>eca</t>
        </is>
      </c>
      <c r="B295" s="13" t="inlineStr">
        <is>
          <t>poland</t>
        </is>
      </c>
      <c r="C295" s="13" t="inlineStr">
        <is>
          <t>POL</t>
        </is>
      </c>
      <c r="D295" s="13" t="inlineStr">
        <is>
          <t>Poland</t>
        </is>
      </c>
      <c r="E295" s="13" t="inlineStr">
        <is>
          <t>Frisco.pl</t>
        </is>
      </c>
      <c r="F295" s="13" t="inlineStr">
        <is>
          <t>https://www.frisco.pl/</t>
        </is>
      </c>
      <c r="G295" s="13" t="inlineStr">
        <is>
          <t>PROBED - VIABLE</t>
        </is>
      </c>
      <c r="H295" s="13" t="inlineStr">
        <is>
          <t>TIER_1A</t>
        </is>
      </c>
      <c r="I295" s="13" t="inlineStr">
        <is>
          <t>low</t>
        </is>
      </c>
      <c r="J295" s="13" t="n">
        <v>140</v>
      </c>
      <c r="K295" s="13" t="inlineStr">
        <is>
          <t>SSR category HTML</t>
        </is>
      </c>
      <c r="L295" s="13" t="inlineStr">
        <is>
          <t>GET -&gt; 200, 1.24MB SSR. Direct prices '51,16 zł' / '5,29 zł' / '12,79 zł' in HTML.</t>
        </is>
      </c>
      <c r="M295" s="13" t="inlineStr">
        <is>
          <t>ACCEPT</t>
        </is>
      </c>
      <c r="N295" s="13" t="inlineStr">
        <is>
          <t>C - engineering required</t>
        </is>
      </c>
      <c r="O295" s="13" t="n">
        <v>3</v>
      </c>
      <c r="P295" s="13" t="inlineStr">
        <is>
          <t>Custom</t>
        </is>
      </c>
      <c r="Q295" s="13" t="inlineStr"/>
      <c r="R295" s="13" t="inlineStr">
        <is>
          <t>-</t>
        </is>
      </c>
      <c r="S295" s="13" t="inlineStr">
        <is>
          <t>promo_price, cena_przed_obnizka, discount_pct, unit_price_kg, limit_flag</t>
        </is>
      </c>
      <c r="T295" s="13" t="inlineStr">
        <is>
          <t>'cena przed obnizka' = the price before the reduction, on every discounted line, plus per-kg unit price and PURCHASE LIMITS ('Limit 4 szt.'). Confirms Omnibus in Poland.</t>
        </is>
      </c>
      <c r="U295" s="13" t="inlineStr">
        <is>
          <t>A rationed promo price is not a general market price - record the limit flag.</t>
        </is>
      </c>
      <c r="V295" s="13" t="inlineStr">
        <is>
          <t>P8-EU</t>
        </is>
      </c>
    </row>
    <row r="296">
      <c r="A296" s="13" t="inlineStr">
        <is>
          <t>eca</t>
        </is>
      </c>
      <c r="B296" s="13" t="inlineStr">
        <is>
          <t>poland</t>
        </is>
      </c>
      <c r="C296" s="13" t="inlineStr">
        <is>
          <t>POL</t>
        </is>
      </c>
      <c r="D296" s="13" t="inlineStr">
        <is>
          <t>Poland</t>
        </is>
      </c>
      <c r="E296" s="13" t="inlineStr">
        <is>
          <t>Wolt Poland</t>
        </is>
      </c>
      <c r="F296" s="13" t="inlineStr">
        <is>
          <t>https://wolt.com/en/pol/warsaw/category/grocery</t>
        </is>
      </c>
      <c r="G296" s="13" t="inlineStr">
        <is>
          <t>PROBED - VIABLE</t>
        </is>
      </c>
      <c r="H296" s="13" t="inlineStr">
        <is>
          <t>TIER_2</t>
        </is>
      </c>
      <c r="I296" s="13" t="inlineStr">
        <is>
          <t>medium</t>
        </is>
      </c>
      <c r="J296" s="13" t="n">
        <v>0</v>
      </c>
      <c r="K296" s="13" t="inlineStr">
        <is>
          <t>SPA - needs Playwright render</t>
        </is>
      </c>
      <c r="L296" s="13" t="inlineStr">
        <is>
          <t>curl 200, 1.79MB SPA shell; prices render as 'KZT0' placeholder pre-hydration - needs Playwright</t>
        </is>
      </c>
      <c r="M296" s="13" t="inlineStr">
        <is>
          <t>ACCEPT</t>
        </is>
      </c>
      <c r="N296" s="13" t="inlineStr">
        <is>
          <t>C - engineering required</t>
        </is>
      </c>
      <c r="O296" s="13" t="n">
        <v>3</v>
      </c>
      <c r="P296" s="13" t="inlineStr">
        <is>
          <t>Custom</t>
        </is>
      </c>
      <c r="Q296" s="13" t="inlineStr">
        <is>
          <t>PLN</t>
        </is>
      </c>
      <c r="R296" s="13" t="inlineStr">
        <is>
          <t>-</t>
        </is>
      </c>
      <c r="S296" s="13" t="inlineStr">
        <is>
          <t>current</t>
        </is>
      </c>
      <c r="T296" s="13" t="inlineStr">
        <is>
          <t>City pages enumerate partner supermarkets across Polish cities.</t>
        </is>
      </c>
      <c r="U296" s="13" t="inlineStr">
        <is>
          <t>-</t>
        </is>
      </c>
      <c r="V296" s="13" t="inlineStr">
        <is>
          <t>P7</t>
        </is>
      </c>
    </row>
    <row r="297">
      <c r="A297" s="13" t="inlineStr">
        <is>
          <t>eca</t>
        </is>
      </c>
      <c r="B297" s="13" t="inlineStr">
        <is>
          <t>poland</t>
        </is>
      </c>
      <c r="C297" s="13" t="inlineStr">
        <is>
          <t>POL</t>
        </is>
      </c>
      <c r="D297" s="13" t="inlineStr">
        <is>
          <t>Poland</t>
        </is>
      </c>
      <c r="E297" s="13" t="inlineStr">
        <is>
          <t>Zabka Jush</t>
        </is>
      </c>
      <c r="F297" s="13" t="inlineStr">
        <is>
          <t>https://www.zabka.pl/</t>
        </is>
      </c>
      <c r="G297" s="13" t="inlineStr">
        <is>
          <t>PROBED - VIABLE</t>
        </is>
      </c>
      <c r="H297" s="13" t="inlineStr">
        <is>
          <t>TIER_1A</t>
        </is>
      </c>
      <c r="I297" s="13" t="inlineStr">
        <is>
          <t>low</t>
        </is>
      </c>
      <c r="J297" s="13" t="n">
        <v>90</v>
      </c>
      <c r="K297" s="13" t="inlineStr">
        <is>
          <t>SSR homepage/category HTML</t>
        </is>
      </c>
      <c r="L297" s="13" t="inlineStr">
        <is>
          <t>GET -&gt; 200, 614KB SSR. Direct prices '76,85 zł' / '70,22 zł' / '45,36 zł' in HTML.</t>
        </is>
      </c>
      <c r="M297" s="13" t="inlineStr">
        <is>
          <t>ACCEPT</t>
        </is>
      </c>
      <c r="N297" s="13" t="inlineStr">
        <is>
          <t>C - engineering required</t>
        </is>
      </c>
      <c r="O297" s="13" t="n">
        <v>3</v>
      </c>
      <c r="P297" s="13" t="inlineStr">
        <is>
          <t>Custom</t>
        </is>
      </c>
      <c r="Q297" s="13" t="inlineStr">
        <is>
          <t>PLN</t>
        </is>
      </c>
      <c r="R297" s="13" t="inlineStr">
        <is>
          <t>-</t>
        </is>
      </c>
      <c r="S297" s="13" t="inlineStr">
        <is>
          <t>current</t>
        </is>
      </c>
      <c r="T297" s="13" t="inlineStr">
        <is>
          <t>Convenience/q-commerce arm of Poland's densest store network. Convenience-format pricing is systematically above hypermarket pricing, so this is a useful FORMAT comparison against Biedronka and Auchan on identical SKUs.</t>
        </is>
      </c>
      <c r="U297" s="13" t="inlineStr">
        <is>
          <t>Do not pool convenience and hypermarket prices into one series.</t>
        </is>
      </c>
      <c r="V297" s="13" t="inlineStr">
        <is>
          <t>P7</t>
        </is>
      </c>
    </row>
    <row r="298">
      <c r="A298" s="13" t="inlineStr">
        <is>
          <t>eca</t>
        </is>
      </c>
      <c r="B298" s="13" t="inlineStr">
        <is>
          <t>poland</t>
        </is>
      </c>
      <c r="C298" s="13" t="inlineStr">
        <is>
          <t>POL</t>
        </is>
      </c>
      <c r="D298" s="13" t="inlineStr">
        <is>
          <t>Poland</t>
        </is>
      </c>
      <c r="E298" s="13" t="inlineStr">
        <is>
          <t>Zabka Jush</t>
        </is>
      </c>
      <c r="F298" s="13" t="inlineStr">
        <is>
          <t>https://www.zabka.pl/</t>
        </is>
      </c>
      <c r="G298" s="13" t="inlineStr">
        <is>
          <t>PROBED - VIABLE</t>
        </is>
      </c>
      <c r="H298" s="13" t="inlineStr">
        <is>
          <t>TIER_1A</t>
        </is>
      </c>
      <c r="I298" s="13" t="inlineStr">
        <is>
          <t>low</t>
        </is>
      </c>
      <c r="J298" s="13" t="n">
        <v>90</v>
      </c>
      <c r="K298" s="13" t="inlineStr">
        <is>
          <t>SSR homepage/category HTML</t>
        </is>
      </c>
      <c r="L298" s="13" t="inlineStr">
        <is>
          <t>GET -&gt; 200, 614KB SSR. Direct prices '76,85 zł' / '70,22 zł' / '45,36 zł' in HTML.</t>
        </is>
      </c>
      <c r="M298" s="13" t="inlineStr">
        <is>
          <t>ACCEPT</t>
        </is>
      </c>
      <c r="N298" s="13" t="inlineStr">
        <is>
          <t>C - engineering required</t>
        </is>
      </c>
      <c r="O298" s="13" t="n">
        <v>3</v>
      </c>
      <c r="P298" s="13" t="inlineStr">
        <is>
          <t>Custom</t>
        </is>
      </c>
      <c r="Q298" s="13" t="inlineStr"/>
      <c r="R298" s="13" t="inlineStr">
        <is>
          <t>-</t>
        </is>
      </c>
      <c r="S298" s="13" t="inlineStr">
        <is>
          <t>current</t>
        </is>
      </c>
      <c r="T298" s="13" t="inlineStr">
        <is>
          <t>Densest Polish network; convenience tier for format comparison.</t>
        </is>
      </c>
      <c r="U298" s="13" t="inlineStr">
        <is>
          <t>-</t>
        </is>
      </c>
      <c r="V298" s="13" t="inlineStr">
        <is>
          <t>P8-EU</t>
        </is>
      </c>
    </row>
    <row r="299">
      <c r="A299" s="13" t="inlineStr">
        <is>
          <t>eca</t>
        </is>
      </c>
      <c r="B299" s="13" t="inlineStr">
        <is>
          <t>portugal</t>
        </is>
      </c>
      <c r="C299" s="13" t="inlineStr">
        <is>
          <t>PRT</t>
        </is>
      </c>
      <c r="D299" s="13" t="inlineStr">
        <is>
          <t>Portugal</t>
        </is>
      </c>
      <c r="E299" s="13" t="inlineStr">
        <is>
          <t>Bolt Food Portugal</t>
        </is>
      </c>
      <c r="F299" s="13" t="inlineStr">
        <is>
          <t>https://bolt.eu/pt-pt/food/</t>
        </is>
      </c>
      <c r="G299" s="13" t="inlineStr">
        <is>
          <t>NOT PROBED - deduped, already onboarded, or time-boxed</t>
        </is>
      </c>
      <c r="H299" s="13" t="inlineStr"/>
      <c r="I299" s="13" t="inlineStr"/>
      <c r="J299" s="13" t="inlineStr"/>
      <c r="K299" s="13" t="inlineStr"/>
      <c r="L299" s="13" t="inlineStr"/>
      <c r="M299" s="13" t="inlineStr">
        <is>
          <t>SUSPECT</t>
        </is>
      </c>
      <c r="N299" s="13" t="inlineStr">
        <is>
          <t>C - engineering required</t>
        </is>
      </c>
      <c r="O299" s="13" t="n">
        <v>3</v>
      </c>
      <c r="P299" s="13" t="inlineStr">
        <is>
          <t>Custom</t>
        </is>
      </c>
      <c r="Q299" s="13" t="inlineStr">
        <is>
          <t>EUR</t>
        </is>
      </c>
      <c r="R299" s="13" t="inlineStr">
        <is>
          <t>-</t>
        </is>
      </c>
      <c r="S299" s="13" t="inlineStr">
        <is>
          <t>current</t>
        </is>
      </c>
      <c r="T299" s="13" t="inlineStr">
        <is>
          <t>Second delivery platform for enumeration.</t>
        </is>
      </c>
      <c r="U299" s="13" t="inlineStr">
        <is>
          <t>-</t>
        </is>
      </c>
      <c r="V299" s="13" t="inlineStr">
        <is>
          <t>P7</t>
        </is>
      </c>
    </row>
    <row r="300">
      <c r="A300" s="13" t="inlineStr">
        <is>
          <t>eca</t>
        </is>
      </c>
      <c r="B300" s="13" t="inlineStr">
        <is>
          <t>portugal</t>
        </is>
      </c>
      <c r="C300" s="13" t="inlineStr">
        <is>
          <t>PRT</t>
        </is>
      </c>
      <c r="D300" s="13" t="inlineStr">
        <is>
          <t>Portugal</t>
        </is>
      </c>
      <c r="E300" s="13" t="inlineStr">
        <is>
          <t>Minipreco (Dia)</t>
        </is>
      </c>
      <c r="F300" s="13" t="inlineStr">
        <is>
          <t>https://www.minipreco.pt/</t>
        </is>
      </c>
      <c r="G300" s="13" t="inlineStr">
        <is>
          <t>NOT PROBED - deduped, already onboarded, or time-boxed</t>
        </is>
      </c>
      <c r="H300" s="13" t="inlineStr"/>
      <c r="I300" s="13" t="inlineStr"/>
      <c r="J300" s="13" t="inlineStr"/>
      <c r="K300" s="13" t="inlineStr"/>
      <c r="L300" s="13" t="inlineStr"/>
      <c r="M300" s="13" t="inlineStr">
        <is>
          <t>ACCEPT</t>
        </is>
      </c>
      <c r="N300" s="13" t="inlineStr">
        <is>
          <t>C - engineering required</t>
        </is>
      </c>
      <c r="O300" s="13" t="n">
        <v>3</v>
      </c>
      <c r="P300" s="13" t="inlineStr">
        <is>
          <t>Custom</t>
        </is>
      </c>
      <c r="Q300" s="13" t="inlineStr">
        <is>
          <t>EUR</t>
        </is>
      </c>
      <c r="R300" s="13" t="inlineStr">
        <is>
          <t>-</t>
        </is>
      </c>
      <c r="S300" s="13" t="inlineStr">
        <is>
          <t>current, promo</t>
        </is>
      </c>
      <c r="T300" s="13" t="inlineStr">
        <is>
          <t>Discount tier, covered by Super Save.</t>
        </is>
      </c>
      <c r="U300" s="13" t="inlineStr">
        <is>
          <t>-</t>
        </is>
      </c>
      <c r="V300" s="13" t="inlineStr">
        <is>
          <t>P7</t>
        </is>
      </c>
    </row>
    <row r="301">
      <c r="A301" s="13" t="inlineStr">
        <is>
          <t>eca</t>
        </is>
      </c>
      <c r="B301" s="13" t="inlineStr">
        <is>
          <t>portugal</t>
        </is>
      </c>
      <c r="C301" s="13" t="inlineStr">
        <is>
          <t>PRT</t>
        </is>
      </c>
      <c r="D301" s="13" t="inlineStr">
        <is>
          <t>Portugal</t>
        </is>
      </c>
      <c r="E301" s="13" t="inlineStr">
        <is>
          <t>Super Save</t>
        </is>
      </c>
      <c r="F301" s="13" t="inlineStr">
        <is>
          <t>https://www.supersave.pt/</t>
        </is>
      </c>
      <c r="G301" s="13" t="inlineStr">
        <is>
          <t>NOT PROBED - deduped, already onboarded, or time-boxed</t>
        </is>
      </c>
      <c r="H301" s="13" t="inlineStr"/>
      <c r="I301" s="13" t="inlineStr"/>
      <c r="J301" s="13" t="inlineStr"/>
      <c r="K301" s="13" t="inlineStr"/>
      <c r="L301" s="13" t="inlineStr"/>
      <c r="M301" s="13" t="inlineStr">
        <is>
          <t>ACCEPT</t>
        </is>
      </c>
      <c r="N301" s="13" t="inlineStr">
        <is>
          <t>C - engineering required</t>
        </is>
      </c>
      <c r="O301" s="13" t="n">
        <v>3</v>
      </c>
      <c r="P301" s="13" t="inlineStr">
        <is>
          <t>Custom</t>
        </is>
      </c>
      <c r="Q301" s="13" t="inlineStr">
        <is>
          <t>EUR</t>
        </is>
      </c>
      <c r="R301" s="13" t="inlineStr">
        <is>
          <t>https://supersave.pt/web/ - test category endpoints for the full comparison array.</t>
        </is>
      </c>
      <c r="S301" s="13" t="inlineStr">
        <is>
          <t>price_per_retailer, unit_price_kg_l_unit</t>
        </is>
      </c>
      <c r="T301" s="13" t="inlineStr">
        <is>
          <t>COMPARISON PLATFORM covering SEVEN chains - Continente, Pingo Doce, Lidl, Auchan, Mercadona, Intermarche and Minipreco - across 100,000+ products with daily updates. Explicitly compares per kilogram, per litre AND per unit. One crawl yields a seven-retailer cross-sectional panel for Portugal, which is the cheapest possible route to Portuguese price dispersion.</t>
        </is>
      </c>
      <c r="U301" s="13" t="inlineStr">
        <is>
          <t>App-first product; the web version is at /web/. Verify the web tier exposes the full comparison rather than a teaser.</t>
        </is>
      </c>
      <c r="V301" s="13" t="inlineStr">
        <is>
          <t>P7</t>
        </is>
      </c>
    </row>
    <row r="302">
      <c r="A302" s="13" t="inlineStr">
        <is>
          <t>eca</t>
        </is>
      </c>
      <c r="B302" s="13" t="inlineStr">
        <is>
          <t>portugal</t>
        </is>
      </c>
      <c r="C302" s="13" t="inlineStr">
        <is>
          <t>PRT</t>
        </is>
      </c>
      <c r="D302" s="13" t="inlineStr">
        <is>
          <t>Portugal</t>
        </is>
      </c>
      <c r="E302" s="13" t="inlineStr">
        <is>
          <t>Super Save</t>
        </is>
      </c>
      <c r="F302" s="13" t="inlineStr">
        <is>
          <t>https://www.supersave.pt/</t>
        </is>
      </c>
      <c r="G302" s="13" t="inlineStr">
        <is>
          <t>NOT PROBED - deduped, already onboarded, or time-boxed</t>
        </is>
      </c>
      <c r="H302" s="13" t="inlineStr"/>
      <c r="I302" s="13" t="inlineStr"/>
      <c r="J302" s="13" t="inlineStr"/>
      <c r="K302" s="13" t="inlineStr"/>
      <c r="L302" s="13" t="inlineStr"/>
      <c r="M302" s="13" t="inlineStr">
        <is>
          <t>ACCEPT</t>
        </is>
      </c>
      <c r="N302" s="13" t="inlineStr">
        <is>
          <t>C - engineering required</t>
        </is>
      </c>
      <c r="O302" s="13" t="n">
        <v>3</v>
      </c>
      <c r="P302" s="13" t="inlineStr">
        <is>
          <t>Custom</t>
        </is>
      </c>
      <c r="Q302" s="13" t="inlineStr"/>
      <c r="R302" s="13" t="inlineStr">
        <is>
          <t>https://supersave.pt/web/</t>
        </is>
      </c>
      <c r="S302" s="13" t="inlineStr">
        <is>
          <t>price_per_retailer, unit_price_kg_l_unit</t>
        </is>
      </c>
      <c r="T302" s="13" t="inlineStr">
        <is>
          <t>SEVEN chains - Continente, Pingo Doce, Lidl, Auchan, Mercadona, Intermarche, Minipreco - 100,000+ products, daily updates, comparison per kg / per litre / per unit. 500K+ downloads.</t>
        </is>
      </c>
      <c r="U302" s="13" t="inlineStr">
        <is>
          <t>App-first; web version at /web/. Verify the web tier exposes the full comparison.</t>
        </is>
      </c>
      <c r="V302" s="13" t="inlineStr">
        <is>
          <t>P8-EU</t>
        </is>
      </c>
    </row>
    <row r="303">
      <c r="A303" s="13" t="inlineStr">
        <is>
          <t>eca</t>
        </is>
      </c>
      <c r="B303" s="13" t="inlineStr">
        <is>
          <t>portugal</t>
        </is>
      </c>
      <c r="C303" s="13" t="inlineStr">
        <is>
          <t>PRT</t>
        </is>
      </c>
      <c r="D303" s="13" t="inlineStr">
        <is>
          <t>Portugal</t>
        </is>
      </c>
      <c r="E303" s="13" t="inlineStr">
        <is>
          <t>El Corte Ingles Supermercado PT</t>
        </is>
      </c>
      <c r="F303" s="13" t="inlineStr">
        <is>
          <t>https://www.elcorteingles.pt/supermercado/</t>
        </is>
      </c>
      <c r="G303" s="13" t="inlineStr">
        <is>
          <t>PROBED - SKIP</t>
        </is>
      </c>
      <c r="H303" s="13" t="inlineStr">
        <is>
          <t>SKIP</t>
        </is>
      </c>
      <c r="I303" s="13" t="inlineStr">
        <is>
          <t>high</t>
        </is>
      </c>
      <c r="J303" s="13" t="n">
        <v>0</v>
      </c>
      <c r="K303" s="13" t="inlineStr"/>
      <c r="L303" s="13" t="inlineStr">
        <is>
          <t>GET -&gt; 403, 391-byte 'Access Denied' body, same Akamai signature as the ES sibling and Tesco/ah.nl.</t>
        </is>
      </c>
      <c r="M303" s="13" t="inlineStr">
        <is>
          <t>ACCEPT</t>
        </is>
      </c>
      <c r="N303" s="13" t="inlineStr">
        <is>
          <t>D - hard / app / index only</t>
        </is>
      </c>
      <c r="O303" s="13" t="n">
        <v>2</v>
      </c>
      <c r="P303" s="13" t="inlineStr">
        <is>
          <t>Custom/Enterprise</t>
        </is>
      </c>
      <c r="Q303" s="13" t="inlineStr">
        <is>
          <t>EUR</t>
        </is>
      </c>
      <c r="R303" s="13" t="inlineStr">
        <is>
          <t>-</t>
        </is>
      </c>
      <c r="S303" s="13" t="inlineStr">
        <is>
          <t>current</t>
        </is>
      </c>
      <c r="T303" s="13" t="inlineStr">
        <is>
          <t>Premium tier - useful as the upper bound of the price distribution.</t>
        </is>
      </c>
      <c r="U303" s="13" t="inlineStr">
        <is>
          <t>-</t>
        </is>
      </c>
      <c r="V303" s="13" t="inlineStr">
        <is>
          <t>P7</t>
        </is>
      </c>
    </row>
    <row r="304">
      <c r="A304" s="13" t="inlineStr">
        <is>
          <t>eca</t>
        </is>
      </c>
      <c r="B304" s="13" t="inlineStr">
        <is>
          <t>portugal</t>
        </is>
      </c>
      <c r="C304" s="13" t="inlineStr">
        <is>
          <t>PRT</t>
        </is>
      </c>
      <c r="D304" s="13" t="inlineStr">
        <is>
          <t>Portugal</t>
        </is>
      </c>
      <c r="E304" s="13" t="inlineStr">
        <is>
          <t>Glovo Portugal</t>
        </is>
      </c>
      <c r="F304" s="13" t="inlineStr">
        <is>
          <t>https://glovoapp.com/pt/</t>
        </is>
      </c>
      <c r="G304" s="13" t="inlineStr">
        <is>
          <t>PROBED - SKIP</t>
        </is>
      </c>
      <c r="H304" s="13" t="inlineStr">
        <is>
          <t>SKIP</t>
        </is>
      </c>
      <c r="I304" s="13" t="inlineStr">
        <is>
          <t>medium</t>
        </is>
      </c>
      <c r="J304" s="13" t="n">
        <v>0</v>
      </c>
      <c r="K304" s="13" t="inlineStr"/>
      <c r="L304" s="13" t="inlineStr">
        <is>
          <t>Not independently re-probed this round; CSV notes catalogue is client-rendered (SPA).</t>
        </is>
      </c>
      <c r="M304" s="13" t="inlineStr">
        <is>
          <t>ACCEPT</t>
        </is>
      </c>
      <c r="N304" s="13" t="inlineStr">
        <is>
          <t>C - engineering required</t>
        </is>
      </c>
      <c r="O304" s="13" t="n">
        <v>3</v>
      </c>
      <c r="P304" s="13" t="inlineStr">
        <is>
          <t>Custom</t>
        </is>
      </c>
      <c r="Q304" s="13" t="inlineStr">
        <is>
          <t>EUR</t>
        </is>
      </c>
      <c r="R304" s="13" t="inlineStr">
        <is>
          <t>-</t>
        </is>
      </c>
      <c r="S304" s="13" t="inlineStr">
        <is>
          <t>current</t>
        </is>
      </c>
      <c r="T304" s="13" t="inlineStr">
        <is>
          <t>City-page enumeration for Portuguese partner supermarkets.</t>
        </is>
      </c>
      <c r="U304" s="13" t="inlineStr">
        <is>
          <t>-</t>
        </is>
      </c>
      <c r="V304" s="13" t="inlineStr">
        <is>
          <t>P7</t>
        </is>
      </c>
    </row>
    <row r="305">
      <c r="A305" s="13" t="inlineStr">
        <is>
          <t>eca</t>
        </is>
      </c>
      <c r="B305" s="13" t="inlineStr">
        <is>
          <t>portugal</t>
        </is>
      </c>
      <c r="C305" s="13" t="inlineStr">
        <is>
          <t>PRT</t>
        </is>
      </c>
      <c r="D305" s="13" t="inlineStr">
        <is>
          <t>Portugal</t>
        </is>
      </c>
      <c r="E305" s="13" t="inlineStr">
        <is>
          <t>Intermarche Portugal</t>
        </is>
      </c>
      <c r="F305" s="13" t="inlineStr">
        <is>
          <t>https://www.intermarche.pt/</t>
        </is>
      </c>
      <c r="G305" s="13" t="inlineStr">
        <is>
          <t>PROBED - SKIP</t>
        </is>
      </c>
      <c r="H305" s="13" t="inlineStr">
        <is>
          <t>SKIP</t>
        </is>
      </c>
      <c r="I305" s="13" t="inlineStr">
        <is>
          <t>high</t>
        </is>
      </c>
      <c r="J305" s="13" t="n">
        <v>0</v>
      </c>
      <c r="K305" s="13" t="inlineStr"/>
      <c r="L305" s="13" t="inlineStr">
        <is>
          <t>Intermarche.pt GET -&gt; 502 Bad Gateway (136 bytes) on two attempts. Minipreco.pt -&gt; curl exit 6, DNS resolution failure on two attempts.</t>
        </is>
      </c>
      <c r="M305" s="13" t="inlineStr">
        <is>
          <t>ACCEPT</t>
        </is>
      </c>
      <c r="N305" s="13" t="inlineStr">
        <is>
          <t>C - engineering required</t>
        </is>
      </c>
      <c r="O305" s="13" t="n">
        <v>3</v>
      </c>
      <c r="P305" s="13" t="inlineStr">
        <is>
          <t>Custom</t>
        </is>
      </c>
      <c r="Q305" s="13" t="inlineStr">
        <is>
          <t>EUR</t>
        </is>
      </c>
      <c r="R305" s="13" t="inlineStr">
        <is>
          <t>-</t>
        </is>
      </c>
      <c r="S305" s="13" t="inlineStr">
        <is>
          <t>current, promo</t>
        </is>
      </c>
      <c r="T305" s="13" t="inlineStr">
        <is>
          <t>Covered by Super Save, so cross-validation is available.</t>
        </is>
      </c>
      <c r="U305" s="13" t="inlineStr">
        <is>
          <t>-</t>
        </is>
      </c>
      <c r="V305" s="13" t="inlineStr">
        <is>
          <t>P7</t>
        </is>
      </c>
    </row>
    <row r="306">
      <c r="A306" s="13" t="inlineStr">
        <is>
          <t>eca</t>
        </is>
      </c>
      <c r="B306" s="13" t="inlineStr">
        <is>
          <t>portugal</t>
        </is>
      </c>
      <c r="C306" s="13" t="inlineStr">
        <is>
          <t>PRT</t>
        </is>
      </c>
      <c r="D306" s="13" t="inlineStr">
        <is>
          <t>Portugal</t>
        </is>
      </c>
      <c r="E306" s="13" t="inlineStr">
        <is>
          <t>Mercadona Portugal</t>
        </is>
      </c>
      <c r="F306" s="13" t="inlineStr">
        <is>
          <t>https://www.mercadona.pt/</t>
        </is>
      </c>
      <c r="G306" s="13" t="inlineStr">
        <is>
          <t>PROBED - SKIP</t>
        </is>
      </c>
      <c r="H306" s="13" t="inlineStr">
        <is>
          <t>SKIP</t>
        </is>
      </c>
      <c r="I306" s="13" t="inlineStr">
        <is>
          <t>high</t>
        </is>
      </c>
      <c r="J306" s="13" t="n">
        <v>0</v>
      </c>
      <c r="K306" s="13" t="inlineStr"/>
      <c r="L306" s="13" t="inlineStr">
        <is>
          <t>GET / -&gt; 403 (3.9KB); GET /api/categories/ -&gt; 403 (3.9KB) -- unlike the .es instance, the .pt Mercadona deployment does not expose an open API.</t>
        </is>
      </c>
      <c r="M306" s="13" t="inlineStr">
        <is>
          <t>ACCEPT</t>
        </is>
      </c>
      <c r="N306" s="13" t="inlineStr">
        <is>
          <t>A - low-hanging fruit</t>
        </is>
      </c>
      <c r="O306" s="13" t="n">
        <v>5</v>
      </c>
      <c r="P306" s="13" t="inlineStr">
        <is>
          <t>Custom (public JSON API)</t>
        </is>
      </c>
      <c r="Q306" s="13" t="inlineStr">
        <is>
          <t>EUR</t>
        </is>
      </c>
      <c r="R306" s="13" t="inlineStr">
        <is>
          <t>Test /api/categories/ on the .pt domain, mirroring the Spanish pattern.</t>
        </is>
      </c>
      <c r="S306" s="13" t="inlineStr">
        <is>
          <t>current, unit_price</t>
        </is>
      </c>
      <c r="T306" s="13" t="inlineStr">
        <is>
          <t>HIGHEST-PRIORITY PORTUGUESE BUILD. Mercadona runs a documented public JSON API in Spain (/api/categories/) with an established open-source scraper ecosystem. The Portuguese instance very likely shares it, making this a near-zero-effort source.</t>
        </is>
      </c>
      <c r="U306" s="13" t="inlineStr">
        <is>
          <t>Confirm the .pt instance uses the same API shape before assuming.</t>
        </is>
      </c>
      <c r="V306" s="13" t="inlineStr">
        <is>
          <t>P7</t>
        </is>
      </c>
    </row>
    <row r="307">
      <c r="A307" s="13" t="inlineStr">
        <is>
          <t>eca</t>
        </is>
      </c>
      <c r="B307" s="13" t="inlineStr">
        <is>
          <t>portugal</t>
        </is>
      </c>
      <c r="C307" s="13" t="inlineStr">
        <is>
          <t>PRT</t>
        </is>
      </c>
      <c r="D307" s="13" t="inlineStr">
        <is>
          <t>Portugal</t>
        </is>
      </c>
      <c r="E307" s="13" t="inlineStr">
        <is>
          <t>Auchan Portugal</t>
        </is>
      </c>
      <c r="F307" s="13" t="inlineStr">
        <is>
          <t>https://www.auchan.pt/</t>
        </is>
      </c>
      <c r="G307" s="13" t="inlineStr">
        <is>
          <t>PROBED - VIABLE</t>
        </is>
      </c>
      <c r="H307" s="13" t="inlineStr">
        <is>
          <t>TIER_2</t>
        </is>
      </c>
      <c r="I307" s="13" t="inlineStr">
        <is>
          <t>medium</t>
        </is>
      </c>
      <c r="J307" s="13" t="n">
        <v>0</v>
      </c>
      <c r="K307" s="13" t="inlineStr"/>
      <c r="L307" s="13" t="inlineStr">
        <is>
          <t>Auchan.pt GET / -&gt; 200 (635KB); guessed category 404'd, no price found. Supersave.pt/web/ GET -&gt; 200 (1.06MB), Nuxt/Next/Vue/React markers all present but no price pattern matched.</t>
        </is>
      </c>
      <c r="M307" s="13" t="inlineStr">
        <is>
          <t>ACCEPT</t>
        </is>
      </c>
      <c r="N307" s="13" t="inlineStr">
        <is>
          <t>D - hard / app / index only</t>
        </is>
      </c>
      <c r="O307" s="13" t="n">
        <v>2</v>
      </c>
      <c r="P307" s="13" t="inlineStr">
        <is>
          <t>Custom/Enterprise</t>
        </is>
      </c>
      <c r="Q307" s="13" t="inlineStr">
        <is>
          <t>EUR</t>
        </is>
      </c>
      <c r="R307" s="13" t="inlineStr">
        <is>
          <t>-</t>
        </is>
      </c>
      <c r="S307" s="13" t="inlineStr">
        <is>
          <t>current, promo</t>
        </is>
      </c>
      <c r="T307" s="13" t="inlineStr">
        <is>
          <t>10,000+ products online with 10+ delivery slots between 09:00 and 23:00, plus Drive and collection points.</t>
        </is>
      </c>
      <c r="U307" s="13" t="inlineStr">
        <is>
          <t>-</t>
        </is>
      </c>
      <c r="V307" s="13" t="inlineStr">
        <is>
          <t>P7</t>
        </is>
      </c>
    </row>
    <row r="308">
      <c r="A308" s="13" t="inlineStr">
        <is>
          <t>eca</t>
        </is>
      </c>
      <c r="B308" s="13" t="inlineStr">
        <is>
          <t>portugal</t>
        </is>
      </c>
      <c r="C308" s="13" t="inlineStr">
        <is>
          <t>PRT</t>
        </is>
      </c>
      <c r="D308" s="13" t="inlineStr">
        <is>
          <t>Portugal</t>
        </is>
      </c>
      <c r="E308" s="13" t="inlineStr">
        <is>
          <t>Continente</t>
        </is>
      </c>
      <c r="F308" s="13" t="inlineStr">
        <is>
          <t>https://www.continente.pt/</t>
        </is>
      </c>
      <c r="G308" s="13" t="inlineStr">
        <is>
          <t>PROBED - VIABLE</t>
        </is>
      </c>
      <c r="H308" s="13" t="inlineStr">
        <is>
          <t>TIER_2</t>
        </is>
      </c>
      <c r="I308" s="13" t="inlineStr">
        <is>
          <t>medium</t>
        </is>
      </c>
      <c r="J308" s="13" t="n">
        <v>0</v>
      </c>
      <c r="K308" s="13" t="inlineStr"/>
      <c r="L308" s="13" t="inlineStr">
        <is>
          <t>GET /mercearia/ -&gt; 200, 2.2MB. Confirmed Salesforce-Commerce-Cloud product-tile classes ('ct-product-tile-badge-value--superprice') present in HTML, but exact price text not isolated within the time budget.</t>
        </is>
      </c>
      <c r="M308" s="13" t="inlineStr">
        <is>
          <t>ACCEPT</t>
        </is>
      </c>
      <c r="N308" s="13" t="inlineStr">
        <is>
          <t>D - hard / app / index only</t>
        </is>
      </c>
      <c r="O308" s="13" t="n">
        <v>2</v>
      </c>
      <c r="P308" s="13" t="inlineStr">
        <is>
          <t>Custom/Enterprise</t>
        </is>
      </c>
      <c r="Q308" s="13" t="inlineStr">
        <is>
          <t>EUR</t>
        </is>
      </c>
      <c r="R308" s="13" t="inlineStr">
        <is>
          <t>-</t>
        </is>
      </c>
      <c r="S308" s="13" t="inlineStr">
        <is>
          <t>current, promo, unit_price, card_price</t>
        </is>
      </c>
      <c r="T308" s="13" t="inlineStr">
        <is>
          <t>Largest Portuguese chain (Sonae), delivers to ALL of mainland Portugal plus Madeira and Sao Miguel - the widest national coverage available, so best for a nationally representative series. Cartao Continente loyalty pricing creates a two-tier structure like Mega Image Romania.</t>
        </is>
      </c>
      <c r="U308" s="13" t="inlineStr">
        <is>
          <t>Tends to sit at the pricier end of Portuguese retail; do not treat it as the national average on its own.</t>
        </is>
      </c>
      <c r="V308" s="13" t="inlineStr">
        <is>
          <t>P7</t>
        </is>
      </c>
    </row>
    <row r="309">
      <c r="A309" s="13" t="inlineStr">
        <is>
          <t>eca</t>
        </is>
      </c>
      <c r="B309" s="13" t="inlineStr">
        <is>
          <t>portugal</t>
        </is>
      </c>
      <c r="C309" s="13" t="inlineStr">
        <is>
          <t>PRT</t>
        </is>
      </c>
      <c r="D309" s="13" t="inlineStr">
        <is>
          <t>Portugal</t>
        </is>
      </c>
      <c r="E309" s="13" t="inlineStr">
        <is>
          <t>Lidl Portugal</t>
        </is>
      </c>
      <c r="F309" s="13" t="inlineStr">
        <is>
          <t>https://www.lidl.pt/</t>
        </is>
      </c>
      <c r="G309" s="13" t="inlineStr">
        <is>
          <t>PROBED - VIABLE</t>
        </is>
      </c>
      <c r="H309" s="13" t="inlineStr">
        <is>
          <t>TIER_1A</t>
        </is>
      </c>
      <c r="I309" s="13" t="inlineStr">
        <is>
          <t>low</t>
        </is>
      </c>
      <c r="J309" s="13" t="n">
        <v>100</v>
      </c>
      <c r="K309" s="13" t="inlineStr">
        <is>
          <t>SSR homepage/category HTML</t>
        </is>
      </c>
      <c r="L309" s="13" t="inlineStr">
        <is>
          <t>GET -&gt; 200, 296KB SSR. Direct prices '4,89€' / '2,69€' / '1,99€' in HTML.</t>
        </is>
      </c>
      <c r="M309" s="13" t="inlineStr">
        <is>
          <t>SUSPECT</t>
        </is>
      </c>
      <c r="N309" s="13" t="inlineStr">
        <is>
          <t>D - hard / app / index only</t>
        </is>
      </c>
      <c r="O309" s="13" t="n">
        <v>2</v>
      </c>
      <c r="P309" s="13" t="inlineStr">
        <is>
          <t>Custom/Enterprise</t>
        </is>
      </c>
      <c r="Q309" s="13" t="inlineStr">
        <is>
          <t>EUR</t>
        </is>
      </c>
      <c r="R309" s="13" t="inlineStr">
        <is>
          <t>-</t>
        </is>
      </c>
      <c r="S309" s="13" t="inlineStr">
        <is>
          <t>promo</t>
        </is>
      </c>
      <c r="T309" s="13" t="inlineStr">
        <is>
          <t>Covered by Super Save.</t>
        </is>
      </c>
      <c r="U309" s="13" t="inlineStr">
        <is>
          <t>-</t>
        </is>
      </c>
      <c r="V309" s="13" t="inlineStr">
        <is>
          <t>P7</t>
        </is>
      </c>
    </row>
    <row r="310">
      <c r="A310" s="13" t="inlineStr">
        <is>
          <t>eca</t>
        </is>
      </c>
      <c r="B310" s="13" t="inlineStr">
        <is>
          <t>portugal</t>
        </is>
      </c>
      <c r="C310" s="13" t="inlineStr">
        <is>
          <t>PRT</t>
        </is>
      </c>
      <c r="D310" s="13" t="inlineStr">
        <is>
          <t>Portugal</t>
        </is>
      </c>
      <c r="E310" s="13" t="inlineStr">
        <is>
          <t>Pingo Doce / Mercadao</t>
        </is>
      </c>
      <c r="F310" s="13" t="inlineStr">
        <is>
          <t>https://www.mercadao.pt/store/pingo-doce</t>
        </is>
      </c>
      <c r="G310" s="13" t="inlineStr">
        <is>
          <t>PROBED - VIABLE</t>
        </is>
      </c>
      <c r="H310" s="13" t="inlineStr">
        <is>
          <t>TIER_1A</t>
        </is>
      </c>
      <c r="I310" s="13" t="inlineStr">
        <is>
          <t>low</t>
        </is>
      </c>
      <c r="J310" s="13" t="n">
        <v>150</v>
      </c>
      <c r="K310" s="13" t="inlineStr">
        <is>
          <t>SSR store HTML</t>
        </is>
      </c>
      <c r="L310" s="13" t="inlineStr">
        <is>
          <t>GET -&gt; 200, 652KB SSR. Direct prices '7,37€' / '2,09€' / '12,93€' in HTML.</t>
        </is>
      </c>
      <c r="M310" s="13" t="inlineStr">
        <is>
          <t>ACCEPT</t>
        </is>
      </c>
      <c r="N310" s="13" t="inlineStr">
        <is>
          <t>C - engineering required</t>
        </is>
      </c>
      <c r="O310" s="13" t="n">
        <v>3</v>
      </c>
      <c r="P310" s="13" t="inlineStr">
        <is>
          <t>Custom</t>
        </is>
      </c>
      <c r="Q310" s="13" t="inlineStr">
        <is>
          <t>EUR</t>
        </is>
      </c>
      <c r="R310" s="13" t="inlineStr">
        <is>
          <t>Crawl the Mercadao store path.</t>
        </is>
      </c>
      <c r="S310" s="13" t="inlineStr">
        <is>
          <t>current</t>
        </is>
      </c>
      <c r="T310" s="13" t="inlineStr">
        <is>
          <t>Pingo Doce's own site handles in-store purchases with 2-hour delivery for Poupa Mais cardholders; its ONLINE catalogue runs through the Mercadao platform. Two distinct channels with potentially different prices.</t>
        </is>
      </c>
      <c r="U310" s="13" t="inlineStr">
        <is>
          <t>Do not conflate the pingodoce.pt service pages with the Mercadao catalogue - only the latter carries browsable prices.</t>
        </is>
      </c>
      <c r="V310" s="13" t="inlineStr">
        <is>
          <t>P7</t>
        </is>
      </c>
    </row>
    <row r="311">
      <c r="A311" s="13" t="inlineStr">
        <is>
          <t>eca</t>
        </is>
      </c>
      <c r="B311" s="13" t="inlineStr">
        <is>
          <t>romania</t>
        </is>
      </c>
      <c r="C311" s="13" t="inlineStr">
        <is>
          <t>ROU</t>
        </is>
      </c>
      <c r="D311" s="13" t="inlineStr">
        <is>
          <t>Romania</t>
        </is>
      </c>
      <c r="E311" s="13" t="inlineStr">
        <is>
          <t>Bringo (Carrefour)</t>
        </is>
      </c>
      <c r="F311" s="13" t="inlineStr">
        <is>
          <t>https://www.bringo.ro/ro/stores/carrefour_hipermarket</t>
        </is>
      </c>
      <c r="G311" s="13" t="inlineStr">
        <is>
          <t>PROBED - SKIP</t>
        </is>
      </c>
      <c r="H311" s="13" t="inlineStr">
        <is>
          <t>SKIP</t>
        </is>
      </c>
      <c r="I311" s="13" t="inlineStr">
        <is>
          <t>medium</t>
        </is>
      </c>
      <c r="J311" s="13" t="n">
        <v>0</v>
      </c>
      <c r="K311" s="13" t="inlineStr">
        <is>
          <t>-</t>
        </is>
      </c>
      <c r="L311" s="13" t="inlineStr">
        <is>
          <t>not probed - sampled only, time budget</t>
        </is>
      </c>
      <c r="M311" s="13" t="inlineStr">
        <is>
          <t>ACCEPT</t>
        </is>
      </c>
      <c r="N311" s="13" t="inlineStr">
        <is>
          <t>C - engineering required</t>
        </is>
      </c>
      <c r="O311" s="13" t="n">
        <v>3</v>
      </c>
      <c r="P311" s="13" t="inlineStr">
        <is>
          <t>Custom</t>
        </is>
      </c>
      <c r="Q311" s="13" t="inlineStr">
        <is>
          <t>RON</t>
        </is>
      </c>
      <c r="R311" s="13" t="inlineStr">
        <is>
          <t>-</t>
        </is>
      </c>
      <c r="S311" s="13" t="inlineStr">
        <is>
          <t>current</t>
        </is>
      </c>
      <c r="T311" s="13" t="inlineStr">
        <is>
          <t>Personal-shopper platform fronting Carrefour Hipermarket with a full 20-category tree including 'Producatori locali' (local producers) and Carrefour own-brand. Useful as a second route into Carrefour if the MAF/Carrefour stack proves hostile.</t>
        </is>
      </c>
      <c r="U311" s="13" t="inlineStr">
        <is>
          <t>Platform prices may carry a service markup over in-store. Verify against carrefour.ro before treating as shelf prices.</t>
        </is>
      </c>
      <c r="V311" s="13" t="inlineStr">
        <is>
          <t>P6</t>
        </is>
      </c>
    </row>
    <row r="312">
      <c r="A312" s="13" t="inlineStr">
        <is>
          <t>eca</t>
        </is>
      </c>
      <c r="B312" s="13" t="inlineStr">
        <is>
          <t>romania</t>
        </is>
      </c>
      <c r="C312" s="13" t="inlineStr">
        <is>
          <t>ROU</t>
        </is>
      </c>
      <c r="D312" s="13" t="inlineStr">
        <is>
          <t>Romania</t>
        </is>
      </c>
      <c r="E312" s="13" t="inlineStr">
        <is>
          <t>Carrefour Romania</t>
        </is>
      </c>
      <c r="F312" s="13" t="inlineStr">
        <is>
          <t>https://carrefour.ro/</t>
        </is>
      </c>
      <c r="G312" s="13" t="inlineStr">
        <is>
          <t>PROBED - SKIP</t>
        </is>
      </c>
      <c r="H312" s="13" t="inlineStr">
        <is>
          <t>SKIP</t>
        </is>
      </c>
      <c r="I312" s="13" t="inlineStr">
        <is>
          <t>high</t>
        </is>
      </c>
      <c r="J312" s="13" t="n">
        <v>0</v>
      </c>
      <c r="K312" s="13" t="inlineStr">
        <is>
          <t>blocked</t>
        </is>
      </c>
      <c r="L312" s="13" t="inlineStr">
        <is>
          <t>curl on VTEX endpoint /api/catalog_system/pub/products/search -&gt; 403 Cloudflare 'Attention Required'; root domain also 403; Playwright confirmed same (title 'Attention Required! | Cloudflare', status 403)</t>
        </is>
      </c>
      <c r="M312" s="13" t="inlineStr">
        <is>
          <t>ACCEPT</t>
        </is>
      </c>
      <c r="N312" s="13" t="inlineStr">
        <is>
          <t>A - low-hanging fruit</t>
        </is>
      </c>
      <c r="O312" s="13" t="n">
        <v>5</v>
      </c>
      <c r="P312" s="13" t="inlineStr">
        <is>
          <t>VTEX</t>
        </is>
      </c>
      <c r="Q312" s="13" t="inlineStr">
        <is>
          <t>RON</t>
        </is>
      </c>
      <c r="R312" s="13" t="inlineStr">
        <is>
          <t>/api/catalog_system/pub/products/search?_from=0&amp;_to=49</t>
        </is>
      </c>
      <c r="S312" s="13" t="inlineStr">
        <is>
          <t>current, promo</t>
        </is>
      </c>
      <c r="T312" s="13" t="inlineStr">
        <is>
          <t>VTEX platform - use the catalogue API, never the HTML. This is the cheapest Romanian source to build once the shared VTEX adapter exists.</t>
        </is>
      </c>
      <c r="U312" s="13" t="inlineStr">
        <is>
          <t>VTEX HTML renders no prices at all (confirmed on Exito, Colombia). An HTML parser will silently return zero rows.</t>
        </is>
      </c>
      <c r="V312" s="13" t="inlineStr">
        <is>
          <t>P6</t>
        </is>
      </c>
    </row>
    <row r="313">
      <c r="A313" s="13" t="inlineStr">
        <is>
          <t>eca</t>
        </is>
      </c>
      <c r="B313" s="13" t="inlineStr">
        <is>
          <t>romania</t>
        </is>
      </c>
      <c r="C313" s="13" t="inlineStr">
        <is>
          <t>ROU</t>
        </is>
      </c>
      <c r="D313" s="13" t="inlineStr">
        <is>
          <t>Romania</t>
        </is>
      </c>
      <c r="E313" s="13" t="inlineStr">
        <is>
          <t>Carrefour Romania</t>
        </is>
      </c>
      <c r="F313" s="13" t="inlineStr">
        <is>
          <t>https://carrefour.ro/</t>
        </is>
      </c>
      <c r="G313" s="13" t="inlineStr">
        <is>
          <t>PROBED - SKIP</t>
        </is>
      </c>
      <c r="H313" s="13" t="inlineStr">
        <is>
          <t>SKIP</t>
        </is>
      </c>
      <c r="I313" s="13" t="inlineStr">
        <is>
          <t>high</t>
        </is>
      </c>
      <c r="J313" s="13" t="n">
        <v>0</v>
      </c>
      <c r="K313" s="13" t="inlineStr">
        <is>
          <t>blocked</t>
        </is>
      </c>
      <c r="L313" s="13" t="inlineStr">
        <is>
          <t>curl on VTEX endpoint /api/catalog_system/pub/products/search -&gt; 403 Cloudflare 'Attention Required'; root domain also 403; Playwright confirmed same (title 'Attention Required! | Cloudflare', status 403)</t>
        </is>
      </c>
      <c r="M313" s="13" t="inlineStr">
        <is>
          <t>ACCEPT</t>
        </is>
      </c>
      <c r="N313" s="13" t="inlineStr">
        <is>
          <t>A - low-hanging fruit</t>
        </is>
      </c>
      <c r="O313" s="13" t="n">
        <v>5</v>
      </c>
      <c r="P313" s="13" t="inlineStr">
        <is>
          <t>VTEX</t>
        </is>
      </c>
      <c r="Q313" s="13" t="inlineStr"/>
      <c r="R313" s="13" t="inlineStr">
        <is>
          <t>/api/catalog_system/pub/products/search?_from=0&amp;_to=49</t>
        </is>
      </c>
      <c r="S313" s="13" t="inlineStr">
        <is>
          <t>current, promo</t>
        </is>
      </c>
      <c r="T313" s="13" t="inlineStr">
        <is>
          <t>VTEX - use the catalogue API. Cheapest Romanian build.</t>
        </is>
      </c>
      <c r="U313" s="13" t="inlineStr">
        <is>
          <t>VTEX HTML carries NO prices.</t>
        </is>
      </c>
      <c r="V313" s="13" t="inlineStr">
        <is>
          <t>P8-EU</t>
        </is>
      </c>
    </row>
    <row r="314">
      <c r="A314" s="13" t="inlineStr">
        <is>
          <t>eca</t>
        </is>
      </c>
      <c r="B314" s="13" t="inlineStr">
        <is>
          <t>romania</t>
        </is>
      </c>
      <c r="C314" s="13" t="inlineStr">
        <is>
          <t>ROU</t>
        </is>
      </c>
      <c r="D314" s="13" t="inlineStr">
        <is>
          <t>Romania</t>
        </is>
      </c>
      <c r="E314" s="13" t="inlineStr">
        <is>
          <t>Mekka Market</t>
        </is>
      </c>
      <c r="F314" s="13" t="inlineStr">
        <is>
          <t>https://mekkamarket.ro/</t>
        </is>
      </c>
      <c r="G314" s="13" t="inlineStr">
        <is>
          <t>PROBED - SKIP</t>
        </is>
      </c>
      <c r="H314" s="13" t="inlineStr">
        <is>
          <t>SKIP</t>
        </is>
      </c>
      <c r="I314" s="13" t="inlineStr">
        <is>
          <t>medium</t>
        </is>
      </c>
      <c r="J314" s="13" t="n">
        <v>0</v>
      </c>
      <c r="K314" s="13" t="inlineStr">
        <is>
          <t>-</t>
        </is>
      </c>
      <c r="L314" s="13" t="inlineStr">
        <is>
          <t>not probed - sampled only, CSV already flags '0.00 RON partial catalogue load' gotcha</t>
        </is>
      </c>
      <c r="M314" s="13" t="inlineStr">
        <is>
          <t>SUSPECT</t>
        </is>
      </c>
      <c r="N314" s="13" t="inlineStr">
        <is>
          <t>not scored</t>
        </is>
      </c>
      <c r="O314" s="13" t="inlineStr"/>
      <c r="P314" s="13" t="inlineStr">
        <is>
          <t>Custom</t>
        </is>
      </c>
      <c r="Q314" s="13" t="inlineStr">
        <is>
          <t>RON</t>
        </is>
      </c>
      <c r="R314" s="13" t="inlineStr">
        <is>
          <t>-</t>
        </is>
      </c>
      <c r="S314" s="13" t="inlineStr">
        <is>
          <t>-</t>
        </is>
      </c>
      <c r="T314" s="13" t="inlineStr">
        <is>
          <t>RON per-buc and per-kg pricing, but many lines show 0.00 RON - partial catalogue load. Scrape defensively and drop zero-price rows.</t>
        </is>
      </c>
      <c r="U314" s="13" t="inlineStr">
        <is>
          <t>-</t>
        </is>
      </c>
      <c r="V314" s="13" t="inlineStr">
        <is>
          <t>P5</t>
        </is>
      </c>
    </row>
    <row r="315">
      <c r="A315" s="13" t="inlineStr">
        <is>
          <t>eca</t>
        </is>
      </c>
      <c r="B315" s="13" t="inlineStr">
        <is>
          <t>romania</t>
        </is>
      </c>
      <c r="C315" s="13" t="inlineStr">
        <is>
          <t>ROU</t>
        </is>
      </c>
      <c r="D315" s="13" t="inlineStr">
        <is>
          <t>Romania</t>
        </is>
      </c>
      <c r="E315" s="13" t="inlineStr">
        <is>
          <t>Mekka Market</t>
        </is>
      </c>
      <c r="F315" s="13" t="inlineStr">
        <is>
          <t>https://mekkamarket.ro/</t>
        </is>
      </c>
      <c r="G315" s="13" t="inlineStr">
        <is>
          <t>PROBED - SKIP</t>
        </is>
      </c>
      <c r="H315" s="13" t="inlineStr">
        <is>
          <t>SKIP</t>
        </is>
      </c>
      <c r="I315" s="13" t="inlineStr">
        <is>
          <t>medium</t>
        </is>
      </c>
      <c r="J315" s="13" t="n">
        <v>0</v>
      </c>
      <c r="K315" s="13" t="inlineStr">
        <is>
          <t>-</t>
        </is>
      </c>
      <c r="L315" s="13" t="inlineStr">
        <is>
          <t>not probed - sampled only, CSV already flags '0.00 RON partial catalogue load' gotcha</t>
        </is>
      </c>
      <c r="M315" s="13" t="inlineStr">
        <is>
          <t>SUSPECT</t>
        </is>
      </c>
      <c r="N315" s="13" t="inlineStr">
        <is>
          <t>C - engineering required</t>
        </is>
      </c>
      <c r="O315" s="13" t="n">
        <v>3</v>
      </c>
      <c r="P315" s="13" t="inlineStr">
        <is>
          <t>Custom</t>
        </is>
      </c>
      <c r="Q315" s="13" t="inlineStr">
        <is>
          <t>RON</t>
        </is>
      </c>
      <c r="R315" s="13" t="inlineStr">
        <is>
          <t>-</t>
        </is>
      </c>
      <c r="S315" s="13" t="inlineStr">
        <is>
          <t>current</t>
        </is>
      </c>
      <c r="T315" s="13" t="inlineStr">
        <is>
          <t>RON per-buc and per-kg pricing.</t>
        </is>
      </c>
      <c r="U315" s="13" t="inlineStr">
        <is>
          <t>MANY LINES SHOW 0.00 RON - a partial catalogue load. Drop zero-price rows defensively or the mean will be dragged to nonsense.</t>
        </is>
      </c>
      <c r="V315" s="13" t="inlineStr">
        <is>
          <t>P6</t>
        </is>
      </c>
    </row>
    <row r="316">
      <c r="A316" s="13" t="inlineStr">
        <is>
          <t>eca</t>
        </is>
      </c>
      <c r="B316" s="13" t="inlineStr">
        <is>
          <t>romania</t>
        </is>
      </c>
      <c r="C316" s="13" t="inlineStr">
        <is>
          <t>ROU</t>
        </is>
      </c>
      <c r="D316" s="13" t="inlineStr">
        <is>
          <t>Romania</t>
        </is>
      </c>
      <c r="E316" s="13" t="inlineStr">
        <is>
          <t>Profi</t>
        </is>
      </c>
      <c r="F316" s="13" t="inlineStr">
        <is>
          <t>https://www.profi.ro/</t>
        </is>
      </c>
      <c r="G316" s="13" t="inlineStr">
        <is>
          <t>PROBED - SKIP</t>
        </is>
      </c>
      <c r="H316" s="13" t="inlineStr">
        <is>
          <t>SKIP</t>
        </is>
      </c>
      <c r="I316" s="13" t="inlineStr">
        <is>
          <t>high</t>
        </is>
      </c>
      <c r="J316" s="13" t="n">
        <v>0</v>
      </c>
      <c r="K316" s="13" t="inlineStr">
        <is>
          <t>blocked</t>
        </is>
      </c>
      <c r="L316" s="13" t="inlineStr">
        <is>
          <t>curl 403, body title 'Just a moment...' Cloudflare interactive challenge</t>
        </is>
      </c>
      <c r="M316" s="13" t="inlineStr">
        <is>
          <t>ACCEPT</t>
        </is>
      </c>
      <c r="N316" s="13" t="inlineStr">
        <is>
          <t>C - engineering required</t>
        </is>
      </c>
      <c r="O316" s="13" t="n">
        <v>3</v>
      </c>
      <c r="P316" s="13" t="inlineStr">
        <is>
          <t>Custom</t>
        </is>
      </c>
      <c r="Q316" s="13" t="inlineStr"/>
      <c r="R316" s="13" t="inlineStr">
        <is>
          <t>-</t>
        </is>
      </c>
      <c r="S316" s="13" t="inlineStr">
        <is>
          <t>current</t>
        </is>
      </c>
      <c r="T316" s="13" t="inlineStr">
        <is>
          <t>Densest Romanian small-format network incl. rural - reports to Monitorul Preturilor.</t>
        </is>
      </c>
      <c r="U316" s="13" t="inlineStr">
        <is>
          <t>-</t>
        </is>
      </c>
      <c r="V316" s="13" t="inlineStr">
        <is>
          <t>P8-EU</t>
        </is>
      </c>
    </row>
    <row r="317">
      <c r="A317" s="13" t="inlineStr">
        <is>
          <t>eca</t>
        </is>
      </c>
      <c r="B317" s="13" t="inlineStr">
        <is>
          <t>romania</t>
        </is>
      </c>
      <c r="C317" s="13" t="inlineStr">
        <is>
          <t>ROU</t>
        </is>
      </c>
      <c r="D317" s="13" t="inlineStr">
        <is>
          <t>Romania</t>
        </is>
      </c>
      <c r="E317" s="13" t="inlineStr">
        <is>
          <t>AlimentaraOnline</t>
        </is>
      </c>
      <c r="F317" s="13" t="inlineStr">
        <is>
          <t>https://www.alimentaraonline.com/</t>
        </is>
      </c>
      <c r="G317" s="13" t="inlineStr">
        <is>
          <t>PROBED - VIABLE</t>
        </is>
      </c>
      <c r="H317" s="13" t="inlineStr">
        <is>
          <t>TIER_2</t>
        </is>
      </c>
      <c r="I317" s="13" t="inlineStr">
        <is>
          <t>medium</t>
        </is>
      </c>
      <c r="J317" s="13" t="n">
        <v>0</v>
      </c>
      <c r="K317" s="13" t="inlineStr">
        <is>
          <t>not found</t>
        </is>
      </c>
      <c r="L317" s="13" t="inlineStr">
        <is>
          <t>curl 200, 1.38MB, no price pattern matched on homepage</t>
        </is>
      </c>
      <c r="M317" s="13" t="inlineStr">
        <is>
          <t>ACCEPT</t>
        </is>
      </c>
      <c r="N317" s="13" t="inlineStr">
        <is>
          <t>not scored</t>
        </is>
      </c>
      <c r="O317" s="13" t="inlineStr"/>
      <c r="P317" s="13" t="inlineStr">
        <is>
          <t>Custom</t>
        </is>
      </c>
      <c r="Q317" s="13" t="inlineStr">
        <is>
          <t>RON</t>
        </is>
      </c>
      <c r="R317" s="13" t="inlineStr">
        <is>
          <t>-</t>
        </is>
      </c>
      <c r="S317" s="13" t="inlineStr">
        <is>
          <t>-</t>
        </is>
      </c>
      <c r="T317" s="13" t="inlineStr">
        <is>
          <t>RON prices with discount percentages and per-unit labels; includes Romanian-products and plant-based verticals.</t>
        </is>
      </c>
      <c r="U317" s="13" t="inlineStr">
        <is>
          <t>-</t>
        </is>
      </c>
      <c r="V317" s="13" t="inlineStr">
        <is>
          <t>P5</t>
        </is>
      </c>
    </row>
    <row r="318">
      <c r="A318" s="13" t="inlineStr">
        <is>
          <t>eca</t>
        </is>
      </c>
      <c r="B318" s="13" t="inlineStr">
        <is>
          <t>romania</t>
        </is>
      </c>
      <c r="C318" s="13" t="inlineStr">
        <is>
          <t>ROU</t>
        </is>
      </c>
      <c r="D318" s="13" t="inlineStr">
        <is>
          <t>Romania</t>
        </is>
      </c>
      <c r="E318" s="13" t="inlineStr">
        <is>
          <t>AlimentaraOnline</t>
        </is>
      </c>
      <c r="F318" s="13" t="inlineStr">
        <is>
          <t>https://www.alimentaraonline.com/</t>
        </is>
      </c>
      <c r="G318" s="13" t="inlineStr">
        <is>
          <t>PROBED - VIABLE</t>
        </is>
      </c>
      <c r="H318" s="13" t="inlineStr">
        <is>
          <t>TIER_2</t>
        </is>
      </c>
      <c r="I318" s="13" t="inlineStr">
        <is>
          <t>medium</t>
        </is>
      </c>
      <c r="J318" s="13" t="n">
        <v>0</v>
      </c>
      <c r="K318" s="13" t="inlineStr">
        <is>
          <t>not found</t>
        </is>
      </c>
      <c r="L318" s="13" t="inlineStr">
        <is>
          <t>curl 200, 1.38MB, no price pattern matched on homepage</t>
        </is>
      </c>
      <c r="M318" s="13" t="inlineStr">
        <is>
          <t>ACCEPT</t>
        </is>
      </c>
      <c r="N318" s="13" t="inlineStr">
        <is>
          <t>C - engineering required</t>
        </is>
      </c>
      <c r="O318" s="13" t="n">
        <v>3</v>
      </c>
      <c r="P318" s="13" t="inlineStr">
        <is>
          <t>Custom</t>
        </is>
      </c>
      <c r="Q318" s="13" t="inlineStr">
        <is>
          <t>RON</t>
        </is>
      </c>
      <c r="R318" s="13" t="inlineStr">
        <is>
          <t>-</t>
        </is>
      </c>
      <c r="S318" s="13" t="inlineStr">
        <is>
          <t>current, discount_pct</t>
        </is>
      </c>
      <c r="T318" s="13" t="inlineStr">
        <is>
          <t>Has dedicated Romanian-products and plant-based verticals - useful for domestic-versus-imported price comparison.</t>
        </is>
      </c>
      <c r="U318" s="13" t="inlineStr">
        <is>
          <t>-</t>
        </is>
      </c>
      <c r="V318" s="13" t="inlineStr">
        <is>
          <t>P6</t>
        </is>
      </c>
    </row>
    <row r="319">
      <c r="A319" s="13" t="inlineStr">
        <is>
          <t>eca</t>
        </is>
      </c>
      <c r="B319" s="13" t="inlineStr">
        <is>
          <t>romania</t>
        </is>
      </c>
      <c r="C319" s="13" t="inlineStr">
        <is>
          <t>ROU</t>
        </is>
      </c>
      <c r="D319" s="13" t="inlineStr">
        <is>
          <t>Romania</t>
        </is>
      </c>
      <c r="E319" s="13" t="inlineStr">
        <is>
          <t>Auchan Romania</t>
        </is>
      </c>
      <c r="F319" s="13" t="inlineStr">
        <is>
          <t>https://www.auchan.ro/</t>
        </is>
      </c>
      <c r="G319" s="13" t="inlineStr">
        <is>
          <t>PROBED - VIABLE</t>
        </is>
      </c>
      <c r="H319" s="13" t="inlineStr">
        <is>
          <t>TIER_2</t>
        </is>
      </c>
      <c r="I319" s="13" t="inlineStr">
        <is>
          <t>medium</t>
        </is>
      </c>
      <c r="J319" s="13" t="n">
        <v>0</v>
      </c>
      <c r="K319" s="13" t="inlineStr">
        <is>
          <t>not found</t>
        </is>
      </c>
      <c r="L319" s="13" t="inlineStr">
        <is>
          <t>curl 200, 4.0MB page, GraphQL detected, no price pattern matched in raw regex sweep (page too large/complex for a quick grep to be conclusive)</t>
        </is>
      </c>
      <c r="M319" s="13" t="inlineStr">
        <is>
          <t>ACCEPT</t>
        </is>
      </c>
      <c r="N319" s="13" t="inlineStr">
        <is>
          <t>D - hard / app / index only</t>
        </is>
      </c>
      <c r="O319" s="13" t="n">
        <v>2</v>
      </c>
      <c r="P319" s="13" t="inlineStr">
        <is>
          <t>Custom/Enterprise</t>
        </is>
      </c>
      <c r="Q319" s="13" t="inlineStr">
        <is>
          <t>RON</t>
        </is>
      </c>
      <c r="R319" s="13" t="inlineStr">
        <is>
          <t>-</t>
        </is>
      </c>
      <c r="S319" s="13" t="inlineStr">
        <is>
          <t>current, myclub_price</t>
        </is>
      </c>
      <c r="T319" s="13" t="inlineStr">
        <is>
          <t>Hypermarket with a MyCLUB loyalty tier, same two-tier structure as Mega Image.</t>
        </is>
      </c>
      <c r="U319" s="13" t="inlineStr">
        <is>
          <t>-</t>
        </is>
      </c>
      <c r="V319" s="13" t="inlineStr">
        <is>
          <t>P6</t>
        </is>
      </c>
    </row>
    <row r="320">
      <c r="A320" s="13" t="inlineStr">
        <is>
          <t>eca</t>
        </is>
      </c>
      <c r="B320" s="13" t="inlineStr">
        <is>
          <t>romania</t>
        </is>
      </c>
      <c r="C320" s="13" t="inlineStr">
        <is>
          <t>ROU</t>
        </is>
      </c>
      <c r="D320" s="13" t="inlineStr">
        <is>
          <t>Romania</t>
        </is>
      </c>
      <c r="E320" s="13" t="inlineStr">
        <is>
          <t>Auchan Romania</t>
        </is>
      </c>
      <c r="F320" s="13" t="inlineStr">
        <is>
          <t>https://www.auchan.ro/</t>
        </is>
      </c>
      <c r="G320" s="13" t="inlineStr">
        <is>
          <t>PROBED - VIABLE</t>
        </is>
      </c>
      <c r="H320" s="13" t="inlineStr">
        <is>
          <t>TIER_2</t>
        </is>
      </c>
      <c r="I320" s="13" t="inlineStr">
        <is>
          <t>medium</t>
        </is>
      </c>
      <c r="J320" s="13" t="n">
        <v>0</v>
      </c>
      <c r="K320" s="13" t="inlineStr">
        <is>
          <t>not found</t>
        </is>
      </c>
      <c r="L320" s="13" t="inlineStr">
        <is>
          <t>curl 200, 4.0MB page, GraphQL detected, no price pattern matched in raw regex sweep (page too large/complex for a quick grep to be conclusive)</t>
        </is>
      </c>
      <c r="M320" s="13" t="inlineStr">
        <is>
          <t>SUSPECT</t>
        </is>
      </c>
      <c r="N320" s="13" t="inlineStr">
        <is>
          <t>D - hard / app / index only</t>
        </is>
      </c>
      <c r="O320" s="13" t="n">
        <v>2</v>
      </c>
      <c r="P320" s="13" t="inlineStr">
        <is>
          <t>Custom/Enterprise</t>
        </is>
      </c>
      <c r="Q320" s="13" t="inlineStr"/>
      <c r="R320" s="13" t="inlineStr">
        <is>
          <t>-</t>
        </is>
      </c>
      <c r="S320" s="13" t="inlineStr">
        <is>
          <t>current, myclub_price</t>
        </is>
      </c>
      <c r="T320" s="13" t="inlineStr">
        <is>
          <t>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320" s="13" t="inlineStr">
        <is>
          <t>-</t>
        </is>
      </c>
      <c r="V320" s="13" t="inlineStr">
        <is>
          <t>P8-EU</t>
        </is>
      </c>
    </row>
    <row r="321">
      <c r="A321" s="13" t="inlineStr">
        <is>
          <t>eca</t>
        </is>
      </c>
      <c r="B321" s="13" t="inlineStr">
        <is>
          <t>romania</t>
        </is>
      </c>
      <c r="C321" s="13" t="inlineStr">
        <is>
          <t>ROU</t>
        </is>
      </c>
      <c r="D321" s="13" t="inlineStr">
        <is>
          <t>Romania</t>
        </is>
      </c>
      <c r="E321" s="13" t="inlineStr">
        <is>
          <t>Freshful by eMAG</t>
        </is>
      </c>
      <c r="F321" s="13" t="inlineStr">
        <is>
          <t>https://www.freshful.ro/</t>
        </is>
      </c>
      <c r="G321" s="13" t="inlineStr">
        <is>
          <t>PROBED - VIABLE</t>
        </is>
      </c>
      <c r="H321" s="13" t="inlineStr">
        <is>
          <t>TIER_1A</t>
        </is>
      </c>
      <c r="I321" s="13" t="inlineStr">
        <is>
          <t>low</t>
        </is>
      </c>
      <c r="J321" s="13" t="n">
        <v>150</v>
      </c>
      <c r="K321" s="13" t="inlineStr">
        <is>
          <t>SSR HTML, no API needed</t>
        </is>
      </c>
      <c r="L321" s="13" t="inlineStr">
        <is>
          <t>curl 200, 566KB SSR HTML (__NEXT_DATA__), real prices in raw HTML: '12,99 lei', '20,00 Lei', '56,99 Lei', '47,98 Lei', '23,03 Lei'</t>
        </is>
      </c>
      <c r="M321" s="13" t="inlineStr">
        <is>
          <t>ACCEPT</t>
        </is>
      </c>
      <c r="N321" s="13" t="inlineStr">
        <is>
          <t>C - engineering required</t>
        </is>
      </c>
      <c r="O321" s="13" t="n">
        <v>3</v>
      </c>
      <c r="P321" s="13" t="inlineStr">
        <is>
          <t>Custom</t>
        </is>
      </c>
      <c r="Q321" s="13" t="inlineStr">
        <is>
          <t>RON</t>
        </is>
      </c>
      <c r="R321" s="13" t="inlineStr">
        <is>
          <t>Parse the offers listing; retain producer attribution as a field.</t>
        </is>
      </c>
      <c r="S321" s="13" t="inlineStr">
        <is>
          <t>current, was_price, discount_pct, unit_price_per_kg_or_l, instalment_price</t>
        </is>
      </c>
      <c r="T321" s="13" t="inlineStr">
        <is>
          <t>STRONG. Five price fields including an instalment price ('2 x 11,51 Lei'). Carries named LOCAL PRODUCER attribution on fresh produce (e.g. 'Fratii Camen, Baleni', 'Gheorghe Doja'), which supports farm-gate to retail margin work that is normally impossible from retail scrapes. 1,776 products on offer at time of check.</t>
        </is>
      </c>
      <c r="U321" s="13" t="inlineStr">
        <is>
          <t>Deep discounts (-70%) are common; always capture both current and was_price or the series will look far more volatile than the underlying shelf price.</t>
        </is>
      </c>
      <c r="V321" s="13" t="inlineStr">
        <is>
          <t>P6</t>
        </is>
      </c>
    </row>
    <row r="322">
      <c r="A322" s="13" t="inlineStr">
        <is>
          <t>eca</t>
        </is>
      </c>
      <c r="B322" s="13" t="inlineStr">
        <is>
          <t>romania</t>
        </is>
      </c>
      <c r="C322" s="13" t="inlineStr">
        <is>
          <t>ROU</t>
        </is>
      </c>
      <c r="D322" s="13" t="inlineStr">
        <is>
          <t>Romania</t>
        </is>
      </c>
      <c r="E322" s="13" t="inlineStr">
        <is>
          <t>Freshful by eMAG</t>
        </is>
      </c>
      <c r="F322" s="13" t="inlineStr">
        <is>
          <t>https://www.freshful.ro/</t>
        </is>
      </c>
      <c r="G322" s="13" t="inlineStr">
        <is>
          <t>PROBED - VIABLE</t>
        </is>
      </c>
      <c r="H322" s="13" t="inlineStr">
        <is>
          <t>TIER_1A</t>
        </is>
      </c>
      <c r="I322" s="13" t="inlineStr">
        <is>
          <t>low</t>
        </is>
      </c>
      <c r="J322" s="13" t="n">
        <v>150</v>
      </c>
      <c r="K322" s="13" t="inlineStr">
        <is>
          <t>SSR HTML, no API needed</t>
        </is>
      </c>
      <c r="L322" s="13" t="inlineStr">
        <is>
          <t>curl 200, 566KB SSR HTML (__NEXT_DATA__), real prices in raw HTML: '12,99 lei', '20,00 Lei', '56,99 Lei', '47,98 Lei', '23,03 Lei'</t>
        </is>
      </c>
      <c r="M322" s="13" t="inlineStr">
        <is>
          <t>ACCEPT</t>
        </is>
      </c>
      <c r="N322" s="13" t="inlineStr">
        <is>
          <t>C - engineering required</t>
        </is>
      </c>
      <c r="O322" s="13" t="n">
        <v>3</v>
      </c>
      <c r="P322" s="13" t="inlineStr">
        <is>
          <t>Custom</t>
        </is>
      </c>
      <c r="Q322" s="13" t="inlineStr"/>
      <c r="R322" s="13" t="inlineStr">
        <is>
          <t>-</t>
        </is>
      </c>
      <c r="S322" s="13" t="inlineStr">
        <is>
          <t>current, was_price, discount_pct, unit_price, instalment_price</t>
        </is>
      </c>
      <c r="T322" s="13" t="inlineStr">
        <is>
          <t>Five fields including instalment pricing, plus NAMED LOCAL PRODUCER attribution on fresh produce.</t>
        </is>
      </c>
      <c r="U322" s="13" t="inlineStr">
        <is>
          <t>-</t>
        </is>
      </c>
      <c r="V322" s="13" t="inlineStr">
        <is>
          <t>P8-EU</t>
        </is>
      </c>
    </row>
    <row r="323">
      <c r="A323" s="13" t="inlineStr">
        <is>
          <t>eca</t>
        </is>
      </c>
      <c r="B323" s="13" t="inlineStr">
        <is>
          <t>romania</t>
        </is>
      </c>
      <c r="C323" s="13" t="inlineStr">
        <is>
          <t>ROU</t>
        </is>
      </c>
      <c r="D323" s="13" t="inlineStr">
        <is>
          <t>Romania</t>
        </is>
      </c>
      <c r="E323" s="13" t="inlineStr">
        <is>
          <t>HomeMarket.ro</t>
        </is>
      </c>
      <c r="F323" s="13" t="inlineStr">
        <is>
          <t>https://www.homemarket.ro/</t>
        </is>
      </c>
      <c r="G323" s="13" t="inlineStr">
        <is>
          <t>PROBED - VIABLE</t>
        </is>
      </c>
      <c r="H323" s="13" t="inlineStr">
        <is>
          <t>TIER_1A</t>
        </is>
      </c>
      <c r="I323" s="13" t="inlineStr">
        <is>
          <t>low</t>
        </is>
      </c>
      <c r="J323" s="13" t="n">
        <v>90</v>
      </c>
      <c r="K323" s="13" t="inlineStr">
        <is>
          <t>SSR HTML</t>
        </is>
      </c>
      <c r="L323" s="13" t="inlineStr">
        <is>
          <t>curl 200, 43KB, real prices in raw HTML: '23.05 Lei', '55.89 Lei', '15.98 Lei', '18.41 Lei', '9.03 Lei'</t>
        </is>
      </c>
      <c r="M323" s="13" t="inlineStr">
        <is>
          <t>ACCEPT</t>
        </is>
      </c>
      <c r="N323" s="13" t="inlineStr">
        <is>
          <t>not scored</t>
        </is>
      </c>
      <c r="O323" s="13" t="inlineStr"/>
      <c r="P323" s="13" t="inlineStr">
        <is>
          <t>Custom</t>
        </is>
      </c>
      <c r="Q323" s="13" t="inlineStr">
        <is>
          <t>RON</t>
        </is>
      </c>
      <c r="R323" s="13" t="inlineStr">
        <is>
          <t>-</t>
        </is>
      </c>
      <c r="S323" s="13" t="inlineStr">
        <is>
          <t>-</t>
        </is>
      </c>
      <c r="T323" s="13" t="inlineStr">
        <is>
          <t>14,000+ products, Lei prices, food and non-food. Bucharest and surrounds.</t>
        </is>
      </c>
      <c r="U323" s="13" t="inlineStr">
        <is>
          <t>-</t>
        </is>
      </c>
      <c r="V323" s="13" t="inlineStr">
        <is>
          <t>P5</t>
        </is>
      </c>
    </row>
    <row r="324">
      <c r="A324" s="13" t="inlineStr">
        <is>
          <t>eca</t>
        </is>
      </c>
      <c r="B324" s="13" t="inlineStr">
        <is>
          <t>romania</t>
        </is>
      </c>
      <c r="C324" s="13" t="inlineStr">
        <is>
          <t>ROU</t>
        </is>
      </c>
      <c r="D324" s="13" t="inlineStr">
        <is>
          <t>Romania</t>
        </is>
      </c>
      <c r="E324" s="13" t="inlineStr">
        <is>
          <t>HomeMarket.ro</t>
        </is>
      </c>
      <c r="F324" s="13" t="inlineStr">
        <is>
          <t>https://www.homemarket.ro/</t>
        </is>
      </c>
      <c r="G324" s="13" t="inlineStr">
        <is>
          <t>PROBED - VIABLE</t>
        </is>
      </c>
      <c r="H324" s="13" t="inlineStr">
        <is>
          <t>TIER_1A</t>
        </is>
      </c>
      <c r="I324" s="13" t="inlineStr">
        <is>
          <t>low</t>
        </is>
      </c>
      <c r="J324" s="13" t="n">
        <v>90</v>
      </c>
      <c r="K324" s="13" t="inlineStr">
        <is>
          <t>SSR HTML</t>
        </is>
      </c>
      <c r="L324" s="13" t="inlineStr">
        <is>
          <t>curl 200, 43KB, real prices in raw HTML: '23.05 Lei', '55.89 Lei', '15.98 Lei', '18.41 Lei', '9.03 Lei'</t>
        </is>
      </c>
      <c r="M324" s="13" t="inlineStr">
        <is>
          <t>ACCEPT</t>
        </is>
      </c>
      <c r="N324" s="13" t="inlineStr">
        <is>
          <t>C - engineering required</t>
        </is>
      </c>
      <c r="O324" s="13" t="n">
        <v>3</v>
      </c>
      <c r="P324" s="13" t="inlineStr">
        <is>
          <t>Custom</t>
        </is>
      </c>
      <c r="Q324" s="13" t="inlineStr">
        <is>
          <t>RON</t>
        </is>
      </c>
      <c r="R324" s="13" t="inlineStr">
        <is>
          <t>-</t>
        </is>
      </c>
      <c r="S324" s="13" t="inlineStr">
        <is>
          <t>current</t>
        </is>
      </c>
      <c r="T324" s="13" t="inlineStr">
        <is>
          <t>14,000+ products, food and non-food, Bucharest.</t>
        </is>
      </c>
      <c r="U324" s="13" t="inlineStr">
        <is>
          <t>-</t>
        </is>
      </c>
      <c r="V324" s="13" t="inlineStr">
        <is>
          <t>P6</t>
        </is>
      </c>
    </row>
    <row r="325">
      <c r="A325" s="13" t="inlineStr">
        <is>
          <t>eca</t>
        </is>
      </c>
      <c r="B325" s="13" t="inlineStr">
        <is>
          <t>romania</t>
        </is>
      </c>
      <c r="C325" s="13" t="inlineStr">
        <is>
          <t>ROU</t>
        </is>
      </c>
      <c r="D325" s="13" t="inlineStr">
        <is>
          <t>Romania</t>
        </is>
      </c>
      <c r="E325" s="13" t="inlineStr">
        <is>
          <t>Kaufland Romania</t>
        </is>
      </c>
      <c r="F325" s="13" t="inlineStr">
        <is>
          <t>https://www.kaufland.ro/</t>
        </is>
      </c>
      <c r="G325" s="13" t="inlineStr">
        <is>
          <t>PROBED - VIABLE</t>
        </is>
      </c>
      <c r="H325" s="13" t="inlineStr">
        <is>
          <t>TIER_2</t>
        </is>
      </c>
      <c r="I325" s="13" t="inlineStr">
        <is>
          <t>medium</t>
        </is>
      </c>
      <c r="J325" s="13" t="n">
        <v>0</v>
      </c>
      <c r="K325" s="13" t="inlineStr">
        <is>
          <t>not found</t>
        </is>
      </c>
      <c r="L325" s="13" t="inlineStr">
        <is>
          <t>curl 200, 323KB (NOT blocked, unlike kaufland.de which shows an explicit 'Zugriff blockiert' page) - only match was a loyalty-copy '0,01 lei' placeholder, no product prices confirmed</t>
        </is>
      </c>
      <c r="M325" s="13" t="inlineStr">
        <is>
          <t>SUSPECT</t>
        </is>
      </c>
      <c r="N325" s="13" t="inlineStr">
        <is>
          <t>D - hard / app / index only</t>
        </is>
      </c>
      <c r="O325" s="13" t="n">
        <v>2</v>
      </c>
      <c r="P325" s="13" t="inlineStr">
        <is>
          <t>Custom/Enterprise</t>
        </is>
      </c>
      <c r="Q325" s="13" t="inlineStr">
        <is>
          <t>RON</t>
        </is>
      </c>
      <c r="R325" s="13" t="inlineStr">
        <is>
          <t>-</t>
        </is>
      </c>
      <c r="S325" s="13" t="inlineStr">
        <is>
          <t>current, promo</t>
        </is>
      </c>
      <c r="T325" s="13" t="inlineStr">
        <is>
          <t>Major hypermarket; enterprise stack.</t>
        </is>
      </c>
      <c r="U325" s="13" t="inlineStr">
        <is>
          <t>-</t>
        </is>
      </c>
      <c r="V325" s="13" t="inlineStr">
        <is>
          <t>P6</t>
        </is>
      </c>
    </row>
    <row r="326">
      <c r="A326" s="13" t="inlineStr">
        <is>
          <t>eca</t>
        </is>
      </c>
      <c r="B326" s="13" t="inlineStr">
        <is>
          <t>romania</t>
        </is>
      </c>
      <c r="C326" s="13" t="inlineStr">
        <is>
          <t>ROU</t>
        </is>
      </c>
      <c r="D326" s="13" t="inlineStr">
        <is>
          <t>Romania</t>
        </is>
      </c>
      <c r="E326" s="13" t="inlineStr">
        <is>
          <t>Kaufland Romania</t>
        </is>
      </c>
      <c r="F326" s="13" t="inlineStr">
        <is>
          <t>https://www.kaufland.ro/</t>
        </is>
      </c>
      <c r="G326" s="13" t="inlineStr">
        <is>
          <t>PROBED - VIABLE</t>
        </is>
      </c>
      <c r="H326" s="13" t="inlineStr">
        <is>
          <t>TIER_2</t>
        </is>
      </c>
      <c r="I326" s="13" t="inlineStr">
        <is>
          <t>medium</t>
        </is>
      </c>
      <c r="J326" s="13" t="n">
        <v>0</v>
      </c>
      <c r="K326" s="13" t="inlineStr">
        <is>
          <t>not found</t>
        </is>
      </c>
      <c r="L326" s="13" t="inlineStr">
        <is>
          <t>curl 200, 323KB (NOT blocked, unlike kaufland.de which shows an explicit 'Zugriff blockiert' page) - only match was a loyalty-copy '0,01 lei' placeholder, no product prices confirmed</t>
        </is>
      </c>
      <c r="M326" s="13" t="inlineStr">
        <is>
          <t>SUSPECT</t>
        </is>
      </c>
      <c r="N326" s="13" t="inlineStr">
        <is>
          <t>D - hard / app / index only</t>
        </is>
      </c>
      <c r="O326" s="13" t="n">
        <v>2</v>
      </c>
      <c r="P326" s="13" t="inlineStr">
        <is>
          <t>Custom/Enterprise</t>
        </is>
      </c>
      <c r="Q326" s="13" t="inlineStr"/>
      <c r="R326" s="13" t="inlineStr">
        <is>
          <t>-</t>
        </is>
      </c>
      <c r="S326" s="13" t="inlineStr">
        <is>
          <t>current</t>
        </is>
      </c>
      <c r="T326" s="13" t="inlineStr">
        <is>
          <t>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326" s="13" t="inlineStr">
        <is>
          <t>-</t>
        </is>
      </c>
      <c r="V326" s="13" t="inlineStr">
        <is>
          <t>P8-EU</t>
        </is>
      </c>
    </row>
    <row r="327">
      <c r="A327" s="13" t="inlineStr">
        <is>
          <t>eca</t>
        </is>
      </c>
      <c r="B327" s="13" t="inlineStr">
        <is>
          <t>romania</t>
        </is>
      </c>
      <c r="C327" s="13" t="inlineStr">
        <is>
          <t>ROU</t>
        </is>
      </c>
      <c r="D327" s="13" t="inlineStr">
        <is>
          <t>Romania</t>
        </is>
      </c>
      <c r="E327" s="13" t="inlineStr">
        <is>
          <t>Mega Image</t>
        </is>
      </c>
      <c r="F327" s="13" t="inlineStr">
        <is>
          <t>https://www.mega-image.ro/</t>
        </is>
      </c>
      <c r="G327" s="13" t="inlineStr">
        <is>
          <t>PROBED - VIABLE</t>
        </is>
      </c>
      <c r="H327" s="13" t="inlineStr">
        <is>
          <t>TIER_2</t>
        </is>
      </c>
      <c r="I327" s="13" t="inlineStr">
        <is>
          <t>medium</t>
        </is>
      </c>
      <c r="J327" s="13" t="n">
        <v>0</v>
      </c>
      <c r="K327" s="13" t="inlineStr">
        <is>
          <t>not found</t>
        </is>
      </c>
      <c r="L327" s="13" t="inlineStr">
        <is>
          <t>curl 200, 1.29MB, Next.js + GraphQL detected; only match on homepage was a '0,00 Lei' basket-total placeholder, no product prices confirmed yet</t>
        </is>
      </c>
      <c r="M327" s="13" t="inlineStr">
        <is>
          <t>ACCEPT</t>
        </is>
      </c>
      <c r="N327" s="13" t="inlineStr">
        <is>
          <t>not scored</t>
        </is>
      </c>
      <c r="O327" s="13" t="inlineStr"/>
      <c r="P327" s="13" t="inlineStr">
        <is>
          <t>Custom</t>
        </is>
      </c>
      <c r="Q327" s="13" t="inlineStr">
        <is>
          <t>RON</t>
        </is>
      </c>
      <c r="R327" s="13" t="inlineStr">
        <is>
          <t>-</t>
        </is>
      </c>
      <c r="S327" s="13" t="inlineStr">
        <is>
          <t>-</t>
        </is>
      </c>
      <c r="T327" s="13" t="inlineStr">
        <is>
          <t>STRONG: Lei prices with per-kg and per-litre unit prices on every line, discount percentages, and loyalty-card (CONNECT) price versus standard price. Two price tiers per SKU is unusually rich for measuring effective prices paid.</t>
        </is>
      </c>
      <c r="U327" s="13" t="inlineStr">
        <is>
          <t>-</t>
        </is>
      </c>
      <c r="V327" s="13" t="inlineStr">
        <is>
          <t>P5</t>
        </is>
      </c>
    </row>
    <row r="328">
      <c r="A328" s="13" t="inlineStr">
        <is>
          <t>eca</t>
        </is>
      </c>
      <c r="B328" s="13" t="inlineStr">
        <is>
          <t>romania</t>
        </is>
      </c>
      <c r="C328" s="13" t="inlineStr">
        <is>
          <t>ROU</t>
        </is>
      </c>
      <c r="D328" s="13" t="inlineStr">
        <is>
          <t>Romania</t>
        </is>
      </c>
      <c r="E328" s="13" t="inlineStr">
        <is>
          <t>Mega Image</t>
        </is>
      </c>
      <c r="F328" s="13" t="inlineStr">
        <is>
          <t>https://www.mega-image.ro/</t>
        </is>
      </c>
      <c r="G328" s="13" t="inlineStr">
        <is>
          <t>PROBED - VIABLE</t>
        </is>
      </c>
      <c r="H328" s="13" t="inlineStr">
        <is>
          <t>TIER_2</t>
        </is>
      </c>
      <c r="I328" s="13" t="inlineStr">
        <is>
          <t>medium</t>
        </is>
      </c>
      <c r="J328" s="13" t="n">
        <v>0</v>
      </c>
      <c r="K328" s="13" t="inlineStr">
        <is>
          <t>not found</t>
        </is>
      </c>
      <c r="L328" s="13" t="inlineStr">
        <is>
          <t>curl 200, 1.29MB, Next.js + GraphQL detected; only match on homepage was a '0,00 Lei' basket-total placeholder, no product prices confirmed yet</t>
        </is>
      </c>
      <c r="M328" s="13" t="inlineStr">
        <is>
          <t>ACCEPT</t>
        </is>
      </c>
      <c r="N328" s="13" t="inlineStr">
        <is>
          <t>C - engineering required</t>
        </is>
      </c>
      <c r="O328" s="13" t="n">
        <v>3</v>
      </c>
      <c r="P328" s="13" t="inlineStr">
        <is>
          <t>Custom</t>
        </is>
      </c>
      <c r="Q328" s="13" t="inlineStr">
        <is>
          <t>RON</t>
        </is>
      </c>
      <c r="R328" s="13" t="inlineStr">
        <is>
          <t>Parse both tiers; store loyalty_flag per observation.</t>
        </is>
      </c>
      <c r="S328" s="13" t="inlineStr">
        <is>
          <t>loyalty_price, standard_price, unit_price_per_kg_or_l, discount_pct</t>
        </is>
      </c>
      <c r="T328" s="13" t="inlineStr">
        <is>
          <t>Exposes CONNECT loyalty-card price alongside the standard price. Two price tiers per SKU means effective prices PAID can be estimated, not just posted shelf prices - a distinction that matters for CPI-adjacent work because loyalty penetration is high in Romanian modern retail.</t>
        </is>
      </c>
      <c r="U328" s="13" t="inlineStr">
        <is>
          <t>A CONNECT-tagged price is NOT available to all shoppers. Tag the tier explicitly or the index will be biased downward.</t>
        </is>
      </c>
      <c r="V328" s="13" t="inlineStr">
        <is>
          <t>P6</t>
        </is>
      </c>
    </row>
    <row r="329">
      <c r="A329" s="13" t="inlineStr">
        <is>
          <t>eca</t>
        </is>
      </c>
      <c r="B329" s="13" t="inlineStr">
        <is>
          <t>romania</t>
        </is>
      </c>
      <c r="C329" s="13" t="inlineStr">
        <is>
          <t>ROU</t>
        </is>
      </c>
      <c r="D329" s="13" t="inlineStr">
        <is>
          <t>Romania</t>
        </is>
      </c>
      <c r="E329" s="13" t="inlineStr">
        <is>
          <t>Mega Image</t>
        </is>
      </c>
      <c r="F329" s="13" t="inlineStr">
        <is>
          <t>https://www.mega-image.ro/</t>
        </is>
      </c>
      <c r="G329" s="13" t="inlineStr">
        <is>
          <t>PROBED - VIABLE</t>
        </is>
      </c>
      <c r="H329" s="13" t="inlineStr">
        <is>
          <t>TIER_2</t>
        </is>
      </c>
      <c r="I329" s="13" t="inlineStr">
        <is>
          <t>medium</t>
        </is>
      </c>
      <c r="J329" s="13" t="n">
        <v>0</v>
      </c>
      <c r="K329" s="13" t="inlineStr">
        <is>
          <t>not found</t>
        </is>
      </c>
      <c r="L329" s="13" t="inlineStr">
        <is>
          <t>curl 200, 1.29MB, Next.js + GraphQL detected; only match on homepage was a '0,00 Lei' basket-total placeholder, no product prices confirmed yet</t>
        </is>
      </c>
      <c r="M329" s="13" t="inlineStr">
        <is>
          <t>ACCEPT</t>
        </is>
      </c>
      <c r="N329" s="13" t="inlineStr">
        <is>
          <t>C - engineering required</t>
        </is>
      </c>
      <c r="O329" s="13" t="n">
        <v>3</v>
      </c>
      <c r="P329" s="13" t="inlineStr">
        <is>
          <t>Custom</t>
        </is>
      </c>
      <c r="Q329" s="13" t="inlineStr"/>
      <c r="R329" s="13" t="inlineStr">
        <is>
          <t>-</t>
        </is>
      </c>
      <c r="S329" s="13" t="inlineStr">
        <is>
          <t>current, connect_loyalty_price, unit_price_kg_l, discount_pct</t>
        </is>
      </c>
      <c r="T329" s="13" t="inlineStr">
        <is>
          <t>Loyalty (CONNECT) price alongside standard price - effective prices paid.</t>
        </is>
      </c>
      <c r="U329" s="13" t="inlineStr">
        <is>
          <t>Tag the loyalty flag or the index is biased downward.</t>
        </is>
      </c>
      <c r="V329" s="13" t="inlineStr">
        <is>
          <t>P8-EU</t>
        </is>
      </c>
    </row>
    <row r="330">
      <c r="A330" s="13" t="inlineStr">
        <is>
          <t>eca</t>
        </is>
      </c>
      <c r="B330" s="13" t="inlineStr">
        <is>
          <t>romania</t>
        </is>
      </c>
      <c r="C330" s="13" t="inlineStr">
        <is>
          <t>ROU</t>
        </is>
      </c>
      <c r="D330" s="13" t="inlineStr">
        <is>
          <t>Romania</t>
        </is>
      </c>
      <c r="E330" s="13" t="inlineStr">
        <is>
          <t>MegaMarket.ro</t>
        </is>
      </c>
      <c r="F330" s="13" t="inlineStr">
        <is>
          <t>https://www.megamarket.ro/</t>
        </is>
      </c>
      <c r="G330" s="13" t="inlineStr">
        <is>
          <t>PROBED - VIABLE</t>
        </is>
      </c>
      <c r="H330" s="13" t="inlineStr">
        <is>
          <t>TIER_1A</t>
        </is>
      </c>
      <c r="I330" s="13" t="inlineStr">
        <is>
          <t>low</t>
        </is>
      </c>
      <c r="J330" s="13" t="n">
        <v>130</v>
      </c>
      <c r="K330" s="13" t="inlineStr">
        <is>
          <t>SSR HTML</t>
        </is>
      </c>
      <c r="L330" s="13" t="inlineStr">
        <is>
          <t>curl 200, 148KB, real prices in raw HTML: '8,09 lei', '0,81 lei', '13,49 lei', '33,94 lei', '3,57 lei'</t>
        </is>
      </c>
      <c r="M330" s="13" t="inlineStr">
        <is>
          <t>ACCEPT</t>
        </is>
      </c>
      <c r="N330" s="13" t="inlineStr">
        <is>
          <t>not scored</t>
        </is>
      </c>
      <c r="O330" s="13" t="inlineStr"/>
      <c r="P330" s="13" t="inlineStr">
        <is>
          <t>Custom</t>
        </is>
      </c>
      <c r="Q330" s="13" t="inlineStr">
        <is>
          <t>RON</t>
        </is>
      </c>
      <c r="R330" s="13" t="inlineStr">
        <is>
          <t>-</t>
        </is>
      </c>
      <c r="S330" s="13" t="inlineStr">
        <is>
          <t>-</t>
        </is>
      </c>
      <c r="T330" s="13" t="inlineStr">
        <is>
          <t>Very granular taxonomy with per-category item counts (conserve 278, paste 53, masline 56).</t>
        </is>
      </c>
      <c r="U330" s="13" t="inlineStr">
        <is>
          <t>-</t>
        </is>
      </c>
      <c r="V330" s="13" t="inlineStr">
        <is>
          <t>P5</t>
        </is>
      </c>
    </row>
    <row r="331">
      <c r="A331" s="13" t="inlineStr">
        <is>
          <t>eca</t>
        </is>
      </c>
      <c r="B331" s="13" t="inlineStr">
        <is>
          <t>romania</t>
        </is>
      </c>
      <c r="C331" s="13" t="inlineStr">
        <is>
          <t>ROU</t>
        </is>
      </c>
      <c r="D331" s="13" t="inlineStr">
        <is>
          <t>Romania</t>
        </is>
      </c>
      <c r="E331" s="13" t="inlineStr">
        <is>
          <t>MegaMarket.ro</t>
        </is>
      </c>
      <c r="F331" s="13" t="inlineStr">
        <is>
          <t>https://www.megamarket.ro/</t>
        </is>
      </c>
      <c r="G331" s="13" t="inlineStr">
        <is>
          <t>PROBED - VIABLE</t>
        </is>
      </c>
      <c r="H331" s="13" t="inlineStr">
        <is>
          <t>TIER_1A</t>
        </is>
      </c>
      <c r="I331" s="13" t="inlineStr">
        <is>
          <t>low</t>
        </is>
      </c>
      <c r="J331" s="13" t="n">
        <v>130</v>
      </c>
      <c r="K331" s="13" t="inlineStr">
        <is>
          <t>SSR HTML</t>
        </is>
      </c>
      <c r="L331" s="13" t="inlineStr">
        <is>
          <t>curl 200, 148KB, real prices in raw HTML: '8,09 lei', '0,81 lei', '13,49 lei', '33,94 lei', '3,57 lei'</t>
        </is>
      </c>
      <c r="M331" s="13" t="inlineStr">
        <is>
          <t>ACCEPT</t>
        </is>
      </c>
      <c r="N331" s="13" t="inlineStr">
        <is>
          <t>C - engineering required</t>
        </is>
      </c>
      <c r="O331" s="13" t="n">
        <v>3</v>
      </c>
      <c r="P331" s="13" t="inlineStr">
        <is>
          <t>Custom</t>
        </is>
      </c>
      <c r="Q331" s="13" t="inlineStr">
        <is>
          <t>RON</t>
        </is>
      </c>
      <c r="R331" s="13" t="inlineStr">
        <is>
          <t>Use the stated counts as a crawl-completeness check.</t>
        </is>
      </c>
      <c r="S331" s="13" t="inlineStr">
        <is>
          <t>current</t>
        </is>
      </c>
      <c r="T331" s="13" t="inlineStr">
        <is>
          <t>Publishes per-category item counts (conserve 278, paste 53, masline 56) which lets you verify crawl completeness against a stated denominator - rare and useful.</t>
        </is>
      </c>
      <c r="U331" s="13" t="inlineStr">
        <is>
          <t>-</t>
        </is>
      </c>
      <c r="V331" s="13" t="inlineStr">
        <is>
          <t>P6</t>
        </is>
      </c>
    </row>
    <row r="332">
      <c r="A332" s="13" t="inlineStr">
        <is>
          <t>eca</t>
        </is>
      </c>
      <c r="B332" s="13" t="inlineStr">
        <is>
          <t>romania</t>
        </is>
      </c>
      <c r="C332" s="13" t="inlineStr">
        <is>
          <t>ROU</t>
        </is>
      </c>
      <c r="D332" s="13" t="inlineStr">
        <is>
          <t>Romania</t>
        </is>
      </c>
      <c r="E332" s="13" t="inlineStr">
        <is>
          <t>Monitorul Preturilor (Competition Council)</t>
        </is>
      </c>
      <c r="F332" s="13" t="inlineStr">
        <is>
          <t>https://monitorulpreturilor.info/</t>
        </is>
      </c>
      <c r="G332" s="13" t="inlineStr">
        <is>
          <t>PROBED - VIABLE</t>
        </is>
      </c>
      <c r="H332" s="13" t="inlineStr">
        <is>
          <t>TIER_2</t>
        </is>
      </c>
      <c r="I332" s="13" t="inlineStr">
        <is>
          <t>medium</t>
        </is>
      </c>
      <c r="J332" s="13" t="n">
        <v>41</v>
      </c>
      <c r="K332" s="13" t="inlineStr">
        <is>
          <t>unresolved - needs interactive location-selection flow</t>
        </is>
      </c>
      <c r="L332" s="13" t="inlineStr">
        <is>
          <t>curl 200, 11.8KB Kendo-UI shell (no inline data). Playwright 7s network capture triggered zero XHR to a data endpoint -&gt; page likely gates behind a location/county selector (site references '/Settings/Location') before the grid loads.</t>
        </is>
      </c>
      <c r="M332" s="13" t="inlineStr">
        <is>
          <t>ACCEPT</t>
        </is>
      </c>
      <c r="N332" s="13" t="inlineStr">
        <is>
          <t>A - low-hanging fruit</t>
        </is>
      </c>
      <c r="O332" s="13" t="n">
        <v>5</v>
      </c>
      <c r="P332" s="13" t="inlineStr">
        <is>
          <t>Custom</t>
        </is>
      </c>
      <c r="Q332" s="13" t="inlineStr"/>
      <c r="R332" s="13" t="inlineStr">
        <is>
          <t>monitorulpreturilor.info/Home/Monitor - food and fuel sections; capture the capped-margin flag.</t>
        </is>
      </c>
      <c r="S332" s="13" t="inlineStr">
        <is>
          <t>current, capped_margin_flag, fuel_price</t>
        </is>
      </c>
      <c r="T332" s="13" t="inlineStr">
        <is>
          <t>OFFICIAL platform of the Romanian Competition Council, running since 2016 and now national. Participating chains report directly: Mega Image, Lidl, Kaufland, Selgros, Carrefour, Penny, Profi. Two verticals - food products AND automotive fuels. CRITICALLY it has a dedicated section for the 41 products under the government's CAPPED COMMERCIAL MARGIN scheme (bread, milk, telemea, yoghurt, flour, eggs, oil, chicken, pork, tomatoes, onions, sugar, potatoes and more). That makes Romania a natural experiment in price regulation with an official data feed.</t>
        </is>
      </c>
      <c r="U332" s="13" t="inlineStr">
        <is>
          <t>Site states shop-floor prices may differ from published prices and that published prices are informative only. Treat as reported prices, not verified shelf prices - the opposite of Hungary where divergence is an enforceable offence.</t>
        </is>
      </c>
      <c r="V332" s="13" t="inlineStr">
        <is>
          <t>P8-EU</t>
        </is>
      </c>
    </row>
    <row r="333">
      <c r="A333" s="13" t="inlineStr">
        <is>
          <t>eca</t>
        </is>
      </c>
      <c r="B333" s="13" t="inlineStr">
        <is>
          <t>romania</t>
        </is>
      </c>
      <c r="C333" s="13" t="inlineStr">
        <is>
          <t>ROU</t>
        </is>
      </c>
      <c r="D333" s="13" t="inlineStr">
        <is>
          <t>Romania</t>
        </is>
      </c>
      <c r="E333" s="13" t="inlineStr">
        <is>
          <t>Selgros</t>
        </is>
      </c>
      <c r="F333" s="13" t="inlineStr">
        <is>
          <t>https://www.selgros.ro/</t>
        </is>
      </c>
      <c r="G333" s="13" t="inlineStr">
        <is>
          <t>PROBED - VIABLE</t>
        </is>
      </c>
      <c r="H333" s="13" t="inlineStr">
        <is>
          <t>TIER_1A</t>
        </is>
      </c>
      <c r="I333" s="13" t="inlineStr">
        <is>
          <t>low</t>
        </is>
      </c>
      <c r="J333" s="13" t="n">
        <v>90</v>
      </c>
      <c r="K333" s="13" t="inlineStr">
        <is>
          <t>SSR HTML</t>
        </is>
      </c>
      <c r="L333" s="13" t="inlineStr">
        <is>
          <t>curl 200, 314KB, real prices in raw HTML: '0,50 lei', '26,98 lei', '69,99 lei'</t>
        </is>
      </c>
      <c r="M333" s="13" t="inlineStr">
        <is>
          <t>ACCEPT</t>
        </is>
      </c>
      <c r="N333" s="13" t="inlineStr">
        <is>
          <t>C - engineering required</t>
        </is>
      </c>
      <c r="O333" s="13" t="n">
        <v>3</v>
      </c>
      <c r="P333" s="13" t="inlineStr">
        <is>
          <t>Custom</t>
        </is>
      </c>
      <c r="Q333" s="13" t="inlineStr"/>
      <c r="R333" s="13" t="inlineStr">
        <is>
          <t>-</t>
        </is>
      </c>
      <c r="S333" s="13" t="inlineStr">
        <is>
          <t>wholesale_price</t>
        </is>
      </c>
      <c r="T333" s="13" t="inlineStr">
        <is>
          <t>Cash-and-carry; reports to Monitorul Preturilor. Wholesale-retail spread within one official dataset.</t>
        </is>
      </c>
      <c r="U333" s="13" t="inlineStr">
        <is>
          <t>Requires a customer card in store; check web access.</t>
        </is>
      </c>
      <c r="V333" s="13" t="inlineStr">
        <is>
          <t>P8-EU</t>
        </is>
      </c>
    </row>
    <row r="334">
      <c r="A334" s="13" t="inlineStr">
        <is>
          <t>eca</t>
        </is>
      </c>
      <c r="B334" s="13" t="inlineStr">
        <is>
          <t>romania</t>
        </is>
      </c>
      <c r="C334" s="13" t="inlineStr">
        <is>
          <t>ROU</t>
        </is>
      </c>
      <c r="D334" s="13" t="inlineStr">
        <is>
          <t>Romania</t>
        </is>
      </c>
      <c r="E334" s="13" t="inlineStr">
        <is>
          <t>VivoMarket.ro</t>
        </is>
      </c>
      <c r="F334" s="13" t="inlineStr">
        <is>
          <t>https://www.vivomarket.ro/</t>
        </is>
      </c>
      <c r="G334" s="13" t="inlineStr">
        <is>
          <t>PROBED - VIABLE</t>
        </is>
      </c>
      <c r="H334" s="13" t="inlineStr">
        <is>
          <t>TIER_1A</t>
        </is>
      </c>
      <c r="I334" s="13" t="inlineStr">
        <is>
          <t>low</t>
        </is>
      </c>
      <c r="J334" s="13" t="n">
        <v>120</v>
      </c>
      <c r="K334" s="13" t="inlineStr">
        <is>
          <t>SSR HTML</t>
        </is>
      </c>
      <c r="L334" s="13" t="inlineStr">
        <is>
          <t>curl 200, 1.9MB, real prices in raw HTML: '51,82 Lei', '28,90 Lei', '21,60 Lei', '26,21 Lei', '13,18 Lei'</t>
        </is>
      </c>
      <c r="M334" s="13" t="inlineStr">
        <is>
          <t>ACCEPT</t>
        </is>
      </c>
      <c r="N334" s="13" t="inlineStr">
        <is>
          <t>not scored</t>
        </is>
      </c>
      <c r="O334" s="13" t="inlineStr"/>
      <c r="P334" s="13" t="inlineStr">
        <is>
          <t>Custom</t>
        </is>
      </c>
      <c r="Q334" s="13" t="inlineStr">
        <is>
          <t>RON</t>
        </is>
      </c>
      <c r="R334" s="13" t="inlineStr">
        <is>
          <t>-</t>
        </is>
      </c>
      <c r="S334" s="13" t="inlineStr">
        <is>
          <t>-</t>
        </is>
      </c>
      <c r="T334" s="13" t="inlineStr">
        <is>
          <t>Deep category tree covering retail AND HoReCa professional lines - allows a retail versus wholesale price comparison within one source.</t>
        </is>
      </c>
      <c r="U334" s="13" t="inlineStr">
        <is>
          <t>-</t>
        </is>
      </c>
      <c r="V334" s="13" t="inlineStr">
        <is>
          <t>P5</t>
        </is>
      </c>
    </row>
    <row r="335">
      <c r="A335" s="13" t="inlineStr">
        <is>
          <t>eca</t>
        </is>
      </c>
      <c r="B335" s="13" t="inlineStr">
        <is>
          <t>romania</t>
        </is>
      </c>
      <c r="C335" s="13" t="inlineStr">
        <is>
          <t>ROU</t>
        </is>
      </c>
      <c r="D335" s="13" t="inlineStr">
        <is>
          <t>Romania</t>
        </is>
      </c>
      <c r="E335" s="13" t="inlineStr">
        <is>
          <t>VivoMarket.ro</t>
        </is>
      </c>
      <c r="F335" s="13" t="inlineStr">
        <is>
          <t>https://www.vivomarket.ro/</t>
        </is>
      </c>
      <c r="G335" s="13" t="inlineStr">
        <is>
          <t>PROBED - VIABLE</t>
        </is>
      </c>
      <c r="H335" s="13" t="inlineStr">
        <is>
          <t>TIER_1A</t>
        </is>
      </c>
      <c r="I335" s="13" t="inlineStr">
        <is>
          <t>low</t>
        </is>
      </c>
      <c r="J335" s="13" t="n">
        <v>120</v>
      </c>
      <c r="K335" s="13" t="inlineStr">
        <is>
          <t>SSR HTML</t>
        </is>
      </c>
      <c r="L335" s="13" t="inlineStr">
        <is>
          <t>curl 200, 1.9MB, real prices in raw HTML: '51,82 Lei', '28,90 Lei', '21,60 Lei', '26,21 Lei', '13,18 Lei'</t>
        </is>
      </c>
      <c r="M335" s="13" t="inlineStr">
        <is>
          <t>ACCEPT</t>
        </is>
      </c>
      <c r="N335" s="13" t="inlineStr">
        <is>
          <t>C - engineering required</t>
        </is>
      </c>
      <c r="O335" s="13" t="n">
        <v>3</v>
      </c>
      <c r="P335" s="13" t="inlineStr">
        <is>
          <t>Custom</t>
        </is>
      </c>
      <c r="Q335" s="13" t="inlineStr">
        <is>
          <t>RON</t>
        </is>
      </c>
      <c r="R335" s="13" t="inlineStr">
        <is>
          <t>-</t>
        </is>
      </c>
      <c r="S335" s="13" t="inlineStr">
        <is>
          <t>retail, horeca</t>
        </is>
      </c>
      <c r="T335" s="13" t="inlineStr">
        <is>
          <t>Carries BOTH retail and HoReCa professional lines, so a retail-versus-wholesale spread can be measured within a single source and a single product taxonomy.</t>
        </is>
      </c>
      <c r="U335" s="13" t="inlineStr">
        <is>
          <t>Do not pool the two channels into one series.</t>
        </is>
      </c>
      <c r="V335" s="13" t="inlineStr">
        <is>
          <t>P6</t>
        </is>
      </c>
    </row>
    <row r="336">
      <c r="A336" s="13" t="inlineStr">
        <is>
          <t>eca</t>
        </is>
      </c>
      <c r="B336" s="13" t="inlineStr">
        <is>
          <t>serbia</t>
        </is>
      </c>
      <c r="C336" s="13" t="inlineStr">
        <is>
          <t>SRB</t>
        </is>
      </c>
      <c r="D336" s="13" t="inlineStr">
        <is>
          <t>Serbia</t>
        </is>
      </c>
      <c r="E336" s="13" t="inlineStr">
        <is>
          <t>Pametno.rs</t>
        </is>
      </c>
      <c r="F336" s="13" t="inlineStr">
        <is>
          <t>https://pametno.rs/</t>
        </is>
      </c>
      <c r="G336" s="13" t="inlineStr">
        <is>
          <t>PROBED - SKIP</t>
        </is>
      </c>
      <c r="H336" s="13" t="inlineStr">
        <is>
          <t>SKIP</t>
        </is>
      </c>
      <c r="I336" s="13" t="inlineStr">
        <is>
          <t>high</t>
        </is>
      </c>
      <c r="J336" s="13" t="n">
        <v>0</v>
      </c>
      <c r="K336" s="13" t="inlineStr">
        <is>
          <t>blocked</t>
        </is>
      </c>
      <c r="L336" s="13" t="inlineStr">
        <is>
          <t>curl 403 title 'Just a moment...' Cloudflare interactive challenge</t>
        </is>
      </c>
      <c r="M336" s="13" t="inlineStr">
        <is>
          <t>ACCEPT</t>
        </is>
      </c>
      <c r="N336" s="13" t="inlineStr">
        <is>
          <t>C - engineering required</t>
        </is>
      </c>
      <c r="O336" s="13" t="n">
        <v>3</v>
      </c>
      <c r="P336" s="13" t="inlineStr">
        <is>
          <t>Custom</t>
        </is>
      </c>
      <c r="Q336" s="13" t="inlineStr">
        <is>
          <t>RSD</t>
        </is>
      </c>
      <c r="R336" s="13" t="inlineStr">
        <is>
          <t>Confirm it mirrors the Cijene.hr structure, then reuse that parser.</t>
        </is>
      </c>
      <c r="S336" s="13" t="inlineStr">
        <is>
          <t>price_from, retailer_array</t>
        </is>
      </c>
      <c r="T336" s="13" t="inlineStr">
        <is>
          <t>Serbian sister of Croatia's Cijene.hr - a cross-retailer comparison site. Same operator also runs Pametno.si for Slovenia. One aggregator family covers three economies.</t>
        </is>
      </c>
      <c r="U336" s="13" t="inlineStr">
        <is>
          <t>-</t>
        </is>
      </c>
      <c r="V336" s="13" t="inlineStr">
        <is>
          <t>P6</t>
        </is>
      </c>
    </row>
    <row r="337">
      <c r="A337" s="13" t="inlineStr">
        <is>
          <t>eca</t>
        </is>
      </c>
      <c r="B337" s="13" t="inlineStr">
        <is>
          <t>serbia</t>
        </is>
      </c>
      <c r="C337" s="13" t="inlineStr">
        <is>
          <t>SRB</t>
        </is>
      </c>
      <c r="D337" s="13" t="inlineStr">
        <is>
          <t>Serbia</t>
        </is>
      </c>
      <c r="E337" s="13" t="inlineStr">
        <is>
          <t>Pametno.rs</t>
        </is>
      </c>
      <c r="F337" s="13" t="inlineStr">
        <is>
          <t>https://pametno.rs/</t>
        </is>
      </c>
      <c r="G337" s="13" t="inlineStr">
        <is>
          <t>PROBED - SKIP</t>
        </is>
      </c>
      <c r="H337" s="13" t="inlineStr">
        <is>
          <t>SKIP</t>
        </is>
      </c>
      <c r="I337" s="13" t="inlineStr">
        <is>
          <t>high</t>
        </is>
      </c>
      <c r="J337" s="13" t="n">
        <v>0</v>
      </c>
      <c r="K337" s="13" t="inlineStr">
        <is>
          <t>blocked</t>
        </is>
      </c>
      <c r="L337" s="13" t="inlineStr">
        <is>
          <t>curl 403 title 'Just a moment...' Cloudflare interactive challenge</t>
        </is>
      </c>
      <c r="M337" s="13" t="inlineStr">
        <is>
          <t>ACCEPT</t>
        </is>
      </c>
      <c r="N337" s="13" t="inlineStr">
        <is>
          <t>C - engineering required</t>
        </is>
      </c>
      <c r="O337" s="13" t="n">
        <v>3</v>
      </c>
      <c r="P337" s="13" t="inlineStr">
        <is>
          <t>Custom</t>
        </is>
      </c>
      <c r="Q337" s="13" t="inlineStr"/>
      <c r="R337" s="13" t="inlineStr">
        <is>
          <t>-</t>
        </is>
      </c>
      <c r="S337" s="13" t="inlineStr">
        <is>
          <t>price_from</t>
        </is>
      </c>
      <c r="T337" s="13" t="inlineStr">
        <is>
          <t>Serbian sister of Croatia's Cijene.hr - same operator family.</t>
        </is>
      </c>
      <c r="U337" s="13" t="inlineStr">
        <is>
          <t>-</t>
        </is>
      </c>
      <c r="V337" s="13" t="inlineStr">
        <is>
          <t>P8-EU</t>
        </is>
      </c>
    </row>
    <row r="338">
      <c r="A338" s="13" t="inlineStr">
        <is>
          <t>eca</t>
        </is>
      </c>
      <c r="B338" s="13" t="inlineStr">
        <is>
          <t>serbia</t>
        </is>
      </c>
      <c r="C338" s="13" t="inlineStr">
        <is>
          <t>SRB</t>
        </is>
      </c>
      <c r="D338" s="13" t="inlineStr">
        <is>
          <t>Serbia</t>
        </is>
      </c>
      <c r="E338" s="13" t="inlineStr">
        <is>
          <t>DIS</t>
        </is>
      </c>
      <c r="F338" s="13" t="inlineStr">
        <is>
          <t>https://www.dis.rs/</t>
        </is>
      </c>
      <c r="G338" s="13" t="inlineStr">
        <is>
          <t>PROBED - VIABLE</t>
        </is>
      </c>
      <c r="H338" s="13" t="inlineStr">
        <is>
          <t>TIER_1A</t>
        </is>
      </c>
      <c r="I338" s="13" t="inlineStr">
        <is>
          <t>low</t>
        </is>
      </c>
      <c r="J338" s="13" t="n">
        <v>140</v>
      </c>
      <c r="K338" s="13" t="inlineStr">
        <is>
          <t>SSR HTML</t>
        </is>
      </c>
      <c r="L338" s="13" t="inlineStr">
        <is>
          <t>curl 200, Next.js SSR (data-nimg image markers). Confirmed real product + price pair in raw HTML: 'Kruska sveza kg' (fresh pear/kg) was-price 109.99, current price 99.99. Nav also shows real product names: 'Dis bela kobasica kg' (sausage), 'Dobro dimljeni sir kg' (smoked cheese), 'Juneci but bk kg' (beef leg), 'Krompir crveni mladi kg' (potato), 'Kukuruz secerac kom' (corn), 'Paprika babura kg' (bell pepper)</t>
        </is>
      </c>
      <c r="M338" s="13" t="inlineStr">
        <is>
          <t>ACCEPT</t>
        </is>
      </c>
      <c r="N338" s="13" t="inlineStr">
        <is>
          <t>C - engineering required</t>
        </is>
      </c>
      <c r="O338" s="13" t="n">
        <v>3</v>
      </c>
      <c r="P338" s="13" t="inlineStr">
        <is>
          <t>Custom</t>
        </is>
      </c>
      <c r="Q338" s="13" t="inlineStr">
        <is>
          <t>RSD</t>
        </is>
      </c>
      <c r="R338" s="13" t="inlineStr">
        <is>
          <t>-</t>
        </is>
      </c>
      <c r="S338" s="13" t="inlineStr">
        <is>
          <t>was_price, current, promo_window</t>
        </is>
      </c>
      <c r="T338" s="13" t="inlineStr">
        <is>
          <t>Publishes a dated weekly promotion window ('31.07 - 06.08.2026') with strike-through originals across fresh meat, produce, dairy and bakery. Also runs a B2B portal, so a retail-versus-professional comparison may be possible.</t>
        </is>
      </c>
      <c r="U338" s="13" t="inlineStr">
        <is>
          <t>-</t>
        </is>
      </c>
      <c r="V338" s="13" t="inlineStr">
        <is>
          <t>P6</t>
        </is>
      </c>
    </row>
    <row r="339">
      <c r="A339" s="13" t="inlineStr">
        <is>
          <t>eca</t>
        </is>
      </c>
      <c r="B339" s="13" t="inlineStr">
        <is>
          <t>serbia</t>
        </is>
      </c>
      <c r="C339" s="13" t="inlineStr">
        <is>
          <t>SRB</t>
        </is>
      </c>
      <c r="D339" s="13" t="inlineStr">
        <is>
          <t>Serbia</t>
        </is>
      </c>
      <c r="E339" s="13" t="inlineStr">
        <is>
          <t>IDEA online</t>
        </is>
      </c>
      <c r="F339" s="13" t="inlineStr">
        <is>
          <t>https://online.idea.rs/</t>
        </is>
      </c>
      <c r="G339" s="13" t="inlineStr">
        <is>
          <t>PROBED - VIABLE</t>
        </is>
      </c>
      <c r="H339" s="13" t="inlineStr">
        <is>
          <t>TIER_2</t>
        </is>
      </c>
      <c r="I339" s="13" t="inlineStr">
        <is>
          <t>medium</t>
        </is>
      </c>
      <c r="J339" s="13" t="n">
        <v>0</v>
      </c>
      <c r="K339" s="13" t="inlineStr">
        <is>
          <t>SPA, needs render</t>
        </is>
      </c>
      <c r="L339" s="13" t="inlineStr">
        <is>
          <t>curl 200, only 5.5KB (AngularJS app shell, ng-app='im.webshop.ideaRsWsm') - needs Playwright render</t>
        </is>
      </c>
      <c r="M339" s="13" t="inlineStr">
        <is>
          <t>ACCEPT</t>
        </is>
      </c>
      <c r="N339" s="13" t="inlineStr">
        <is>
          <t>not scored</t>
        </is>
      </c>
      <c r="O339" s="13" t="inlineStr"/>
      <c r="P339" s="13" t="inlineStr">
        <is>
          <t>Custom</t>
        </is>
      </c>
      <c r="Q339" s="13" t="inlineStr">
        <is>
          <t>RSD</t>
        </is>
      </c>
      <c r="R339" s="13" t="inlineStr">
        <is>
          <t>-</t>
        </is>
      </c>
      <c r="S339" s="13" t="inlineStr">
        <is>
          <t>-</t>
        </is>
      </c>
      <c r="T339" s="13" t="inlineStr">
        <is>
          <t>STRONG: din prices with list/discount pairs, discount percentages AND promotion end dates ('Akcija do 25.08.2026'). Full supermarket taxonomy. Minimum basket 3,500 din.</t>
        </is>
      </c>
      <c r="U339" s="13" t="inlineStr">
        <is>
          <t>-</t>
        </is>
      </c>
      <c r="V339" s="13" t="inlineStr">
        <is>
          <t>P5</t>
        </is>
      </c>
    </row>
    <row r="340">
      <c r="A340" s="13" t="inlineStr">
        <is>
          <t>eca</t>
        </is>
      </c>
      <c r="B340" s="13" t="inlineStr">
        <is>
          <t>serbia</t>
        </is>
      </c>
      <c r="C340" s="13" t="inlineStr">
        <is>
          <t>SRB</t>
        </is>
      </c>
      <c r="D340" s="13" t="inlineStr">
        <is>
          <t>Serbia</t>
        </is>
      </c>
      <c r="E340" s="13" t="inlineStr">
        <is>
          <t>IDEA online</t>
        </is>
      </c>
      <c r="F340" s="13" t="inlineStr">
        <is>
          <t>https://online.idea.rs/</t>
        </is>
      </c>
      <c r="G340" s="13" t="inlineStr">
        <is>
          <t>PROBED - VIABLE</t>
        </is>
      </c>
      <c r="H340" s="13" t="inlineStr">
        <is>
          <t>TIER_2</t>
        </is>
      </c>
      <c r="I340" s="13" t="inlineStr">
        <is>
          <t>medium</t>
        </is>
      </c>
      <c r="J340" s="13" t="n">
        <v>0</v>
      </c>
      <c r="K340" s="13" t="inlineStr">
        <is>
          <t>SPA, needs render</t>
        </is>
      </c>
      <c r="L340" s="13" t="inlineStr">
        <is>
          <t>curl 200, only 5.5KB (AngularJS app shell, ng-app='im.webshop.ideaRsWsm') - needs Playwright render</t>
        </is>
      </c>
      <c r="M340" s="13" t="inlineStr">
        <is>
          <t>ACCEPT</t>
        </is>
      </c>
      <c r="N340" s="13" t="inlineStr">
        <is>
          <t>C - engineering required</t>
        </is>
      </c>
      <c r="O340" s="13" t="n">
        <v>3</v>
      </c>
      <c r="P340" s="13" t="inlineStr">
        <is>
          <t>Custom</t>
        </is>
      </c>
      <c r="Q340" s="13" t="inlineStr">
        <is>
          <t>RSD</t>
        </is>
      </c>
      <c r="R340" s="13" t="inlineStr">
        <is>
          <t>-</t>
        </is>
      </c>
      <c r="S340" s="13" t="inlineStr">
        <is>
          <t>current, was_price, discount_pct, promo_end_date</t>
        </is>
      </c>
      <c r="T340" s="13" t="inlineStr">
        <is>
          <t>Four price fields including an explicit promotion end date ('Akcija do 25.08.2026'), which allows promotion DURATION to be measured rather than merely observed.</t>
        </is>
      </c>
      <c r="U340" s="13" t="inlineStr">
        <is>
          <t>Minimum basket 3,500 din may gate deeper pages.</t>
        </is>
      </c>
      <c r="V340" s="13" t="inlineStr">
        <is>
          <t>P6</t>
        </is>
      </c>
    </row>
    <row r="341">
      <c r="A341" s="13" t="inlineStr">
        <is>
          <t>eca</t>
        </is>
      </c>
      <c r="B341" s="13" t="inlineStr">
        <is>
          <t>serbia</t>
        </is>
      </c>
      <c r="C341" s="13" t="inlineStr">
        <is>
          <t>SRB</t>
        </is>
      </c>
      <c r="D341" s="13" t="inlineStr">
        <is>
          <t>Serbia</t>
        </is>
      </c>
      <c r="E341" s="13" t="inlineStr">
        <is>
          <t>Lidl Serbia</t>
        </is>
      </c>
      <c r="F341" s="13" t="inlineStr">
        <is>
          <t>https://www.lidl.rs/</t>
        </is>
      </c>
      <c r="G341" s="13" t="inlineStr">
        <is>
          <t>PROBED - VIABLE</t>
        </is>
      </c>
      <c r="H341" s="13" t="inlineStr">
        <is>
          <t>TIER_2</t>
        </is>
      </c>
      <c r="I341" s="13" t="inlineStr">
        <is>
          <t>medium</t>
        </is>
      </c>
      <c r="J341" s="13" t="n">
        <v>0</v>
      </c>
      <c r="K341" s="13" t="inlineStr">
        <is>
          <t>not found</t>
        </is>
      </c>
      <c r="L341" s="13" t="inlineStr">
        <is>
          <t>curl 200, 368KB, Nuxt detected, only non-food category names matched in nav grep (auto, garden, DIY) - no F&amp;B categories visible without render</t>
        </is>
      </c>
      <c r="M341" s="13" t="inlineStr">
        <is>
          <t>SUSPECT</t>
        </is>
      </c>
      <c r="N341" s="13" t="inlineStr">
        <is>
          <t>D - hard / app / index only</t>
        </is>
      </c>
      <c r="O341" s="13" t="n">
        <v>2</v>
      </c>
      <c r="P341" s="13" t="inlineStr">
        <is>
          <t>Custom/Enterprise</t>
        </is>
      </c>
      <c r="Q341" s="13" t="inlineStr">
        <is>
          <t>RSD</t>
        </is>
      </c>
      <c r="R341" s="13" t="inlineStr">
        <is>
          <t>-</t>
        </is>
      </c>
      <c r="S341" s="13" t="inlineStr">
        <is>
          <t>promo</t>
        </is>
      </c>
      <c r="T341" s="13" t="inlineStr">
        <is>
          <t>Dated weekly offer blocks with explicit start dates.</t>
        </is>
      </c>
      <c r="U341" s="13" t="inlineStr">
        <is>
          <t>Leaflet-led.</t>
        </is>
      </c>
      <c r="V341" s="13" t="inlineStr">
        <is>
          <t>P6</t>
        </is>
      </c>
    </row>
    <row r="342">
      <c r="A342" s="13" t="inlineStr">
        <is>
          <t>eca</t>
        </is>
      </c>
      <c r="B342" s="13" t="inlineStr">
        <is>
          <t>serbia</t>
        </is>
      </c>
      <c r="C342" s="13" t="inlineStr">
        <is>
          <t>SRB</t>
        </is>
      </c>
      <c r="D342" s="13" t="inlineStr">
        <is>
          <t>Serbia</t>
        </is>
      </c>
      <c r="E342" s="13" t="inlineStr">
        <is>
          <t>Maxi</t>
        </is>
      </c>
      <c r="F342" s="13" t="inlineStr">
        <is>
          <t>https://www.maxi.rs/</t>
        </is>
      </c>
      <c r="G342" s="13" t="inlineStr">
        <is>
          <t>PROBED - VIABLE</t>
        </is>
      </c>
      <c r="H342" s="13" t="inlineStr">
        <is>
          <t>TIER_2</t>
        </is>
      </c>
      <c r="I342" s="13" t="inlineStr">
        <is>
          <t>medium</t>
        </is>
      </c>
      <c r="J342" s="13" t="n">
        <v>20</v>
      </c>
      <c r="K342" s="13" t="inlineStr">
        <is>
          <t>category tree confirmed, product/price endpoint not isolated</t>
        </is>
      </c>
      <c r="L342" s="13" t="inlineStr">
        <is>
          <t>curl 200, 1.14MB, Next.js + GraphQL detected. Real top-level category tile confirmed in raw HTML: data-testid='category-tile' aria-label='Mlecni proizvodi i jaja' (Dairy products and eggs) linking to /Mlechni-proizvodi-i-jaja/c/02 - category structure confirmed but per-product prices not yet isolated</t>
        </is>
      </c>
      <c r="M342" s="13" t="inlineStr">
        <is>
          <t>ACCEPT</t>
        </is>
      </c>
      <c r="N342" s="13" t="inlineStr">
        <is>
          <t>D - hard / app / index only</t>
        </is>
      </c>
      <c r="O342" s="13" t="n">
        <v>2</v>
      </c>
      <c r="P342" s="13" t="inlineStr">
        <is>
          <t>Custom/Enterprise</t>
        </is>
      </c>
      <c r="Q342" s="13" t="inlineStr">
        <is>
          <t>RSD</t>
        </is>
      </c>
      <c r="R342" s="13" t="inlineStr">
        <is>
          <t>-</t>
        </is>
      </c>
      <c r="S342" s="13" t="inlineStr">
        <is>
          <t>current</t>
        </is>
      </c>
      <c r="T342" s="13" t="inlineStr">
        <is>
          <t>Delhaize-group national leader; also on Wolt and Glovo across 14 cities.</t>
        </is>
      </c>
      <c r="U342" s="13" t="inlineStr">
        <is>
          <t>Maxi's own FAQ states online promotions MAY DIFFER from in-store. Record the channel.</t>
        </is>
      </c>
      <c r="V342" s="13" t="inlineStr">
        <is>
          <t>P6</t>
        </is>
      </c>
    </row>
    <row r="343">
      <c r="A343" s="13" t="inlineStr">
        <is>
          <t>eca</t>
        </is>
      </c>
      <c r="B343" s="13" t="inlineStr">
        <is>
          <t>serbia</t>
        </is>
      </c>
      <c r="C343" s="13" t="inlineStr">
        <is>
          <t>SRB</t>
        </is>
      </c>
      <c r="D343" s="13" t="inlineStr">
        <is>
          <t>Serbia</t>
        </is>
      </c>
      <c r="E343" s="13" t="inlineStr">
        <is>
          <t>Maxi online</t>
        </is>
      </c>
      <c r="F343" s="13" t="inlineStr">
        <is>
          <t>https://www.maxi.rs/</t>
        </is>
      </c>
      <c r="G343" s="13" t="inlineStr">
        <is>
          <t>PROBED - VIABLE</t>
        </is>
      </c>
      <c r="H343" s="13" t="inlineStr">
        <is>
          <t>TIER_2</t>
        </is>
      </c>
      <c r="I343" s="13" t="inlineStr">
        <is>
          <t>medium</t>
        </is>
      </c>
      <c r="J343" s="13" t="n">
        <v>20</v>
      </c>
      <c r="K343" s="13" t="inlineStr">
        <is>
          <t>category tree confirmed, product/price endpoint not isolated</t>
        </is>
      </c>
      <c r="L343" s="13" t="inlineStr">
        <is>
          <t>curl 200, 1.14MB, Next.js + GraphQL detected. Real top-level category tile confirmed in raw HTML: data-testid='category-tile' aria-label='Mlecni proizvodi i jaja' (Dairy products and eggs) linking to /Mlechni-proizvodi-i-jaja/c/02 - category structure confirmed but per-product prices not yet isolated</t>
        </is>
      </c>
      <c r="M343" s="13" t="inlineStr">
        <is>
          <t>ACCEPT</t>
        </is>
      </c>
      <c r="N343" s="13" t="inlineStr">
        <is>
          <t>not scored</t>
        </is>
      </c>
      <c r="O343" s="13" t="inlineStr"/>
      <c r="P343" s="13" t="inlineStr">
        <is>
          <t>Custom</t>
        </is>
      </c>
      <c r="Q343" s="13" t="inlineStr">
        <is>
          <t>RSD</t>
        </is>
      </c>
      <c r="R343" s="13" t="inlineStr">
        <is>
          <t>-</t>
        </is>
      </c>
      <c r="S343" s="13" t="inlineStr">
        <is>
          <t>-</t>
        </is>
      </c>
      <c r="T343" s="13" t="inlineStr">
        <is>
          <t>Major national chain (Delhaize group). Own web shop plus Wolt and Glovo in 14 cities. FAQ confirms online promotions may differ from in-store - record which basis you capture.</t>
        </is>
      </c>
      <c r="U343" s="13" t="inlineStr">
        <is>
          <t>-</t>
        </is>
      </c>
      <c r="V343" s="13" t="inlineStr">
        <is>
          <t>P5</t>
        </is>
      </c>
    </row>
    <row r="344">
      <c r="A344" s="13" t="inlineStr">
        <is>
          <t>eca</t>
        </is>
      </c>
      <c r="B344" s="13" t="inlineStr">
        <is>
          <t>serbia</t>
        </is>
      </c>
      <c r="C344" s="13" t="inlineStr">
        <is>
          <t>SRB</t>
        </is>
      </c>
      <c r="D344" s="13" t="inlineStr">
        <is>
          <t>Serbia</t>
        </is>
      </c>
      <c r="E344" s="13" t="inlineStr">
        <is>
          <t>Mercator Serbia</t>
        </is>
      </c>
      <c r="F344" s="13" t="inlineStr">
        <is>
          <t>https://www.mercator.rs/</t>
        </is>
      </c>
      <c r="G344" s="13" t="inlineStr">
        <is>
          <t>PROBED - VIABLE</t>
        </is>
      </c>
      <c r="H344" s="13" t="inlineStr">
        <is>
          <t>TIER_2</t>
        </is>
      </c>
      <c r="I344" s="13" t="inlineStr">
        <is>
          <t>medium</t>
        </is>
      </c>
      <c r="J344" s="13" t="n">
        <v>0</v>
      </c>
      <c r="K344" s="13" t="inlineStr">
        <is>
          <t>not found</t>
        </is>
      </c>
      <c r="L344" s="13" t="inlineStr">
        <is>
          <t>curl 200, 44.4KB (small - likely corporate landing, not the shop)</t>
        </is>
      </c>
      <c r="M344" s="13" t="inlineStr">
        <is>
          <t>SUSPECT</t>
        </is>
      </c>
      <c r="N344" s="13" t="inlineStr">
        <is>
          <t>not scored</t>
        </is>
      </c>
      <c r="O344" s="13" t="inlineStr"/>
      <c r="P344" s="13" t="inlineStr">
        <is>
          <t>Custom</t>
        </is>
      </c>
      <c r="Q344" s="13" t="inlineStr">
        <is>
          <t>RSD</t>
        </is>
      </c>
      <c r="R344" s="13" t="inlineStr">
        <is>
          <t>-</t>
        </is>
      </c>
      <c r="S344" s="13" t="inlineStr">
        <is>
          <t>-</t>
        </is>
      </c>
      <c r="T344" s="13" t="inlineStr">
        <is>
          <t>Third IDEA-group banner; confirm whether it has an independent catalogue.</t>
        </is>
      </c>
      <c r="U344" s="13" t="inlineStr">
        <is>
          <t>-</t>
        </is>
      </c>
      <c r="V344" s="13" t="inlineStr">
        <is>
          <t>P5</t>
        </is>
      </c>
    </row>
    <row r="345">
      <c r="A345" s="13" t="inlineStr">
        <is>
          <t>eca</t>
        </is>
      </c>
      <c r="B345" s="13" t="inlineStr">
        <is>
          <t>serbia</t>
        </is>
      </c>
      <c r="C345" s="13" t="inlineStr">
        <is>
          <t>SRB</t>
        </is>
      </c>
      <c r="D345" s="13" t="inlineStr">
        <is>
          <t>Serbia</t>
        </is>
      </c>
      <c r="E345" s="13" t="inlineStr">
        <is>
          <t>Mercator Serbia</t>
        </is>
      </c>
      <c r="F345" s="13" t="inlineStr">
        <is>
          <t>https://www.mercator.rs/</t>
        </is>
      </c>
      <c r="G345" s="13" t="inlineStr">
        <is>
          <t>PROBED - VIABLE</t>
        </is>
      </c>
      <c r="H345" s="13" t="inlineStr">
        <is>
          <t>TIER_2</t>
        </is>
      </c>
      <c r="I345" s="13" t="inlineStr">
        <is>
          <t>medium</t>
        </is>
      </c>
      <c r="J345" s="13" t="n">
        <v>0</v>
      </c>
      <c r="K345" s="13" t="inlineStr">
        <is>
          <t>not found</t>
        </is>
      </c>
      <c r="L345" s="13" t="inlineStr">
        <is>
          <t>curl 200, 44.4KB (small - likely corporate landing, not the shop)</t>
        </is>
      </c>
      <c r="M345" s="13" t="inlineStr">
        <is>
          <t>SUSPECT</t>
        </is>
      </c>
      <c r="N345" s="13" t="inlineStr">
        <is>
          <t>C - engineering required</t>
        </is>
      </c>
      <c r="O345" s="13" t="n">
        <v>3</v>
      </c>
      <c r="P345" s="13" t="inlineStr">
        <is>
          <t>Custom</t>
        </is>
      </c>
      <c r="Q345" s="13" t="inlineStr">
        <is>
          <t>RSD</t>
        </is>
      </c>
      <c r="R345" s="13" t="inlineStr">
        <is>
          <t>-</t>
        </is>
      </c>
      <c r="S345" s="13" t="inlineStr">
        <is>
          <t>current</t>
        </is>
      </c>
      <c r="T345" s="13" t="inlineStr">
        <is>
          <t>Third IDEA-group banner.</t>
        </is>
      </c>
      <c r="U345" s="13" t="inlineStr">
        <is>
          <t>May redirect to IDEA; confirm independence.</t>
        </is>
      </c>
      <c r="V345" s="13" t="inlineStr">
        <is>
          <t>P6</t>
        </is>
      </c>
    </row>
    <row r="346">
      <c r="A346" s="13" t="inlineStr">
        <is>
          <t>eca</t>
        </is>
      </c>
      <c r="B346" s="13" t="inlineStr">
        <is>
          <t>serbia</t>
        </is>
      </c>
      <c r="C346" s="13" t="inlineStr">
        <is>
          <t>SRB</t>
        </is>
      </c>
      <c r="D346" s="13" t="inlineStr">
        <is>
          <t>Serbia</t>
        </is>
      </c>
      <c r="E346" s="13" t="inlineStr">
        <is>
          <t>Roda</t>
        </is>
      </c>
      <c r="F346" s="13" t="inlineStr">
        <is>
          <t>https://roda.rs/</t>
        </is>
      </c>
      <c r="G346" s="13" t="inlineStr">
        <is>
          <t>PROBED - VIABLE</t>
        </is>
      </c>
      <c r="H346" s="13" t="inlineStr">
        <is>
          <t>TIER_2</t>
        </is>
      </c>
      <c r="I346" s="13" t="inlineStr">
        <is>
          <t>medium</t>
        </is>
      </c>
      <c r="J346" s="13" t="n">
        <v>0</v>
      </c>
      <c r="K346" s="13" t="inlineStr">
        <is>
          <t>not found</t>
        </is>
      </c>
      <c r="L346" s="13" t="inlineStr">
        <is>
          <t>curl 200, 237KB, __NEXT_DATA__ + wp-content mixed signals; regex matches on homepage were installment-plan copy ('Minimalni iznos rate: 1.000 RSD'), not product prices</t>
        </is>
      </c>
      <c r="M346" s="13" t="inlineStr">
        <is>
          <t>ACCEPT</t>
        </is>
      </c>
      <c r="N346" s="13" t="inlineStr">
        <is>
          <t>not scored</t>
        </is>
      </c>
      <c r="O346" s="13" t="inlineStr"/>
      <c r="P346" s="13" t="inlineStr">
        <is>
          <t>Custom</t>
        </is>
      </c>
      <c r="Q346" s="13" t="inlineStr">
        <is>
          <t>RSD</t>
        </is>
      </c>
      <c r="R346" s="13" t="inlineStr">
        <is>
          <t>-</t>
        </is>
      </c>
      <c r="S346" s="13" t="inlineStr">
        <is>
          <t>-</t>
        </is>
      </c>
      <c r="T346" s="13" t="inlineStr">
        <is>
          <t>IDEA group chain with weekly catalogues carrying explicit validity windows.</t>
        </is>
      </c>
      <c r="U346" s="13" t="inlineStr">
        <is>
          <t>-</t>
        </is>
      </c>
      <c r="V346" s="13" t="inlineStr">
        <is>
          <t>P5</t>
        </is>
      </c>
    </row>
    <row r="347">
      <c r="A347" s="13" t="inlineStr">
        <is>
          <t>eca</t>
        </is>
      </c>
      <c r="B347" s="13" t="inlineStr">
        <is>
          <t>serbia</t>
        </is>
      </c>
      <c r="C347" s="13" t="inlineStr">
        <is>
          <t>SRB</t>
        </is>
      </c>
      <c r="D347" s="13" t="inlineStr">
        <is>
          <t>Serbia</t>
        </is>
      </c>
      <c r="E347" s="13" t="inlineStr">
        <is>
          <t>Roda</t>
        </is>
      </c>
      <c r="F347" s="13" t="inlineStr">
        <is>
          <t>https://roda.rs/</t>
        </is>
      </c>
      <c r="G347" s="13" t="inlineStr">
        <is>
          <t>PROBED - VIABLE</t>
        </is>
      </c>
      <c r="H347" s="13" t="inlineStr">
        <is>
          <t>TIER_2</t>
        </is>
      </c>
      <c r="I347" s="13" t="inlineStr">
        <is>
          <t>medium</t>
        </is>
      </c>
      <c r="J347" s="13" t="n">
        <v>0</v>
      </c>
      <c r="K347" s="13" t="inlineStr">
        <is>
          <t>not found</t>
        </is>
      </c>
      <c r="L347" s="13" t="inlineStr">
        <is>
          <t>curl 200, 237KB, __NEXT_DATA__ + wp-content mixed signals; regex matches on homepage were installment-plan copy ('Minimalni iznos rate: 1.000 RSD'), not product prices</t>
        </is>
      </c>
      <c r="M347" s="13" t="inlineStr">
        <is>
          <t>ACCEPT</t>
        </is>
      </c>
      <c r="N347" s="13" t="inlineStr">
        <is>
          <t>C - engineering required</t>
        </is>
      </c>
      <c r="O347" s="13" t="n">
        <v>3</v>
      </c>
      <c r="P347" s="13" t="inlineStr">
        <is>
          <t>Custom</t>
        </is>
      </c>
      <c r="Q347" s="13" t="inlineStr">
        <is>
          <t>RSD</t>
        </is>
      </c>
      <c r="R347" s="13" t="inlineStr">
        <is>
          <t>-</t>
        </is>
      </c>
      <c r="S347" s="13" t="inlineStr">
        <is>
          <t>current, promo</t>
        </is>
      </c>
      <c r="T347" s="13" t="inlineStr">
        <is>
          <t>IDEA-group banner with dated weekly catalogues.</t>
        </is>
      </c>
      <c r="U347" s="13" t="inlineStr">
        <is>
          <t>-</t>
        </is>
      </c>
      <c r="V347" s="13" t="inlineStr">
        <is>
          <t>P6</t>
        </is>
      </c>
    </row>
    <row r="348">
      <c r="A348" s="13" t="inlineStr">
        <is>
          <t>eca</t>
        </is>
      </c>
      <c r="B348" s="13" t="inlineStr">
        <is>
          <t>serbia</t>
        </is>
      </c>
      <c r="C348" s="13" t="inlineStr">
        <is>
          <t>SRB</t>
        </is>
      </c>
      <c r="D348" s="13" t="inlineStr">
        <is>
          <t>Serbia</t>
        </is>
      </c>
      <c r="E348" s="13" t="inlineStr">
        <is>
          <t>Wolt Serbia</t>
        </is>
      </c>
      <c r="F348" s="13" t="inlineStr">
        <is>
          <t>https://wolt.com/en/srb/belgrade/category/grocery</t>
        </is>
      </c>
      <c r="G348" s="13" t="inlineStr">
        <is>
          <t>PROBED - VIABLE</t>
        </is>
      </c>
      <c r="H348" s="13" t="inlineStr">
        <is>
          <t>TIER_2</t>
        </is>
      </c>
      <c r="I348" s="13" t="inlineStr">
        <is>
          <t>medium</t>
        </is>
      </c>
      <c r="J348" s="13" t="n">
        <v>0</v>
      </c>
      <c r="K348" s="13" t="inlineStr">
        <is>
          <t>SPA - needs Playwright render</t>
        </is>
      </c>
      <c r="L348" s="13" t="inlineStr">
        <is>
          <t>curl 200, 1.79MB SPA shell; prices render as 'KZT0' placeholder pre-hydration - needs Playwright</t>
        </is>
      </c>
      <c r="M348" s="13" t="inlineStr">
        <is>
          <t>ACCEPT</t>
        </is>
      </c>
      <c r="N348" s="13" t="inlineStr">
        <is>
          <t>C - engineering required</t>
        </is>
      </c>
      <c r="O348" s="13" t="n">
        <v>3</v>
      </c>
      <c r="P348" s="13" t="inlineStr">
        <is>
          <t>Custom</t>
        </is>
      </c>
      <c r="Q348" s="13" t="inlineStr">
        <is>
          <t>RSD</t>
        </is>
      </c>
      <c r="R348" s="13" t="inlineStr">
        <is>
          <t>Walk the city pages to enumerate partners, then crawl each.</t>
        </is>
      </c>
      <c r="S348" s="13" t="inlineStr">
        <is>
          <t>current</t>
        </is>
      </c>
      <c r="T348" s="13" t="inlineStr">
        <is>
          <t>Enumerates partner supermarkets across 14 Serbian cities - Belgrade, Novi Sad, Nis, Subotica, Pancevo, Kragujevac, Smederevo, Novi Pazar, Krusevac, Kraljevo, Zrenjanin, Cacak, Zlatibor, Leskovac. Strong spatial spread for a single adapter.</t>
        </is>
      </c>
      <c r="U348" s="13" t="inlineStr">
        <is>
          <t>-</t>
        </is>
      </c>
      <c r="V348" s="13" t="inlineStr">
        <is>
          <t>P6</t>
        </is>
      </c>
    </row>
    <row r="349">
      <c r="A349" s="13" t="inlineStr">
        <is>
          <t>eca</t>
        </is>
      </c>
      <c r="B349" s="13" t="inlineStr">
        <is>
          <t>serbia</t>
        </is>
      </c>
      <c r="C349" s="13" t="inlineStr">
        <is>
          <t>SRB</t>
        </is>
      </c>
      <c r="D349" s="13" t="inlineStr">
        <is>
          <t>Serbia</t>
        </is>
      </c>
      <c r="E349" s="13" t="inlineStr">
        <is>
          <t>Wolt Serbia city pages</t>
        </is>
      </c>
      <c r="F349" s="13" t="inlineStr">
        <is>
          <t>https://wolt.com/en/srb/belgrade/category/grocery</t>
        </is>
      </c>
      <c r="G349" s="13" t="inlineStr">
        <is>
          <t>PROBED - VIABLE</t>
        </is>
      </c>
      <c r="H349" s="13" t="inlineStr">
        <is>
          <t>TIER_2</t>
        </is>
      </c>
      <c r="I349" s="13" t="inlineStr">
        <is>
          <t>medium</t>
        </is>
      </c>
      <c r="J349" s="13" t="n">
        <v>0</v>
      </c>
      <c r="K349" s="13" t="inlineStr">
        <is>
          <t>SPA - needs Playwright render</t>
        </is>
      </c>
      <c r="L349" s="13" t="inlineStr">
        <is>
          <t>curl 200, 1.79MB SPA shell; prices render as 'KZT0' placeholder pre-hydration - needs Playwright</t>
        </is>
      </c>
      <c r="M349" s="13" t="inlineStr">
        <is>
          <t>ACCEPT</t>
        </is>
      </c>
      <c r="N349" s="13" t="inlineStr">
        <is>
          <t>not scored</t>
        </is>
      </c>
      <c r="O349" s="13" t="inlineStr"/>
      <c r="P349" s="13" t="inlineStr">
        <is>
          <t>Custom</t>
        </is>
      </c>
      <c r="Q349" s="13" t="inlineStr">
        <is>
          <t>RSD</t>
        </is>
      </c>
      <c r="R349" s="13" t="inlineStr">
        <is>
          <t>-</t>
        </is>
      </c>
      <c r="S349" s="13" t="inlineStr">
        <is>
          <t>-</t>
        </is>
      </c>
      <c r="T349" s="13" t="inlineStr">
        <is>
          <t>Enumerates Maxi and other partners across Belgrade, Novi Sad, Nis, Subotica, Pancevo, Kragujevac, Smederevo, Novi Pazar, Krusevac, Kraljevo, Zrenjanin, Cacak, Zlatibor, Leskovac. 14 cities gives strong within-country geographic spread.</t>
        </is>
      </c>
      <c r="U349" s="13" t="inlineStr">
        <is>
          <t>-</t>
        </is>
      </c>
      <c r="V349" s="13" t="inlineStr">
        <is>
          <t>P5</t>
        </is>
      </c>
    </row>
    <row r="350">
      <c r="A350" s="13" t="inlineStr">
        <is>
          <t>eca</t>
        </is>
      </c>
      <c r="B350" s="13" t="inlineStr">
        <is>
          <t>serbia</t>
        </is>
      </c>
      <c r="C350" s="13" t="inlineStr">
        <is>
          <t>SRB</t>
        </is>
      </c>
      <c r="D350" s="13" t="inlineStr">
        <is>
          <t>Serbia</t>
        </is>
      </c>
      <c r="E350" s="13" t="inlineStr">
        <is>
          <t>eLakolije (Univerexport)</t>
        </is>
      </c>
      <c r="F350" s="13" t="inlineStr">
        <is>
          <t>https://elakolije.rs/</t>
        </is>
      </c>
      <c r="G350" s="13" t="inlineStr">
        <is>
          <t>PROBED - VIABLE</t>
        </is>
      </c>
      <c r="H350" s="13" t="inlineStr">
        <is>
          <t>TIER_2</t>
        </is>
      </c>
      <c r="I350" s="13" t="inlineStr">
        <is>
          <t>medium</t>
        </is>
      </c>
      <c r="J350" s="13" t="n">
        <v>0</v>
      </c>
      <c r="K350" s="13" t="inlineStr">
        <is>
          <t>not found</t>
        </is>
      </c>
      <c r="L350" s="13" t="inlineStr">
        <is>
          <t>curl 200, 151KB, no price pattern or category names matched</t>
        </is>
      </c>
      <c r="M350" s="13" t="inlineStr">
        <is>
          <t>ACCEPT</t>
        </is>
      </c>
      <c r="N350" s="13" t="inlineStr">
        <is>
          <t>C - engineering required</t>
        </is>
      </c>
      <c r="O350" s="13" t="n">
        <v>3</v>
      </c>
      <c r="P350" s="13" t="inlineStr">
        <is>
          <t>Custom</t>
        </is>
      </c>
      <c r="Q350" s="13" t="inlineStr">
        <is>
          <t>RSD</t>
        </is>
      </c>
      <c r="R350" s="13" t="inlineStr">
        <is>
          <t>-</t>
        </is>
      </c>
      <c r="S350" s="13" t="inlineStr">
        <is>
          <t>current</t>
        </is>
      </c>
      <c r="T350" s="13" t="inlineStr">
        <is>
          <t>STRONG. Largest DOMESTIC Serbian chain: 190+ stores, 16,000+ articles, and Serbia's first online grocery service (2012). Owns its own meat industry and organic farm, so it carries vertically integrated own-brand lines priced independently of the multinationals.</t>
        </is>
      </c>
      <c r="U350" s="13" t="inlineStr">
        <is>
          <t>Minimum order 3,000 RSD.</t>
        </is>
      </c>
      <c r="V350" s="13" t="inlineStr">
        <is>
          <t>P6</t>
        </is>
      </c>
    </row>
    <row r="351">
      <c r="A351" s="13" t="inlineStr">
        <is>
          <t>eca</t>
        </is>
      </c>
      <c r="B351" s="13" t="inlineStr">
        <is>
          <t>slovak_republic</t>
        </is>
      </c>
      <c r="C351" s="13" t="inlineStr">
        <is>
          <t>SVK</t>
        </is>
      </c>
      <c r="D351" s="13" t="inlineStr">
        <is>
          <t>Slovakia</t>
        </is>
      </c>
      <c r="E351" s="13" t="inlineStr">
        <is>
          <t>Kaufland SK</t>
        </is>
      </c>
      <c r="F351" s="13" t="inlineStr">
        <is>
          <t>https://www.kaufland.sk/</t>
        </is>
      </c>
      <c r="G351" s="13" t="inlineStr">
        <is>
          <t>PROBED - SKIP</t>
        </is>
      </c>
      <c r="H351" s="13" t="inlineStr">
        <is>
          <t>SKIP</t>
        </is>
      </c>
      <c r="I351" s="13" t="inlineStr">
        <is>
          <t>high</t>
        </is>
      </c>
      <c r="J351" s="13" t="n">
        <v>0</v>
      </c>
      <c r="K351" s="13" t="inlineStr"/>
      <c r="L351" s="13" t="inlineStr">
        <is>
          <t>GET -&gt; 403, 16KB branded page 'Kaufland.sk - Prístup bol zablokovaný' (Access Blocked).</t>
        </is>
      </c>
      <c r="M351" s="13" t="inlineStr">
        <is>
          <t>SUSPECT</t>
        </is>
      </c>
      <c r="N351" s="13" t="inlineStr">
        <is>
          <t>D - hard / app / index only</t>
        </is>
      </c>
      <c r="O351" s="13" t="n">
        <v>2</v>
      </c>
      <c r="P351" s="13" t="inlineStr">
        <is>
          <t>Custom/Enterprise</t>
        </is>
      </c>
      <c r="Q351" s="13" t="inlineStr"/>
      <c r="R351" s="13" t="inlineStr">
        <is>
          <t>-</t>
        </is>
      </c>
      <c r="S351" s="13" t="inlineStr">
        <is>
          <t>current</t>
        </is>
      </c>
      <c r="T351" s="13" t="inlineStr">
        <is>
          <t>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351" s="13" t="inlineStr">
        <is>
          <t>-</t>
        </is>
      </c>
      <c r="V351" s="13" t="inlineStr">
        <is>
          <t>P8-EU</t>
        </is>
      </c>
    </row>
    <row r="352">
      <c r="A352" s="13" t="inlineStr">
        <is>
          <t>eca</t>
        </is>
      </c>
      <c r="B352" s="13" t="inlineStr">
        <is>
          <t>slovak_republic</t>
        </is>
      </c>
      <c r="C352" s="13" t="inlineStr">
        <is>
          <t>SVK</t>
        </is>
      </c>
      <c r="D352" s="13" t="inlineStr">
        <is>
          <t>Slovakia</t>
        </is>
      </c>
      <c r="E352" s="13" t="inlineStr">
        <is>
          <t>Rohlik.sk</t>
        </is>
      </c>
      <c r="F352" s="13" t="inlineStr">
        <is>
          <t>https://www.rohlik.sk/</t>
        </is>
      </c>
      <c r="G352" s="13" t="inlineStr">
        <is>
          <t>PROBED - SKIP</t>
        </is>
      </c>
      <c r="H352" s="13" t="inlineStr">
        <is>
          <t>SKIP</t>
        </is>
      </c>
      <c r="I352" s="13" t="inlineStr">
        <is>
          <t>high</t>
        </is>
      </c>
      <c r="J352" s="13" t="n">
        <v>0</v>
      </c>
      <c r="K352" s="13" t="inlineStr"/>
      <c r="L352" s="13" t="inlineStr">
        <is>
          <t>GET /services/frontend-service/products?... -&gt; 404 (wrong path). GET / -&gt; HTTP 200 header but body fetch timed out at 20s with only 343 bytes downloaded -- consistent with the same Cloudflare interactive-challenge stack confirmed on rohlik.cz.</t>
        </is>
      </c>
      <c r="M352" s="13" t="inlineStr">
        <is>
          <t>ACCEPT</t>
        </is>
      </c>
      <c r="N352" s="13" t="inlineStr">
        <is>
          <t>B - moderate effort</t>
        </is>
      </c>
      <c r="O352" s="13" t="n">
        <v>4</v>
      </c>
      <c r="P352" s="13" t="inlineStr">
        <is>
          <t>Custom (Rohlik stack)</t>
        </is>
      </c>
      <c r="Q352" s="13" t="inlineStr"/>
      <c r="R352" s="13" t="inlineStr">
        <is>
          <t>/services/frontend-service/products</t>
        </is>
      </c>
      <c r="S352" s="13" t="inlineStr">
        <is>
          <t>current, was_price, unit_price</t>
        </is>
      </c>
      <c r="T352" s="13" t="inlineStr">
        <is>
          <t>Rohlik-family Slovakia.</t>
        </is>
      </c>
      <c r="U352" s="13" t="inlineStr">
        <is>
          <t>-</t>
        </is>
      </c>
      <c r="V352" s="13" t="inlineStr">
        <is>
          <t>P8-EU</t>
        </is>
      </c>
    </row>
    <row r="353">
      <c r="A353" s="13" t="inlineStr">
        <is>
          <t>eca</t>
        </is>
      </c>
      <c r="B353" s="13" t="inlineStr">
        <is>
          <t>slovak_republic</t>
        </is>
      </c>
      <c r="C353" s="13" t="inlineStr">
        <is>
          <t>SVK</t>
        </is>
      </c>
      <c r="D353" s="13" t="inlineStr">
        <is>
          <t>Slovakia</t>
        </is>
      </c>
      <c r="E353" s="13" t="inlineStr">
        <is>
          <t>Tesco SK</t>
        </is>
      </c>
      <c r="F353" s="13" t="inlineStr">
        <is>
          <t>https://potravinydomov.itesco.sk/</t>
        </is>
      </c>
      <c r="G353" s="13" t="inlineStr">
        <is>
          <t>PROBED - SKIP</t>
        </is>
      </c>
      <c r="H353" s="13" t="inlineStr">
        <is>
          <t>SKIP</t>
        </is>
      </c>
      <c r="I353" s="13" t="inlineStr">
        <is>
          <t>high</t>
        </is>
      </c>
      <c r="J353" s="13" t="n">
        <v>0</v>
      </c>
      <c r="K353" s="13" t="inlineStr"/>
      <c r="L353" s="13" t="inlineStr">
        <is>
          <t>GET -&gt; 403, 205-byte 'Access Denied ... permission to access /shop/en-SK/landing/groceries' body, same Akamai signature as Tesco CZ.</t>
        </is>
      </c>
      <c r="M353" s="13" t="inlineStr">
        <is>
          <t>SUSPECT</t>
        </is>
      </c>
      <c r="N353" s="13" t="inlineStr">
        <is>
          <t>D - hard / app / index only</t>
        </is>
      </c>
      <c r="O353" s="13" t="n">
        <v>2</v>
      </c>
      <c r="P353" s="13" t="inlineStr">
        <is>
          <t>Custom/Enterprise</t>
        </is>
      </c>
      <c r="Q353" s="13" t="inlineStr"/>
      <c r="R353" s="13" t="inlineStr">
        <is>
          <t>-</t>
        </is>
      </c>
      <c r="S353" s="13" t="inlineStr">
        <is>
          <t>current</t>
        </is>
      </c>
      <c r="T353" s="13" t="inlineStr">
        <is>
          <t>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353" s="13" t="inlineStr">
        <is>
          <t>-</t>
        </is>
      </c>
      <c r="V353" s="13" t="inlineStr">
        <is>
          <t>P8-EU</t>
        </is>
      </c>
    </row>
    <row r="354">
      <c r="A354" s="13" t="inlineStr">
        <is>
          <t>eca</t>
        </is>
      </c>
      <c r="B354" s="13" t="inlineStr">
        <is>
          <t>slovak_republic</t>
        </is>
      </c>
      <c r="C354" s="13" t="inlineStr">
        <is>
          <t>SVK</t>
        </is>
      </c>
      <c r="D354" s="13" t="inlineStr">
        <is>
          <t>Slovakia</t>
        </is>
      </c>
      <c r="E354" s="13" t="inlineStr">
        <is>
          <t>Billa SK</t>
        </is>
      </c>
      <c r="F354" s="13" t="inlineStr">
        <is>
          <t>https://www.billa.sk/</t>
        </is>
      </c>
      <c r="G354" s="13" t="inlineStr">
        <is>
          <t>PROBED - VIABLE</t>
        </is>
      </c>
      <c r="H354" s="13" t="inlineStr">
        <is>
          <t>TIER_1A</t>
        </is>
      </c>
      <c r="I354" s="13" t="inlineStr">
        <is>
          <t>low</t>
        </is>
      </c>
      <c r="J354" s="13" t="n">
        <v>140</v>
      </c>
      <c r="K354" s="13" t="inlineStr">
        <is>
          <t>SSR homepage/category HTML</t>
        </is>
      </c>
      <c r="L354" s="13" t="inlineStr">
        <is>
          <t>GET -&gt; 200, 593KB SSR (Nuxt/React hybrid). Direct prices '0,01€' / '15,99€' in HTML.</t>
        </is>
      </c>
      <c r="M354" s="13" t="inlineStr">
        <is>
          <t>SUSPECT</t>
        </is>
      </c>
      <c r="N354" s="13" t="inlineStr">
        <is>
          <t>D - hard / app / index only</t>
        </is>
      </c>
      <c r="O354" s="13" t="n">
        <v>2</v>
      </c>
      <c r="P354" s="13" t="inlineStr">
        <is>
          <t>Custom/Enterprise</t>
        </is>
      </c>
      <c r="Q354" s="13" t="inlineStr"/>
      <c r="R354" s="13" t="inlineStr">
        <is>
          <t>-</t>
        </is>
      </c>
      <c r="S354" s="13" t="inlineStr">
        <is>
          <t>current</t>
        </is>
      </c>
      <c r="T354" s="13" t="inlineStr">
        <is>
          <t>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354" s="13" t="inlineStr">
        <is>
          <t>-</t>
        </is>
      </c>
      <c r="V354" s="13" t="inlineStr">
        <is>
          <t>P8-EU</t>
        </is>
      </c>
    </row>
    <row r="355">
      <c r="A355" s="13" t="inlineStr">
        <is>
          <t>eca</t>
        </is>
      </c>
      <c r="B355" s="13" t="inlineStr">
        <is>
          <t>slovenia</t>
        </is>
      </c>
      <c r="C355" s="13" t="inlineStr">
        <is>
          <t>SVN</t>
        </is>
      </c>
      <c r="D355" s="13" t="inlineStr">
        <is>
          <t>Slovenia</t>
        </is>
      </c>
      <c r="E355" s="13" t="inlineStr">
        <is>
          <t>Hofer</t>
        </is>
      </c>
      <c r="F355" s="13" t="inlineStr">
        <is>
          <t>https://www.hofer.si/</t>
        </is>
      </c>
      <c r="G355" s="13" t="inlineStr">
        <is>
          <t>PROBED - SKIP</t>
        </is>
      </c>
      <c r="H355" s="13" t="inlineStr">
        <is>
          <t>SKIP</t>
        </is>
      </c>
      <c r="I355" s="13" t="inlineStr">
        <is>
          <t>high</t>
        </is>
      </c>
      <c r="J355" s="13" t="n">
        <v>0</v>
      </c>
      <c r="K355" s="13" t="inlineStr">
        <is>
          <t>blocked</t>
        </is>
      </c>
      <c r="L355" s="13" t="inlineStr">
        <is>
          <t>curl 403, 366-byte 'Access Denied' body (same signature as hofer.at)</t>
        </is>
      </c>
      <c r="M355" s="13" t="inlineStr">
        <is>
          <t>SUSPECT</t>
        </is>
      </c>
      <c r="N355" s="13" t="inlineStr">
        <is>
          <t>D - hard / app / index only</t>
        </is>
      </c>
      <c r="O355" s="13" t="n">
        <v>2</v>
      </c>
      <c r="P355" s="13" t="inlineStr">
        <is>
          <t>Custom/Enterprise</t>
        </is>
      </c>
      <c r="Q355" s="13" t="inlineStr"/>
      <c r="R355" s="13" t="inlineStr">
        <is>
          <t>-</t>
        </is>
      </c>
      <c r="S355" s="13" t="inlineStr">
        <is>
          <t>promo</t>
        </is>
      </c>
      <c r="T355" s="13" t="inlineStr">
        <is>
          <t>Aldi Sued in Slovenia.</t>
        </is>
      </c>
      <c r="U355" s="13" t="inlineStr">
        <is>
          <t>-</t>
        </is>
      </c>
      <c r="V355" s="13" t="inlineStr">
        <is>
          <t>P8-EU</t>
        </is>
      </c>
    </row>
    <row r="356">
      <c r="A356" s="13" t="inlineStr">
        <is>
          <t>eca</t>
        </is>
      </c>
      <c r="B356" s="13" t="inlineStr">
        <is>
          <t>slovenia</t>
        </is>
      </c>
      <c r="C356" s="13" t="inlineStr">
        <is>
          <t>SVN</t>
        </is>
      </c>
      <c r="D356" s="13" t="inlineStr">
        <is>
          <t>Slovenia</t>
        </is>
      </c>
      <c r="E356" s="13" t="inlineStr">
        <is>
          <t>Pametno.si</t>
        </is>
      </c>
      <c r="F356" s="13" t="inlineStr">
        <is>
          <t>https://pametno.si/</t>
        </is>
      </c>
      <c r="G356" s="13" t="inlineStr">
        <is>
          <t>PROBED - SKIP</t>
        </is>
      </c>
      <c r="H356" s="13" t="inlineStr">
        <is>
          <t>SKIP</t>
        </is>
      </c>
      <c r="I356" s="13" t="inlineStr">
        <is>
          <t>high</t>
        </is>
      </c>
      <c r="J356" s="13" t="n">
        <v>0</v>
      </c>
      <c r="K356" s="13" t="inlineStr">
        <is>
          <t>blocked</t>
        </is>
      </c>
      <c r="L356" s="13" t="inlineStr">
        <is>
          <t>curl 403 title 'Just a moment...' Cloudflare interactive challenge</t>
        </is>
      </c>
      <c r="M356" s="13" t="inlineStr">
        <is>
          <t>ACCEPT</t>
        </is>
      </c>
      <c r="N356" s="13" t="inlineStr">
        <is>
          <t>C - engineering required</t>
        </is>
      </c>
      <c r="O356" s="13" t="n">
        <v>3</v>
      </c>
      <c r="P356" s="13" t="inlineStr">
        <is>
          <t>Custom</t>
        </is>
      </c>
      <c r="Q356" s="13" t="inlineStr"/>
      <c r="R356" s="13" t="inlineStr">
        <is>
          <t>-</t>
        </is>
      </c>
      <c r="S356" s="13" t="inlineStr">
        <is>
          <t>price_from</t>
        </is>
      </c>
      <c r="T356" s="13" t="inlineStr">
        <is>
          <t>Slovenian sister of Cijene.hr.</t>
        </is>
      </c>
      <c r="U356" s="13" t="inlineStr">
        <is>
          <t>-</t>
        </is>
      </c>
      <c r="V356" s="13" t="inlineStr">
        <is>
          <t>P8-EU</t>
        </is>
      </c>
    </row>
    <row r="357">
      <c r="A357" s="13" t="inlineStr">
        <is>
          <t>eca</t>
        </is>
      </c>
      <c r="B357" s="13" t="inlineStr">
        <is>
          <t>slovenia</t>
        </is>
      </c>
      <c r="C357" s="13" t="inlineStr">
        <is>
          <t>SVN</t>
        </is>
      </c>
      <c r="D357" s="13" t="inlineStr">
        <is>
          <t>Slovenia</t>
        </is>
      </c>
      <c r="E357" s="13" t="inlineStr">
        <is>
          <t>Lidl Slovenia</t>
        </is>
      </c>
      <c r="F357" s="13" t="inlineStr">
        <is>
          <t>https://www.lidl.si/</t>
        </is>
      </c>
      <c r="G357" s="13" t="inlineStr">
        <is>
          <t>PROBED - VIABLE</t>
        </is>
      </c>
      <c r="H357" s="13" t="inlineStr">
        <is>
          <t>TIER_1A</t>
        </is>
      </c>
      <c r="I357" s="13" t="inlineStr">
        <is>
          <t>low</t>
        </is>
      </c>
      <c r="J357" s="13" t="n">
        <v>60</v>
      </c>
      <c r="K357" s="13" t="inlineStr">
        <is>
          <t>SSR/Nuxt HTML</t>
        </is>
      </c>
      <c r="L357" s="13" t="inlineStr">
        <is>
          <t>curl 200, 331KB, Nuxt detected, real price found in raw HTML: '22,99 €'</t>
        </is>
      </c>
      <c r="M357" s="13" t="inlineStr">
        <is>
          <t>SUSPECT</t>
        </is>
      </c>
      <c r="N357" s="13" t="inlineStr">
        <is>
          <t>D - hard / app / index only</t>
        </is>
      </c>
      <c r="O357" s="13" t="n">
        <v>2</v>
      </c>
      <c r="P357" s="13" t="inlineStr">
        <is>
          <t>Custom/Enterprise</t>
        </is>
      </c>
      <c r="Q357" s="13" t="inlineStr"/>
      <c r="R357" s="13" t="inlineStr">
        <is>
          <t>-</t>
        </is>
      </c>
      <c r="S357" s="13" t="inlineStr">
        <is>
          <t>promo</t>
        </is>
      </c>
      <c r="T357" s="13" t="inlineStr">
        <is>
          <t>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357" s="13" t="inlineStr">
        <is>
          <t>-</t>
        </is>
      </c>
      <c r="V357" s="13" t="inlineStr">
        <is>
          <t>P8-EU</t>
        </is>
      </c>
    </row>
    <row r="358">
      <c r="A358" s="13" t="inlineStr">
        <is>
          <t>eca</t>
        </is>
      </c>
      <c r="B358" s="13" t="inlineStr">
        <is>
          <t>slovenia</t>
        </is>
      </c>
      <c r="C358" s="13" t="inlineStr">
        <is>
          <t>SVN</t>
        </is>
      </c>
      <c r="D358" s="13" t="inlineStr">
        <is>
          <t>Slovenia</t>
        </is>
      </c>
      <c r="E358" s="13" t="inlineStr">
        <is>
          <t>Mercator Online</t>
        </is>
      </c>
      <c r="F358" s="13" t="inlineStr">
        <is>
          <t>https://mercatoronline.si/</t>
        </is>
      </c>
      <c r="G358" s="13" t="inlineStr">
        <is>
          <t>PROBED - VIABLE</t>
        </is>
      </c>
      <c r="H358" s="13" t="inlineStr">
        <is>
          <t>TIER_1A</t>
        </is>
      </c>
      <c r="I358" s="13" t="inlineStr">
        <is>
          <t>low</t>
        </is>
      </c>
      <c r="J358" s="13" t="n">
        <v>150</v>
      </c>
      <c r="K358" s="13" t="inlineStr">
        <is>
          <t>SSR HTML</t>
        </is>
      </c>
      <c r="L358" s="13" t="inlineStr">
        <is>
          <t>curl 200, 767KB, real prices in raw HTML: '150,00 EUR', '60,00 EUR', '3,99€'</t>
        </is>
      </c>
      <c r="M358" s="13" t="inlineStr">
        <is>
          <t>ACCEPT</t>
        </is>
      </c>
      <c r="N358" s="13" t="inlineStr">
        <is>
          <t>C - engineering required</t>
        </is>
      </c>
      <c r="O358" s="13" t="n">
        <v>3</v>
      </c>
      <c r="P358" s="13" t="inlineStr">
        <is>
          <t>Custom</t>
        </is>
      </c>
      <c r="Q358" s="13" t="inlineStr"/>
      <c r="R358" s="13" t="inlineStr">
        <is>
          <t>-</t>
        </is>
      </c>
      <c r="S358" s="13" t="inlineStr">
        <is>
          <t>current, was_price, discount_pct, unit_price, pc30_price</t>
        </is>
      </c>
      <c r="T358" s="13" t="inlineStr">
        <is>
          <t>CONFIRMS OMNIBUS IN SLOVENIA: discounted lines carry a 'PC30:' field (e.g. 'PC30:1,99 EUR') which is the lowest price in the preceding 30 days. 18,000+ products, delivery to 99% of Slovenian addresses - unusually complete national coverage for a single retailer.</t>
        </is>
      </c>
      <c r="U358" s="13" t="inlineStr">
        <is>
          <t>The PC30 token is easy to miss in the DOM - target it explicitly.</t>
        </is>
      </c>
      <c r="V358" s="13" t="inlineStr">
        <is>
          <t>P8-EU</t>
        </is>
      </c>
    </row>
    <row r="359">
      <c r="A359" s="13" t="inlineStr">
        <is>
          <t>eca</t>
        </is>
      </c>
      <c r="B359" s="13" t="inlineStr">
        <is>
          <t>slovenia</t>
        </is>
      </c>
      <c r="C359" s="13" t="inlineStr">
        <is>
          <t>SVN</t>
        </is>
      </c>
      <c r="D359" s="13" t="inlineStr">
        <is>
          <t>Slovenia</t>
        </is>
      </c>
      <c r="E359" s="13" t="inlineStr">
        <is>
          <t>Spar Slovenia</t>
        </is>
      </c>
      <c r="F359" s="13" t="inlineStr">
        <is>
          <t>https://www.spar.si/online</t>
        </is>
      </c>
      <c r="G359" s="13" t="inlineStr">
        <is>
          <t>PROBED - VIABLE</t>
        </is>
      </c>
      <c r="H359" s="13" t="inlineStr">
        <is>
          <t>TIER_2</t>
        </is>
      </c>
      <c r="I359" s="13" t="inlineStr">
        <is>
          <t>medium</t>
        </is>
      </c>
      <c r="J359" s="13" t="n">
        <v>0</v>
      </c>
      <c r="K359" s="13" t="inlineStr">
        <is>
          <t>not found</t>
        </is>
      </c>
      <c r="L359" s="13" t="inlineStr">
        <is>
          <t>curl 200, 1.33MB homepage, no price pattern matched</t>
        </is>
      </c>
      <c r="M359" s="13" t="inlineStr">
        <is>
          <t>ACCEPT</t>
        </is>
      </c>
      <c r="N359" s="13" t="inlineStr">
        <is>
          <t>C - engineering required</t>
        </is>
      </c>
      <c r="O359" s="13" t="n">
        <v>3</v>
      </c>
      <c r="P359" s="13" t="inlineStr">
        <is>
          <t>Custom</t>
        </is>
      </c>
      <c r="Q359" s="13" t="inlineStr"/>
      <c r="R359" s="13" t="inlineStr">
        <is>
          <t>-</t>
        </is>
      </c>
      <c r="S359" s="13" t="inlineStr">
        <is>
          <t>current</t>
        </is>
      </c>
      <c r="T359" s="13" t="inlineStr">
        <is>
          <t>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359" s="13" t="inlineStr">
        <is>
          <t>-</t>
        </is>
      </c>
      <c r="V359" s="13" t="inlineStr">
        <is>
          <t>P8-EU</t>
        </is>
      </c>
    </row>
    <row r="360">
      <c r="A360" s="13" t="inlineStr">
        <is>
          <t>eca</t>
        </is>
      </c>
      <c r="B360" s="13" t="inlineStr">
        <is>
          <t>slovenia</t>
        </is>
      </c>
      <c r="C360" s="13" t="inlineStr">
        <is>
          <t>SVN</t>
        </is>
      </c>
      <c r="D360" s="13" t="inlineStr">
        <is>
          <t>Slovenia</t>
        </is>
      </c>
      <c r="E360" s="13" t="inlineStr">
        <is>
          <t>Tus</t>
        </is>
      </c>
      <c r="F360" s="13" t="inlineStr">
        <is>
          <t>https://www.tus.si/</t>
        </is>
      </c>
      <c r="G360" s="13" t="inlineStr">
        <is>
          <t>PROBED - VIABLE</t>
        </is>
      </c>
      <c r="H360" s="13" t="inlineStr">
        <is>
          <t>TIER_2</t>
        </is>
      </c>
      <c r="I360" s="13" t="inlineStr">
        <is>
          <t>medium</t>
        </is>
      </c>
      <c r="J360" s="13" t="n">
        <v>0</v>
      </c>
      <c r="K360" s="13" t="inlineStr">
        <is>
          <t>not confirmed</t>
        </is>
      </c>
      <c r="L360" s="13" t="inlineStr">
        <is>
          <t>curl 200, 181KB, woocommerce string found but no product prices confirmed on homepage</t>
        </is>
      </c>
      <c r="M360" s="13" t="inlineStr">
        <is>
          <t>ACCEPT</t>
        </is>
      </c>
      <c r="N360" s="13" t="inlineStr">
        <is>
          <t>C - engineering required</t>
        </is>
      </c>
      <c r="O360" s="13" t="n">
        <v>3</v>
      </c>
      <c r="P360" s="13" t="inlineStr">
        <is>
          <t>Custom</t>
        </is>
      </c>
      <c r="Q360" s="13" t="inlineStr"/>
      <c r="R360" s="13" t="inlineStr">
        <is>
          <t>-</t>
        </is>
      </c>
      <c r="S360" s="13" t="inlineStr">
        <is>
          <t>current</t>
        </is>
      </c>
      <c r="T360" s="13" t="inlineStr">
        <is>
          <t>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360" s="13" t="inlineStr">
        <is>
          <t>-</t>
        </is>
      </c>
      <c r="V360" s="13" t="inlineStr">
        <is>
          <t>P8-EU</t>
        </is>
      </c>
    </row>
    <row r="361">
      <c r="A361" s="13" t="inlineStr">
        <is>
          <t>eca</t>
        </is>
      </c>
      <c r="B361" s="13" t="inlineStr">
        <is>
          <t>sweden</t>
        </is>
      </c>
      <c r="C361" s="13" t="inlineStr">
        <is>
          <t>SWE</t>
        </is>
      </c>
      <c r="D361" s="13" t="inlineStr">
        <is>
          <t>Sweden</t>
        </is>
      </c>
      <c r="E361" s="13" t="inlineStr">
        <is>
          <t>ICA</t>
        </is>
      </c>
      <c r="F361" s="13" t="inlineStr">
        <is>
          <t>https://handla.ica.se/</t>
        </is>
      </c>
      <c r="G361" s="13" t="inlineStr">
        <is>
          <t>NOT PROBED - deduped, already onboarded, or time-boxed</t>
        </is>
      </c>
      <c r="H361" s="13" t="inlineStr"/>
      <c r="I361" s="13" t="inlineStr"/>
      <c r="J361" s="13" t="inlineStr"/>
      <c r="K361" s="13" t="inlineStr"/>
      <c r="L361" s="13" t="inlineStr"/>
      <c r="M361" s="13" t="inlineStr">
        <is>
          <t>SUSPECT</t>
        </is>
      </c>
      <c r="N361" s="13" t="inlineStr">
        <is>
          <t>D - hard / app / index only</t>
        </is>
      </c>
      <c r="O361" s="13" t="n">
        <v>2</v>
      </c>
      <c r="P361" s="13" t="inlineStr">
        <is>
          <t>Custom/Enterprise</t>
        </is>
      </c>
      <c r="Q361" s="13" t="inlineStr"/>
      <c r="R361" s="13" t="inlineStr">
        <is>
          <t>-</t>
        </is>
      </c>
      <c r="S361" s="13" t="inlineStr">
        <is>
          <t>current, unit_price</t>
        </is>
      </c>
      <c r="T361" s="13" t="inlineStr">
        <is>
          <t>Largest Nordic grocer. Store selection changes assortment AND price.</t>
        </is>
      </c>
      <c r="U361" s="13" t="inlineStr">
        <is>
          <t>MUST select a store first - 'Valj butik for ratt sortiment, pris och leveransalternativ'. Prices are store-specific, so crawl several stores to represent Sweden.</t>
        </is>
      </c>
      <c r="V361" s="13" t="inlineStr">
        <is>
          <t>P8-EU</t>
        </is>
      </c>
    </row>
    <row r="362">
      <c r="A362" s="13" t="inlineStr">
        <is>
          <t>eca</t>
        </is>
      </c>
      <c r="B362" s="13" t="inlineStr">
        <is>
          <t>sweden</t>
        </is>
      </c>
      <c r="C362" s="13" t="inlineStr">
        <is>
          <t>SWE</t>
        </is>
      </c>
      <c r="D362" s="13" t="inlineStr">
        <is>
          <t>Sweden</t>
        </is>
      </c>
      <c r="E362" s="13" t="inlineStr">
        <is>
          <t>Willys</t>
        </is>
      </c>
      <c r="F362" s="13" t="inlineStr">
        <is>
          <t>https://www.willys.se/</t>
        </is>
      </c>
      <c r="G362" s="13" t="inlineStr">
        <is>
          <t>NOT PROBED - deduped, already onboarded, or time-boxed</t>
        </is>
      </c>
      <c r="H362" s="13" t="inlineStr"/>
      <c r="I362" s="13" t="inlineStr"/>
      <c r="J362" s="13" t="inlineStr"/>
      <c r="K362" s="13" t="inlineStr"/>
      <c r="L362" s="13" t="inlineStr"/>
      <c r="M362" s="13" t="inlineStr">
        <is>
          <t>ACCEPT</t>
        </is>
      </c>
      <c r="N362" s="13" t="inlineStr">
        <is>
          <t>C - engineering required</t>
        </is>
      </c>
      <c r="O362" s="13" t="n">
        <v>3</v>
      </c>
      <c r="P362" s="13" t="inlineStr">
        <is>
          <t>Custom</t>
        </is>
      </c>
      <c r="Q362" s="13" t="inlineStr"/>
      <c r="R362" s="13" t="inlineStr">
        <is>
          <t>-</t>
        </is>
      </c>
      <c r="S362" s="13" t="inlineStr">
        <is>
          <t>current</t>
        </is>
      </c>
      <c r="T362" s="13" t="inlineStr">
        <is>
          <t>Axfood discounter - Swedish value tier.</t>
        </is>
      </c>
      <c r="U362" s="13" t="inlineStr">
        <is>
          <t>-</t>
        </is>
      </c>
      <c r="V362" s="13" t="inlineStr">
        <is>
          <t>P8-EU</t>
        </is>
      </c>
    </row>
    <row r="363">
      <c r="A363" s="13" t="inlineStr">
        <is>
          <t>eca</t>
        </is>
      </c>
      <c r="B363" s="13" t="inlineStr">
        <is>
          <t>sweden</t>
        </is>
      </c>
      <c r="C363" s="13" t="inlineStr">
        <is>
          <t>SWE</t>
        </is>
      </c>
      <c r="D363" s="13" t="inlineStr">
        <is>
          <t>Sweden</t>
        </is>
      </c>
      <c r="E363" s="13" t="inlineStr">
        <is>
          <t>Hemkop</t>
        </is>
      </c>
      <c r="F363" s="13" t="inlineStr">
        <is>
          <t>https://www.hemkop.se/</t>
        </is>
      </c>
      <c r="G363" s="13" t="inlineStr">
        <is>
          <t>PROBED - SKIP</t>
        </is>
      </c>
      <c r="H363" s="13" t="inlineStr">
        <is>
          <t>SKIP</t>
        </is>
      </c>
      <c r="I363" s="13" t="inlineStr">
        <is>
          <t>high</t>
        </is>
      </c>
      <c r="J363" s="13" t="n">
        <v>0</v>
      </c>
      <c r="K363" s="13" t="inlineStr"/>
      <c r="L363" s="13" t="inlineStr">
        <is>
          <t>Both GET -&gt; 403 (986 bytes), CloudFront 403 page: 'The Amazon CloudFront distribution is configured to block access from your country.'</t>
        </is>
      </c>
      <c r="M363" s="13" t="inlineStr">
        <is>
          <t>ACCEPT</t>
        </is>
      </c>
      <c r="N363" s="13" t="inlineStr">
        <is>
          <t>C - engineering required</t>
        </is>
      </c>
      <c r="O363" s="13" t="n">
        <v>3</v>
      </c>
      <c r="P363" s="13" t="inlineStr">
        <is>
          <t>Custom</t>
        </is>
      </c>
      <c r="Q363" s="13" t="inlineStr"/>
      <c r="R363" s="13" t="inlineStr">
        <is>
          <t>-</t>
        </is>
      </c>
      <c r="S363" s="13" t="inlineStr">
        <is>
          <t>current</t>
        </is>
      </c>
      <c r="T363" s="13" t="inlineStr">
        <is>
          <t>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363" s="13" t="inlineStr">
        <is>
          <t>-</t>
        </is>
      </c>
      <c r="V363" s="13" t="inlineStr">
        <is>
          <t>P8-EU</t>
        </is>
      </c>
    </row>
    <row r="364">
      <c r="A364" s="13" t="inlineStr">
        <is>
          <t>eca</t>
        </is>
      </c>
      <c r="B364" s="13" t="inlineStr">
        <is>
          <t>sweden</t>
        </is>
      </c>
      <c r="C364" s="13" t="inlineStr">
        <is>
          <t>SWE</t>
        </is>
      </c>
      <c r="D364" s="13" t="inlineStr">
        <is>
          <t>Sweden</t>
        </is>
      </c>
      <c r="E364" s="13" t="inlineStr">
        <is>
          <t>Mathem</t>
        </is>
      </c>
      <c r="F364" s="13" t="inlineStr">
        <is>
          <t>https://www.mathem.se/</t>
        </is>
      </c>
      <c r="G364" s="13" t="inlineStr">
        <is>
          <t>PROBED - SKIP</t>
        </is>
      </c>
      <c r="H364" s="13" t="inlineStr">
        <is>
          <t>SKIP</t>
        </is>
      </c>
      <c r="I364" s="13" t="inlineStr">
        <is>
          <t>high</t>
        </is>
      </c>
      <c r="J364" s="13" t="n">
        <v>0</v>
      </c>
      <c r="K364" s="13" t="inlineStr"/>
      <c r="L364" s="13" t="inlineStr">
        <is>
          <t>GET -&gt; connection timeout (curl exit 000) on two attempts, both root domain and retry.</t>
        </is>
      </c>
      <c r="M364" s="13" t="inlineStr">
        <is>
          <t>ACCEPT</t>
        </is>
      </c>
      <c r="N364" s="13" t="inlineStr">
        <is>
          <t>C - engineering required</t>
        </is>
      </c>
      <c r="O364" s="13" t="n">
        <v>3</v>
      </c>
      <c r="P364" s="13" t="inlineStr">
        <is>
          <t>Custom</t>
        </is>
      </c>
      <c r="Q364" s="13" t="inlineStr"/>
      <c r="R364" s="13" t="inlineStr">
        <is>
          <t>-</t>
        </is>
      </c>
      <c r="S364" s="13" t="inlineStr">
        <is>
          <t>current</t>
        </is>
      </c>
      <c r="T364" s="13" t="inlineStr">
        <is>
          <t>Pure-play online since 2006; merged with Norway's Oda in 2023 to form the Nordic leader, now on Oda's platform - so Mathem and Oda likely SHARE A TECHNOLOGY STACK. Build once, get both.</t>
        </is>
      </c>
      <c r="U364" s="13" t="inlineStr">
        <is>
          <t>Post-merger migration means the front end may have changed; re-verify the endpoint.</t>
        </is>
      </c>
      <c r="V364" s="13" t="inlineStr">
        <is>
          <t>P8-EU</t>
        </is>
      </c>
    </row>
    <row r="365">
      <c r="A365" s="13" t="inlineStr">
        <is>
          <t>eca</t>
        </is>
      </c>
      <c r="B365" s="13" t="inlineStr">
        <is>
          <t>sweden</t>
        </is>
      </c>
      <c r="C365" s="13" t="inlineStr">
        <is>
          <t>SWE</t>
        </is>
      </c>
      <c r="D365" s="13" t="inlineStr">
        <is>
          <t>Sweden</t>
        </is>
      </c>
      <c r="E365" s="13" t="inlineStr">
        <is>
          <t>Coop Sweden</t>
        </is>
      </c>
      <c r="F365" s="13" t="inlineStr">
        <is>
          <t>https://www.coop.se/</t>
        </is>
      </c>
      <c r="G365" s="13" t="inlineStr">
        <is>
          <t>PROBED - VIABLE</t>
        </is>
      </c>
      <c r="H365" s="13" t="inlineStr">
        <is>
          <t>TIER_2</t>
        </is>
      </c>
      <c r="I365" s="13" t="inlineStr">
        <is>
          <t>medium</t>
        </is>
      </c>
      <c r="J365" s="13" t="n">
        <v>0</v>
      </c>
      <c r="K365" s="13" t="inlineStr"/>
      <c r="L365" s="13" t="inlineStr">
        <is>
          <t>Both GET -&gt; 200 (126KB / 102KB), React/Next markers present, no direct 'kr'/SEK price pattern matched on the homepage.</t>
        </is>
      </c>
      <c r="M365" s="13" t="inlineStr">
        <is>
          <t>ACCEPT</t>
        </is>
      </c>
      <c r="N365" s="13" t="inlineStr">
        <is>
          <t>C - engineering required</t>
        </is>
      </c>
      <c r="O365" s="13" t="n">
        <v>3</v>
      </c>
      <c r="P365" s="13" t="inlineStr">
        <is>
          <t>Custom</t>
        </is>
      </c>
      <c r="Q365" s="13" t="inlineStr"/>
      <c r="R365" s="13" t="inlineStr">
        <is>
          <t>-</t>
        </is>
      </c>
      <c r="S365" s="13" t="inlineStr">
        <is>
          <t>current</t>
        </is>
      </c>
      <c r="T365" s="13" t="inlineStr">
        <is>
          <t>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c r="U365" s="13" t="inlineStr">
        <is>
          <t>-</t>
        </is>
      </c>
      <c r="V365" s="13" t="inlineStr">
        <is>
          <t>P8-EU</t>
        </is>
      </c>
    </row>
    <row r="366">
      <c r="A366" s="13" t="inlineStr">
        <is>
          <t>eca</t>
        </is>
      </c>
      <c r="B366" s="13" t="inlineStr">
        <is>
          <t>tajikistan</t>
        </is>
      </c>
      <c r="C366" s="13" t="inlineStr">
        <is>
          <t>TJK</t>
        </is>
      </c>
      <c r="D366" s="13" t="inlineStr">
        <is>
          <t>Tajikistan</t>
        </is>
      </c>
      <c r="E366" s="13" t="inlineStr">
        <is>
          <t>Beeyor</t>
        </is>
      </c>
      <c r="F366" s="13" t="inlineStr">
        <is>
          <t>https://beeyor.tj/</t>
        </is>
      </c>
      <c r="G366" s="13" t="inlineStr">
        <is>
          <t>PROBED - SKIP</t>
        </is>
      </c>
      <c r="H366" s="13" t="inlineStr">
        <is>
          <t>SKIP</t>
        </is>
      </c>
      <c r="I366" s="13" t="inlineStr">
        <is>
          <t>medium</t>
        </is>
      </c>
      <c r="J366" s="13" t="n">
        <v>0</v>
      </c>
      <c r="K366" s="13" t="inlineStr"/>
      <c r="L366" s="13" t="inlineStr">
        <is>
          <t>GET / -&gt; 200, 93KB, but only restaurant/cafe listing links found (/ru/restaurant/detail/...), no grocery/supermarket links.</t>
        </is>
      </c>
      <c r="M366" s="13" t="inlineStr">
        <is>
          <t>SUSPECT</t>
        </is>
      </c>
      <c r="N366" s="13" t="inlineStr">
        <is>
          <t>not scored</t>
        </is>
      </c>
      <c r="O366" s="13" t="inlineStr"/>
      <c r="P366" s="13" t="inlineStr">
        <is>
          <t>Custom</t>
        </is>
      </c>
      <c r="Q366" s="13" t="inlineStr">
        <is>
          <t>TJS</t>
        </is>
      </c>
      <c r="R366" s="13" t="inlineStr">
        <is>
          <t>-</t>
        </is>
      </c>
      <c r="S366" s="13" t="inlineStr">
        <is>
          <t>-</t>
        </is>
      </c>
      <c r="T366" s="13" t="inlineStr">
        <is>
          <t>24/7 delivery from Paykar plus 50+ restaurants; app-led.</t>
        </is>
      </c>
      <c r="U366" s="13" t="inlineStr">
        <is>
          <t>-</t>
        </is>
      </c>
      <c r="V366" s="13" t="inlineStr">
        <is>
          <t>P1</t>
        </is>
      </c>
    </row>
    <row r="367">
      <c r="A367" s="13" t="inlineStr">
        <is>
          <t>eca</t>
        </is>
      </c>
      <c r="B367" s="13" t="inlineStr">
        <is>
          <t>tajikistan</t>
        </is>
      </c>
      <c r="C367" s="13" t="inlineStr">
        <is>
          <t>TJK</t>
        </is>
      </c>
      <c r="D367" s="13" t="inlineStr">
        <is>
          <t>Tajikistan</t>
        </is>
      </c>
      <c r="E367" s="13" t="inlineStr">
        <is>
          <t>Cyber-Florist Tajikistan</t>
        </is>
      </c>
      <c r="F367" s="13" t="inlineStr">
        <is>
          <t>https://tajikistan.cyber-florist.com/foodstore/grocery</t>
        </is>
      </c>
      <c r="G367" s="13" t="inlineStr">
        <is>
          <t>PROBED - SKIP</t>
        </is>
      </c>
      <c r="H367" s="13" t="inlineStr">
        <is>
          <t>SKIP</t>
        </is>
      </c>
      <c r="I367" s="13" t="inlineStr">
        <is>
          <t>high</t>
        </is>
      </c>
      <c r="J367" s="13" t="n">
        <v>0</v>
      </c>
      <c r="K367" s="13" t="inlineStr"/>
      <c r="L367" s="13" t="inlineStr">
        <is>
          <t>Not re-probed; CSV documents USD pricing from an international gift-delivery operator, not domestic retail.</t>
        </is>
      </c>
      <c r="M367" s="13" t="inlineStr">
        <is>
          <t>REJECT</t>
        </is>
      </c>
      <c r="N367" s="13" t="inlineStr">
        <is>
          <t>not scored</t>
        </is>
      </c>
      <c r="O367" s="13" t="inlineStr"/>
      <c r="P367" s="13" t="inlineStr">
        <is>
          <t>Custom</t>
        </is>
      </c>
      <c r="Q367" s="13" t="inlineStr">
        <is>
          <t>USD</t>
        </is>
      </c>
      <c r="R367" s="13" t="inlineStr">
        <is>
          <t>-</t>
        </is>
      </c>
      <c r="S367" s="13" t="inlineStr">
        <is>
          <t>-</t>
        </is>
      </c>
      <c r="T367" s="13" t="inlineStr">
        <is>
          <t>T1/T2 FAIL: USD prices, international gift-delivery operator. Not domestic retail pricing.</t>
        </is>
      </c>
      <c r="U367" s="13" t="inlineStr">
        <is>
          <t>-</t>
        </is>
      </c>
      <c r="V367" s="13" t="inlineStr">
        <is>
          <t>P1</t>
        </is>
      </c>
    </row>
    <row r="368">
      <c r="A368" s="13" t="inlineStr">
        <is>
          <t>eca</t>
        </is>
      </c>
      <c r="B368" s="13" t="inlineStr">
        <is>
          <t>tajikistan</t>
        </is>
      </c>
      <c r="C368" s="13" t="inlineStr">
        <is>
          <t>TJK</t>
        </is>
      </c>
      <c r="D368" s="13" t="inlineStr">
        <is>
          <t>Tajikistan</t>
        </is>
      </c>
      <c r="E368" s="13" t="inlineStr">
        <is>
          <t>Mohira.tj</t>
        </is>
      </c>
      <c r="F368" s="13" t="inlineStr">
        <is>
          <t>https://mohira.tj/</t>
        </is>
      </c>
      <c r="G368" s="13" t="inlineStr">
        <is>
          <t>PROBED - SKIP</t>
        </is>
      </c>
      <c r="H368" s="13" t="inlineStr">
        <is>
          <t>SKIP</t>
        </is>
      </c>
      <c r="I368" s="13" t="inlineStr">
        <is>
          <t>high</t>
        </is>
      </c>
      <c r="J368" s="13" t="n">
        <v>0</v>
      </c>
      <c r="K368" s="13" t="inlineStr"/>
      <c r="L368" s="13" t="inlineStr">
        <is>
          <t>DNS lookup NXDOMAIN via 8.8.8.8 ('server can't find mohira.tj'). Domain does not currently resolve.</t>
        </is>
      </c>
      <c r="M368" s="13" t="inlineStr">
        <is>
          <t>ACCEPT</t>
        </is>
      </c>
      <c r="N368" s="13" t="inlineStr">
        <is>
          <t>not scored</t>
        </is>
      </c>
      <c r="O368" s="13" t="inlineStr"/>
      <c r="P368" s="13" t="inlineStr">
        <is>
          <t>Custom</t>
        </is>
      </c>
      <c r="Q368" s="13" t="inlineStr">
        <is>
          <t>TJS</t>
        </is>
      </c>
      <c r="R368" s="13" t="inlineStr">
        <is>
          <t>-</t>
        </is>
      </c>
      <c r="S368" s="13" t="inlineStr">
        <is>
          <t>-</t>
        </is>
      </c>
      <c r="T368" s="13" t="inlineStr">
        <is>
          <t>Live: online marketplace, fresh produce and groceries, web ordering.</t>
        </is>
      </c>
      <c r="U368" s="13" t="inlineStr">
        <is>
          <t>-</t>
        </is>
      </c>
      <c r="V368" s="13" t="inlineStr">
        <is>
          <t>P1</t>
        </is>
      </c>
    </row>
    <row r="369">
      <c r="A369" s="13" t="inlineStr">
        <is>
          <t>eca</t>
        </is>
      </c>
      <c r="B369" s="13" t="inlineStr">
        <is>
          <t>tajikistan</t>
        </is>
      </c>
      <c r="C369" s="13" t="inlineStr">
        <is>
          <t>TJK</t>
        </is>
      </c>
      <c r="D369" s="13" t="inlineStr">
        <is>
          <t>Tajikistan</t>
        </is>
      </c>
      <c r="E369" s="13" t="inlineStr">
        <is>
          <t>Dado.tj</t>
        </is>
      </c>
      <c r="F369" s="13" t="inlineStr">
        <is>
          <t>https://dado.tj/</t>
        </is>
      </c>
      <c r="G369" s="13" t="inlineStr">
        <is>
          <t>PROBED - VIABLE</t>
        </is>
      </c>
      <c r="H369" s="13" t="inlineStr">
        <is>
          <t>TIER_1B</t>
        </is>
      </c>
      <c r="I369" s="13" t="inlineStr">
        <is>
          <t>medium</t>
        </is>
      </c>
      <c r="J369" s="13" t="n">
        <v>90</v>
      </c>
      <c r="K369" s="13" t="inlineStr">
        <is>
          <t>/wp-json/wc/store/v1/products (price field currently unreliable)</t>
        </is>
      </c>
      <c r="L369" s="13" t="inlineStr">
        <is>
          <t>WordPress+WooCommerce confirmed. GET /wp-json/wc/store/v1/products?per_page=20 -&gt; HTTP 200, structured JSON, TJS currency, but price=0 for every one of 25 sampled products across 2 pages. Frontend PDP for a different product (h1 'Yabloko Sultanat' -- apple) shows a real non-zero price '4.89c.' rendered in the page. Product-category nav includes fresh produce (arbuz/watermelon, chesnok/garlic) alongside household chemicals.</t>
        </is>
      </c>
      <c r="M369" s="13" t="inlineStr">
        <is>
          <t>SUSPECT</t>
        </is>
      </c>
      <c r="N369" s="13" t="inlineStr">
        <is>
          <t>not scored</t>
        </is>
      </c>
      <c r="O369" s="13" t="inlineStr"/>
      <c r="P369" s="13" t="inlineStr">
        <is>
          <t>WordPress/WooCommerce</t>
        </is>
      </c>
      <c r="Q369" s="13" t="inlineStr">
        <is>
          <t>TJS</t>
        </is>
      </c>
      <c r="R369" s="13" t="inlineStr">
        <is>
          <t>-</t>
        </is>
      </c>
      <c r="S369" s="13" t="inlineStr">
        <is>
          <t>-</t>
        </is>
      </c>
      <c r="T369" s="13" t="inlineStr">
        <is>
          <t>Supermarket with app; web presence needs confirming.</t>
        </is>
      </c>
      <c r="U369" s="13" t="inlineStr">
        <is>
          <t>-</t>
        </is>
      </c>
      <c r="V369" s="13" t="inlineStr">
        <is>
          <t>P1</t>
        </is>
      </c>
    </row>
    <row r="370">
      <c r="A370" s="13" t="inlineStr">
        <is>
          <t>eca</t>
        </is>
      </c>
      <c r="B370" s="13" t="inlineStr">
        <is>
          <t>tajikistan</t>
        </is>
      </c>
      <c r="C370" s="13" t="inlineStr">
        <is>
          <t>TJK</t>
        </is>
      </c>
      <c r="D370" s="13" t="inlineStr">
        <is>
          <t>Tajikistan</t>
        </is>
      </c>
      <c r="E370" s="13" t="inlineStr">
        <is>
          <t>Magnit.tj</t>
        </is>
      </c>
      <c r="F370" s="13" t="inlineStr">
        <is>
          <t>https://magnit.tj/</t>
        </is>
      </c>
      <c r="G370" s="13" t="inlineStr">
        <is>
          <t>PROBED - VIABLE</t>
        </is>
      </c>
      <c r="H370" s="13" t="inlineStr">
        <is>
          <t>TIER_1A</t>
        </is>
      </c>
      <c r="I370" s="13" t="inlineStr">
        <is>
          <t>low</t>
        </is>
      </c>
      <c r="J370" s="13" t="n">
        <v>120</v>
      </c>
      <c r="K370" s="13" t="inlineStr">
        <is>
          <t>/category?id=&lt;n&gt;</t>
        </is>
      </c>
      <c r="L370" s="13" t="inlineStr">
        <is>
          <t>GET / -&gt; 200, 417KB. Real category tree (/category?id=&lt;n&gt;) with TJS prices in raw HTML (24.50 сом, 39.90 сом, 2.35c.).</t>
        </is>
      </c>
      <c r="M370" s="13" t="inlineStr">
        <is>
          <t>ACCEPT</t>
        </is>
      </c>
      <c r="N370" s="13" t="inlineStr">
        <is>
          <t>not scored</t>
        </is>
      </c>
      <c r="O370" s="13" t="inlineStr"/>
      <c r="P370" s="13" t="inlineStr">
        <is>
          <t>Custom</t>
        </is>
      </c>
      <c r="Q370" s="13" t="inlineStr">
        <is>
          <t>TJS</t>
        </is>
      </c>
      <c r="R370" s="13" t="inlineStr">
        <is>
          <t>-</t>
        </is>
      </c>
      <c r="S370" s="13" t="inlineStr">
        <is>
          <t>-</t>
        </is>
      </c>
      <c r="T370" s="13" t="inlineStr">
        <is>
          <t>Live: online supermarket, Dushanbe, free home delivery.</t>
        </is>
      </c>
      <c r="U370" s="13" t="inlineStr">
        <is>
          <t>-</t>
        </is>
      </c>
      <c r="V370" s="13" t="inlineStr">
        <is>
          <t>P1</t>
        </is>
      </c>
    </row>
    <row r="371">
      <c r="A371" s="13" t="inlineStr">
        <is>
          <t>eca</t>
        </is>
      </c>
      <c r="B371" s="13" t="inlineStr">
        <is>
          <t>tajikistan</t>
        </is>
      </c>
      <c r="C371" s="13" t="inlineStr">
        <is>
          <t>TJK</t>
        </is>
      </c>
      <c r="D371" s="13" t="inlineStr">
        <is>
          <t>Tajikistan</t>
        </is>
      </c>
      <c r="E371" s="13" t="inlineStr">
        <is>
          <t>Paykar Shop</t>
        </is>
      </c>
      <c r="F371" s="13" t="inlineStr">
        <is>
          <t>https://paykar.shop/catalog/</t>
        </is>
      </c>
      <c r="G371" s="13" t="inlineStr">
        <is>
          <t>PROBED - VIABLE</t>
        </is>
      </c>
      <c r="H371" s="13" t="inlineStr">
        <is>
          <t>TIER_1A</t>
        </is>
      </c>
      <c r="I371" s="13" t="inlineStr">
        <is>
          <t>low</t>
        </is>
      </c>
      <c r="J371" s="13" t="n">
        <v>100</v>
      </c>
      <c r="K371" s="13" t="inlineStr">
        <is>
          <t>/catalog/&lt;category-path&gt;/&lt;id&gt;/</t>
        </is>
      </c>
      <c r="L371" s="13" t="inlineStr">
        <is>
          <t>GET /catalog/bakaleya/gotovye_zavtraki_kashi_khlopya/137220/ -&gt; 200. h1#pagetitle 'Hlopya ovsyanye RP 500g Gerkules monastyrskiy' (rolled oats), prices visible nearby (63c. = 63 TJS). Full catalogue tree with per-category item counts per CSV.</t>
        </is>
      </c>
      <c r="M371" s="13" t="inlineStr">
        <is>
          <t>ACCEPT</t>
        </is>
      </c>
      <c r="N371" s="13" t="inlineStr">
        <is>
          <t>not scored</t>
        </is>
      </c>
      <c r="O371" s="13" t="inlineStr"/>
      <c r="P371" s="13" t="inlineStr">
        <is>
          <t>Custom</t>
        </is>
      </c>
      <c r="Q371" s="13" t="inlineStr">
        <is>
          <t>TJS</t>
        </is>
      </c>
      <c r="R371" s="13" t="inlineStr">
        <is>
          <t>-</t>
        </is>
      </c>
      <c r="S371" s="13" t="inlineStr">
        <is>
          <t>-</t>
        </is>
      </c>
      <c r="T371" s="13" t="inlineStr">
        <is>
          <t>STRONG: full catalogue tree with item counts per category (Snacks 89, Kondit 293, Krasota 895). Dushanbe supermarket with 2h delivery.</t>
        </is>
      </c>
      <c r="U371" s="13" t="inlineStr">
        <is>
          <t>-</t>
        </is>
      </c>
      <c r="V371" s="13" t="inlineStr">
        <is>
          <t>P1</t>
        </is>
      </c>
    </row>
    <row r="372">
      <c r="A372" s="13" t="inlineStr">
        <is>
          <t>eca</t>
        </is>
      </c>
      <c r="B372" s="13" t="inlineStr">
        <is>
          <t>tajikistan</t>
        </is>
      </c>
      <c r="C372" s="13" t="inlineStr">
        <is>
          <t>TJK</t>
        </is>
      </c>
      <c r="D372" s="13" t="inlineStr">
        <is>
          <t>Tajikistan</t>
        </is>
      </c>
      <c r="E372" s="13" t="inlineStr">
        <is>
          <t>Paykar Shop</t>
        </is>
      </c>
      <c r="F372" s="13" t="inlineStr">
        <is>
          <t>https://paykar.shop/catalog/</t>
        </is>
      </c>
      <c r="G372" s="13" t="inlineStr">
        <is>
          <t>PROBED - VIABLE</t>
        </is>
      </c>
      <c r="H372" s="13" t="inlineStr">
        <is>
          <t>TIER_1A</t>
        </is>
      </c>
      <c r="I372" s="13" t="inlineStr">
        <is>
          <t>low</t>
        </is>
      </c>
      <c r="J372" s="13" t="n">
        <v>100</v>
      </c>
      <c r="K372" s="13" t="inlineStr">
        <is>
          <t>/catalog/&lt;category-path&gt;/&lt;id&gt;/</t>
        </is>
      </c>
      <c r="L372" s="13" t="inlineStr">
        <is>
          <t>GET /catalog/bakaleya/gotovye_zavtraki_kashi_khlopya/137220/ -&gt; 200. h1#pagetitle 'Hlopya ovsyanye RP 500g Gerkules monastyrskiy' (rolled oats), prices visible nearby (63c. = 63 TJS). Full catalogue tree with per-category item counts per CSV.</t>
        </is>
      </c>
      <c r="M372" s="13" t="inlineStr">
        <is>
          <t>ACCEPT</t>
        </is>
      </c>
      <c r="N372" s="13" t="inlineStr">
        <is>
          <t>not scored</t>
        </is>
      </c>
      <c r="O372" s="13" t="inlineStr"/>
      <c r="P372" s="13" t="inlineStr">
        <is>
          <t>Custom</t>
        </is>
      </c>
      <c r="Q372" s="13" t="inlineStr">
        <is>
          <t>TJS</t>
        </is>
      </c>
      <c r="R372" s="13" t="inlineStr">
        <is>
          <t>-</t>
        </is>
      </c>
      <c r="S372" s="13" t="inlineStr">
        <is>
          <t>-</t>
        </is>
      </c>
      <c r="T372" s="13" t="inlineStr">
        <is>
          <t>STRONG: category tree with item counts (Konditerskie 293, Krasota 895, Snacks 89). Dushanbe, 2-hour delivery.</t>
        </is>
      </c>
      <c r="U372" s="13" t="inlineStr">
        <is>
          <t>-</t>
        </is>
      </c>
      <c r="V372" s="13" t="inlineStr">
        <is>
          <t>P2</t>
        </is>
      </c>
    </row>
    <row r="373">
      <c r="A373" s="13" t="inlineStr">
        <is>
          <t>eca</t>
        </is>
      </c>
      <c r="B373" s="13" t="inlineStr">
        <is>
          <t>uzbekistan</t>
        </is>
      </c>
      <c r="C373" s="13" t="inlineStr">
        <is>
          <t>UZB</t>
        </is>
      </c>
      <c r="D373" s="13" t="inlineStr">
        <is>
          <t>Uzbekistan</t>
        </is>
      </c>
      <c r="E373" s="13" t="inlineStr">
        <is>
          <t>DostavkaInfo.uz directory</t>
        </is>
      </c>
      <c r="F373" s="13" t="inlineStr">
        <is>
          <t>https://dostavkainfo.uz/</t>
        </is>
      </c>
      <c r="G373" s="13" t="inlineStr">
        <is>
          <t>NOT PROBED - deduped, already onboarded, or time-boxed</t>
        </is>
      </c>
      <c r="H373" s="13" t="inlineStr"/>
      <c r="I373" s="13" t="inlineStr"/>
      <c r="J373" s="13" t="inlineStr"/>
      <c r="K373" s="13" t="inlineStr"/>
      <c r="L373" s="13" t="inlineStr"/>
      <c r="M373" s="13" t="inlineStr">
        <is>
          <t>INDEX</t>
        </is>
      </c>
      <c r="N373" s="13" t="inlineStr">
        <is>
          <t>not scored</t>
        </is>
      </c>
      <c r="O373" s="13" t="inlineStr"/>
      <c r="P373" s="13" t="inlineStr">
        <is>
          <t>Directory</t>
        </is>
      </c>
      <c r="Q373" s="13" t="inlineStr"/>
      <c r="R373" s="13" t="inlineStr">
        <is>
          <t>-</t>
        </is>
      </c>
      <c r="S373" s="13" t="inlineStr">
        <is>
          <t>-</t>
        </is>
      </c>
      <c r="T373" s="13" t="inlineStr">
        <is>
          <t>284 delivery services catalogued by region and type (food, groceries, pharmacies, household). SOURCING INDEX - the most efficient way to enumerate further Uzbek candidates.</t>
        </is>
      </c>
      <c r="U373" s="13" t="inlineStr">
        <is>
          <t>-</t>
        </is>
      </c>
      <c r="V373" s="13" t="inlineStr">
        <is>
          <t>P4</t>
        </is>
      </c>
    </row>
    <row r="374">
      <c r="A374" s="13" t="inlineStr">
        <is>
          <t>eca</t>
        </is>
      </c>
      <c r="B374" s="13" t="inlineStr">
        <is>
          <t>uzbekistan</t>
        </is>
      </c>
      <c r="C374" s="13" t="inlineStr">
        <is>
          <t>UZB</t>
        </is>
      </c>
      <c r="D374" s="13" t="inlineStr">
        <is>
          <t>Uzbekistan</t>
        </is>
      </c>
      <c r="E374" s="13" t="inlineStr">
        <is>
          <t>Yandex Lavka Uzbekistan</t>
        </is>
      </c>
      <c r="F374" s="13" t="inlineStr">
        <is>
          <t>https://lavka.yandex.uz/</t>
        </is>
      </c>
      <c r="G374" s="13" t="inlineStr">
        <is>
          <t>NOT PROBED - deduped, already onboarded, or time-boxed</t>
        </is>
      </c>
      <c r="H374" s="13" t="inlineStr"/>
      <c r="I374" s="13" t="inlineStr"/>
      <c r="J374" s="13" t="inlineStr"/>
      <c r="K374" s="13" t="inlineStr"/>
      <c r="L374" s="13" t="inlineStr"/>
      <c r="M374" s="13" t="inlineStr">
        <is>
          <t>ACCEPT</t>
        </is>
      </c>
      <c r="N374" s="13" t="inlineStr">
        <is>
          <t>not scored</t>
        </is>
      </c>
      <c r="O374" s="13" t="inlineStr"/>
      <c r="P374" s="13" t="inlineStr">
        <is>
          <t>Custom</t>
        </is>
      </c>
      <c r="Q374" s="13" t="inlineStr">
        <is>
          <t>UZS</t>
        </is>
      </c>
      <c r="R374" s="13" t="inlineStr">
        <is>
          <t>-</t>
        </is>
      </c>
      <c r="S374" s="13" t="inlineStr">
        <is>
          <t>-</t>
        </is>
      </c>
      <c r="T374" s="13" t="inlineStr">
        <is>
          <t>3,000+ products, 10-45 min delivery, Tashkent. Very deep category tree with own-label 'Iz Lavki' lines. Basket threshold shown in sum.</t>
        </is>
      </c>
      <c r="U374" s="13" t="inlineStr">
        <is>
          <t>-</t>
        </is>
      </c>
      <c r="V374" s="13" t="inlineStr">
        <is>
          <t>P4</t>
        </is>
      </c>
    </row>
    <row r="375">
      <c r="A375" s="13" t="inlineStr">
        <is>
          <t>eca</t>
        </is>
      </c>
      <c r="B375" s="13" t="inlineStr">
        <is>
          <t>uzbekistan</t>
        </is>
      </c>
      <c r="C375" s="13" t="inlineStr">
        <is>
          <t>UZB</t>
        </is>
      </c>
      <c r="D375" s="13" t="inlineStr">
        <is>
          <t>Uzbekistan</t>
        </is>
      </c>
      <c r="E375" s="13" t="inlineStr">
        <is>
          <t>Express24</t>
        </is>
      </c>
      <c r="F375" s="13" t="inlineStr">
        <is>
          <t>https://express24.uz/</t>
        </is>
      </c>
      <c r="G375" s="13" t="inlineStr">
        <is>
          <t>PROBED - SKIP</t>
        </is>
      </c>
      <c r="H375" s="13" t="inlineStr">
        <is>
          <t>SKIP</t>
        </is>
      </c>
      <c r="I375" s="13" t="inlineStr">
        <is>
          <t>high</t>
        </is>
      </c>
      <c r="J375" s="13" t="n">
        <v>0</v>
      </c>
      <c r="K375" s="13" t="inlineStr"/>
      <c r="L375" s="13" t="inlineStr">
        <is>
          <t>Both curl -&gt; 200 (506KB / 382KB), both React SPA shells. Playwright network-trace on express24.uz captured only an analytics beacon within 7s (no catalog API fired on load, needs city/address selection first). lavka.yandex.uz raw HTML shows only 'api.passport.yandex.uz' (auth) with no visible catalog data.</t>
        </is>
      </c>
      <c r="M375" s="13" t="inlineStr">
        <is>
          <t>ACCEPT</t>
        </is>
      </c>
      <c r="N375" s="13" t="inlineStr">
        <is>
          <t>not scored</t>
        </is>
      </c>
      <c r="O375" s="13" t="inlineStr"/>
      <c r="P375" s="13" t="inlineStr">
        <is>
          <t>Custom</t>
        </is>
      </c>
      <c r="Q375" s="13" t="inlineStr">
        <is>
          <t>UZS</t>
        </is>
      </c>
      <c r="R375" s="13" t="inlineStr">
        <is>
          <t>-</t>
        </is>
      </c>
      <c r="S375" s="13" t="inlineStr">
        <is>
          <t>-</t>
        </is>
      </c>
      <c r="T375" s="13" t="inlineStr">
        <is>
          <t>Delivery from restaurants AND grocery stores, Tashkent.</t>
        </is>
      </c>
      <c r="U375" s="13" t="inlineStr">
        <is>
          <t>-</t>
        </is>
      </c>
      <c r="V375" s="13" t="inlineStr">
        <is>
          <t>P4</t>
        </is>
      </c>
    </row>
    <row r="376">
      <c r="A376" s="13" t="inlineStr">
        <is>
          <t>eca</t>
        </is>
      </c>
      <c r="B376" s="13" t="inlineStr">
        <is>
          <t>uzbekistan</t>
        </is>
      </c>
      <c r="C376" s="13" t="inlineStr">
        <is>
          <t>UZB</t>
        </is>
      </c>
      <c r="D376" s="13" t="inlineStr">
        <is>
          <t>Uzbekistan</t>
        </is>
      </c>
      <c r="E376" s="13" t="inlineStr">
        <is>
          <t>Le Bazar</t>
        </is>
      </c>
      <c r="F376" s="13" t="inlineStr">
        <is>
          <t>https://lebazar.uz/</t>
        </is>
      </c>
      <c r="G376" s="13" t="inlineStr">
        <is>
          <t>PROBED - SKIP</t>
        </is>
      </c>
      <c r="H376" s="13" t="inlineStr">
        <is>
          <t>SKIP</t>
        </is>
      </c>
      <c r="I376" s="13" t="inlineStr">
        <is>
          <t>high</t>
        </is>
      </c>
      <c r="J376" s="13" t="n">
        <v>0</v>
      </c>
      <c r="K376" s="13" t="inlineStr"/>
      <c r="L376" s="13" t="inlineStr">
        <is>
          <t>curl -&gt; 'Could not resolve host: lebazar.uz' -- DNS does not resolve.</t>
        </is>
      </c>
      <c r="M376" s="13" t="inlineStr">
        <is>
          <t>ACCEPT</t>
        </is>
      </c>
      <c r="N376" s="13" t="inlineStr">
        <is>
          <t>not scored</t>
        </is>
      </c>
      <c r="O376" s="13" t="inlineStr"/>
      <c r="P376" s="13" t="inlineStr">
        <is>
          <t>Custom</t>
        </is>
      </c>
      <c r="Q376" s="13" t="inlineStr">
        <is>
          <t>UZS</t>
        </is>
      </c>
      <c r="R376" s="13" t="inlineStr">
        <is>
          <t>-</t>
        </is>
      </c>
      <c r="S376" s="13" t="inlineStr">
        <is>
          <t>-</t>
        </is>
      </c>
      <c r="T376" s="13" t="inlineStr">
        <is>
          <t>Established Uzbek online grocery: food, household, related goods.</t>
        </is>
      </c>
      <c r="U376" s="13" t="inlineStr">
        <is>
          <t>-</t>
        </is>
      </c>
      <c r="V376" s="13" t="inlineStr">
        <is>
          <t>P4</t>
        </is>
      </c>
    </row>
    <row r="377">
      <c r="A377" s="13" t="inlineStr">
        <is>
          <t>eca</t>
        </is>
      </c>
      <c r="B377" s="13" t="inlineStr">
        <is>
          <t>uzbekistan</t>
        </is>
      </c>
      <c r="C377" s="13" t="inlineStr">
        <is>
          <t>UZB</t>
        </is>
      </c>
      <c r="D377" s="13" t="inlineStr">
        <is>
          <t>Uzbekistan</t>
        </is>
      </c>
      <c r="E377" s="13" t="inlineStr">
        <is>
          <t>Yanada.uz</t>
        </is>
      </c>
      <c r="F377" s="13" t="inlineStr">
        <is>
          <t>https://www.yanada.uz/</t>
        </is>
      </c>
      <c r="G377" s="13" t="inlineStr">
        <is>
          <t>PROBED - SKIP</t>
        </is>
      </c>
      <c r="H377" s="13" t="inlineStr">
        <is>
          <t>SKIP</t>
        </is>
      </c>
      <c r="I377" s="13" t="inlineStr">
        <is>
          <t>high</t>
        </is>
      </c>
      <c r="J377" s="13" t="n">
        <v>0</v>
      </c>
      <c r="K377" s="13" t="inlineStr"/>
      <c r="L377" s="13" t="inlineStr">
        <is>
          <t>curl -&gt; 200, 86KB. Vue SPA, page contains 'login' references and no visible product/price content.</t>
        </is>
      </c>
      <c r="M377" s="13" t="inlineStr">
        <is>
          <t>SUSPECT</t>
        </is>
      </c>
      <c r="N377" s="13" t="inlineStr">
        <is>
          <t>not scored</t>
        </is>
      </c>
      <c r="O377" s="13" t="inlineStr"/>
      <c r="P377" s="13" t="inlineStr">
        <is>
          <t>Custom</t>
        </is>
      </c>
      <c r="Q377" s="13" t="inlineStr">
        <is>
          <t>UZS</t>
        </is>
      </c>
      <c r="R377" s="13" t="inlineStr">
        <is>
          <t>-</t>
        </is>
      </c>
      <c r="S377" s="13" t="inlineStr">
        <is>
          <t>-</t>
        </is>
      </c>
      <c r="T377" s="13" t="inlineStr">
        <is>
          <t>Live Uzbek grocery app with a visual product search; catalogue behind login.</t>
        </is>
      </c>
      <c r="U377" s="13" t="inlineStr">
        <is>
          <t>-</t>
        </is>
      </c>
      <c r="V377" s="13" t="inlineStr">
        <is>
          <t>P4</t>
        </is>
      </c>
    </row>
    <row r="378">
      <c r="A378" s="13" t="inlineStr">
        <is>
          <t>eca</t>
        </is>
      </c>
      <c r="B378" s="13" t="inlineStr">
        <is>
          <t>uzbekistan</t>
        </is>
      </c>
      <c r="C378" s="13" t="inlineStr">
        <is>
          <t>UZB</t>
        </is>
      </c>
      <c r="D378" s="13" t="inlineStr">
        <is>
          <t>Uzbekistan</t>
        </is>
      </c>
      <c r="E378" s="13" t="inlineStr">
        <is>
          <t>Korzinka</t>
        </is>
      </c>
      <c r="F378" s="13" t="inlineStr">
        <is>
          <t>https://www.korzinka.uz/en</t>
        </is>
      </c>
      <c r="G378" s="13" t="inlineStr">
        <is>
          <t>PROBED - VIABLE</t>
        </is>
      </c>
      <c r="H378" s="13" t="inlineStr">
        <is>
          <t>TIER_2</t>
        </is>
      </c>
      <c r="I378" s="13" t="inlineStr">
        <is>
          <t>medium</t>
        </is>
      </c>
      <c r="J378" s="13" t="n">
        <v>140</v>
      </c>
      <c r="K378" s="13" t="inlineStr">
        <is>
          <t>api.korzinka.uz (exact route TBD)</t>
        </is>
      </c>
      <c r="L378" s="13" t="inlineStr">
        <is>
          <t>curl -&gt; 403 'Just a moment...' Cloudflare challenge. Playwright render (homepage and /en/catalog) -&gt; HTTP 200, real content: 'product__price'/'product__price-current' DOM classes present, soum-denominated values visible after render (e.g. '300 000 soum'). Backend host api.korzinka.uz confirmed live (returns a structured JSON error for a wrong method rather than a block), but the correct catalog route was not found within the time budget.</t>
        </is>
      </c>
      <c r="M378" s="13" t="inlineStr">
        <is>
          <t>ACCEPT</t>
        </is>
      </c>
      <c r="N378" s="13" t="inlineStr">
        <is>
          <t>not scored</t>
        </is>
      </c>
      <c r="O378" s="13" t="inlineStr"/>
      <c r="P378" s="13" t="inlineStr">
        <is>
          <t>Custom</t>
        </is>
      </c>
      <c r="Q378" s="13" t="inlineStr">
        <is>
          <t>UZS</t>
        </is>
      </c>
      <c r="R378" s="13" t="inlineStr">
        <is>
          <t>-</t>
        </is>
      </c>
      <c r="S378" s="13" t="inlineStr">
        <is>
          <t>-</t>
        </is>
      </c>
      <c r="T378" s="13" t="inlineStr">
        <is>
          <t>250+ stores across 12 regions. Launched the country's first online supermarket in 2005. Own-brands 'iz Korzinki' and '365 kun'. Publishes a price-discrepancy promise, which implies shelf-price fidelity.</t>
        </is>
      </c>
      <c r="U378" s="13" t="inlineStr">
        <is>
          <t>-</t>
        </is>
      </c>
      <c r="V378" s="13" t="inlineStr">
        <is>
          <t>P4</t>
        </is>
      </c>
    </row>
    <row r="379">
      <c r="A379" s="13" t="inlineStr">
        <is>
          <t>eca</t>
        </is>
      </c>
      <c r="B379" s="13" t="inlineStr">
        <is>
          <t>kosovo</t>
        </is>
      </c>
      <c r="C379" s="13" t="inlineStr">
        <is>
          <t>XKX</t>
        </is>
      </c>
      <c r="D379" s="13" t="inlineStr">
        <is>
          <t>Kosovo</t>
        </is>
      </c>
      <c r="E379" s="13" t="inlineStr">
        <is>
          <t>E-baa</t>
        </is>
      </c>
      <c r="F379" s="13" t="inlineStr">
        <is>
          <t>https://www.e-baa.com/</t>
        </is>
      </c>
      <c r="G379" s="13" t="inlineStr">
        <is>
          <t>NOT PROBED - deduped, already onboarded, or time-boxed</t>
        </is>
      </c>
      <c r="H379" s="13" t="inlineStr"/>
      <c r="I379" s="13" t="inlineStr"/>
      <c r="J379" s="13" t="inlineStr"/>
      <c r="K379" s="13" t="inlineStr"/>
      <c r="L379" s="13" t="inlineStr"/>
      <c r="M379" s="13" t="inlineStr">
        <is>
          <t>SUSPECT</t>
        </is>
      </c>
      <c r="N379" s="13" t="inlineStr">
        <is>
          <t>not scored</t>
        </is>
      </c>
      <c r="O379" s="13" t="inlineStr"/>
      <c r="P379" s="13" t="inlineStr">
        <is>
          <t>Custom</t>
        </is>
      </c>
      <c r="Q379" s="13" t="inlineStr">
        <is>
          <t>EUR</t>
        </is>
      </c>
      <c r="R379" s="13" t="inlineStr">
        <is>
          <t>-</t>
        </is>
      </c>
      <c r="S379" s="13" t="inlineStr">
        <is>
          <t>-</t>
        </is>
      </c>
      <c r="T379" s="13" t="inlineStr">
        <is>
          <t>Live with EUR prices and VAT-inclusive labelling, but catalogue is homeware, garden, cosmetics and toys. No grocery aisle. [RECLASSIFIED in pass 3 to ACCEPT non-food]</t>
        </is>
      </c>
      <c r="U379" s="13" t="inlineStr">
        <is>
          <t>-</t>
        </is>
      </c>
      <c r="V379" s="13" t="inlineStr">
        <is>
          <t>P2</t>
        </is>
      </c>
    </row>
    <row r="380">
      <c r="A380" s="13" t="inlineStr">
        <is>
          <t>eca</t>
        </is>
      </c>
      <c r="B380" s="13" t="inlineStr">
        <is>
          <t>kosovo</t>
        </is>
      </c>
      <c r="C380" s="13" t="inlineStr">
        <is>
          <t>XKX</t>
        </is>
      </c>
      <c r="D380" s="13" t="inlineStr">
        <is>
          <t>Kosovo</t>
        </is>
      </c>
      <c r="E380" s="13" t="inlineStr">
        <is>
          <t>GiFi Online Kosovo</t>
        </is>
      </c>
      <c r="F380" s="13" t="inlineStr">
        <is>
          <t>https://gifionline.com/</t>
        </is>
      </c>
      <c r="G380" s="13" t="inlineStr">
        <is>
          <t>NOT PROBED - deduped, already onboarded, or time-boxed</t>
        </is>
      </c>
      <c r="H380" s="13" t="inlineStr"/>
      <c r="I380" s="13" t="inlineStr"/>
      <c r="J380" s="13" t="inlineStr"/>
      <c r="K380" s="13" t="inlineStr"/>
      <c r="L380" s="13" t="inlineStr"/>
      <c r="M380" s="13" t="inlineStr">
        <is>
          <t>REJECT</t>
        </is>
      </c>
      <c r="N380" s="13" t="inlineStr">
        <is>
          <t>not scored</t>
        </is>
      </c>
      <c r="O380" s="13" t="inlineStr"/>
      <c r="P380" s="13" t="inlineStr">
        <is>
          <t>Custom</t>
        </is>
      </c>
      <c r="Q380" s="13" t="inlineStr">
        <is>
          <t>EUR</t>
        </is>
      </c>
      <c r="R380" s="13" t="inlineStr">
        <is>
          <t>-</t>
        </is>
      </c>
      <c r="S380" s="13" t="inlineStr">
        <is>
          <t>-</t>
        </is>
      </c>
      <c r="T380" s="13" t="inlineStr">
        <is>
          <t>EUR prices but general variety-store goods (party supplies, bathroom, toys). No food. [RECLASSIFIED in pass 3 to ACCEPT non-food]</t>
        </is>
      </c>
      <c r="U380" s="13" t="inlineStr">
        <is>
          <t>-</t>
        </is>
      </c>
      <c r="V380" s="13" t="inlineStr">
        <is>
          <t>P2</t>
        </is>
      </c>
    </row>
    <row r="381">
      <c r="A381" s="13" t="inlineStr">
        <is>
          <t>eca</t>
        </is>
      </c>
      <c r="B381" s="13" t="inlineStr">
        <is>
          <t>kosovo</t>
        </is>
      </c>
      <c r="C381" s="13" t="inlineStr">
        <is>
          <t>XKX</t>
        </is>
      </c>
      <c r="D381" s="13" t="inlineStr">
        <is>
          <t>Kosovo</t>
        </is>
      </c>
      <c r="E381" s="13" t="inlineStr">
        <is>
          <t>Blejeseshkoj</t>
        </is>
      </c>
      <c r="F381" s="13" t="inlineStr">
        <is>
          <t>https://blejeseshkoj.com/</t>
        </is>
      </c>
      <c r="G381" s="13" t="inlineStr">
        <is>
          <t>PROBED - VIABLE</t>
        </is>
      </c>
      <c r="H381" s="13" t="inlineStr">
        <is>
          <t>TIER_1A</t>
        </is>
      </c>
      <c r="I381" s="13" t="inlineStr">
        <is>
          <t>low</t>
        </is>
      </c>
      <c r="J381" s="13" t="n">
        <v>70</v>
      </c>
      <c r="K381" s="13" t="inlineStr">
        <is>
          <t>index.php?route=product/product&amp;product_id=&lt;id&gt;</t>
        </is>
      </c>
      <c r="L381" s="13" t="inlineStr">
        <is>
          <t>GET / -&gt; 200, 380KB. OpenCart route pattern confirmed (index.php?route=product/product&amp;product_id=3623). Real product+price: 'Torku helva kakao-500g', price-new 2.99€ (was 3.79€).</t>
        </is>
      </c>
      <c r="M381" s="13" t="inlineStr">
        <is>
          <t>ACCEPT</t>
        </is>
      </c>
      <c r="N381" s="13" t="inlineStr">
        <is>
          <t>not scored</t>
        </is>
      </c>
      <c r="O381" s="13" t="inlineStr"/>
      <c r="P381" s="13" t="inlineStr">
        <is>
          <t>Custom</t>
        </is>
      </c>
      <c r="Q381" s="13" t="inlineStr">
        <is>
          <t>EUR</t>
        </is>
      </c>
      <c r="R381" s="13" t="inlineStr">
        <is>
          <t>-</t>
        </is>
      </c>
      <c r="S381" s="13" t="inlineStr">
        <is>
          <t>-</t>
        </is>
      </c>
      <c r="T381" s="13" t="inlineStr">
        <is>
          <t>Live: EUR prices on branded grocery (Nutella 400g 4.45, Alpsko milk 1L 1.35). Prizren only, 10 EUR minimum. Small but clean.</t>
        </is>
      </c>
      <c r="U381" s="13" t="inlineStr">
        <is>
          <t>-</t>
        </is>
      </c>
      <c r="V381" s="13" t="inlineStr">
        <is>
          <t>P2</t>
        </is>
      </c>
    </row>
    <row r="382">
      <c r="A382" s="13" t="inlineStr">
        <is>
          <t>eca</t>
        </is>
      </c>
      <c r="B382" s="13" t="inlineStr">
        <is>
          <t>kosovo</t>
        </is>
      </c>
      <c r="C382" s="13" t="inlineStr">
        <is>
          <t>XKX</t>
        </is>
      </c>
      <c r="D382" s="13" t="inlineStr">
        <is>
          <t>Kosovo</t>
        </is>
      </c>
      <c r="E382" s="13" t="inlineStr">
        <is>
          <t>Maxi E-Shop</t>
        </is>
      </c>
      <c r="F382" s="13" t="inlineStr">
        <is>
          <t>https://maxiks.shop/</t>
        </is>
      </c>
      <c r="G382" s="13" t="inlineStr">
        <is>
          <t>PROBED - VIABLE</t>
        </is>
      </c>
      <c r="H382" s="13" t="inlineStr">
        <is>
          <t>TIER_1A</t>
        </is>
      </c>
      <c r="I382" s="13" t="inlineStr">
        <is>
          <t>low</t>
        </is>
      </c>
      <c r="J382" s="13" t="n">
        <v>130</v>
      </c>
      <c r="K382" s="13" t="inlineStr">
        <is>
          <t>/product/&lt;slug&gt;</t>
        </is>
      </c>
      <c r="L382" s="13" t="inlineStr">
        <is>
          <t>GET / -&gt; 200, 390KB. Real product card: h3.product-title 'Faculet e lagur Fresh x 52cope' (wet wipes), h4.product-price '1.79€'. Full supermarket taxonomy visible in nav (Ushqimore=grocery, Bulmet=dairy, Pije=drinks, Fruta &amp; Perime=fruit&amp;veg, Pjekurina=bakery).</t>
        </is>
      </c>
      <c r="M382" s="13" t="inlineStr">
        <is>
          <t>ACCEPT</t>
        </is>
      </c>
      <c r="N382" s="13" t="inlineStr">
        <is>
          <t>not scored</t>
        </is>
      </c>
      <c r="O382" s="13" t="inlineStr"/>
      <c r="P382" s="13" t="inlineStr">
        <is>
          <t>Custom</t>
        </is>
      </c>
      <c r="Q382" s="13" t="inlineStr">
        <is>
          <t>EUR</t>
        </is>
      </c>
      <c r="R382" s="13" t="inlineStr">
        <is>
          <t>-</t>
        </is>
      </c>
      <c r="S382" s="13" t="inlineStr">
        <is>
          <t>-</t>
        </is>
      </c>
      <c r="T382" s="13" t="inlineStr">
        <is>
          <t>STRONG: EUR is Kosovo's domestic currency so this PASSES T1. Full supermarket taxonomy (Ushqimore, Bulmet, Pije, Fruta &amp; Perime, Pjekurina) with prices. 18 Prishtina outlets.</t>
        </is>
      </c>
      <c r="U382" s="13" t="inlineStr">
        <is>
          <t>-</t>
        </is>
      </c>
      <c r="V382" s="13" t="inlineStr">
        <is>
          <t>P2</t>
        </is>
      </c>
    </row>
    <row r="383">
      <c r="A383" s="13" t="inlineStr">
        <is>
          <t>lac</t>
        </is>
      </c>
      <c r="B383" s="13" t="inlineStr">
        <is>
          <t>belize</t>
        </is>
      </c>
      <c r="C383" s="13" t="inlineStr">
        <is>
          <t>BLZ</t>
        </is>
      </c>
      <c r="D383" s="13" t="inlineStr">
        <is>
          <t>Belize</t>
        </is>
      </c>
      <c r="E383" s="13" t="inlineStr">
        <is>
          <t>Brodies Belize</t>
        </is>
      </c>
      <c r="F383" s="13" t="inlineStr">
        <is>
          <t>https://brodiesbelize.com/</t>
        </is>
      </c>
      <c r="G383" s="13" t="inlineStr">
        <is>
          <t>PROBED - SKIP</t>
        </is>
      </c>
      <c r="H383" s="13" t="inlineStr">
        <is>
          <t>SKIP</t>
        </is>
      </c>
      <c r="I383" s="13" t="inlineStr">
        <is>
          <t>high</t>
        </is>
      </c>
      <c r="J383" s="13" t="n">
        <v>0</v>
      </c>
      <c r="K383" s="13" t="inlineStr"/>
      <c r="L383" s="13" t="inlineStr">
        <is>
          <t>curl --max-time 20/25 timed out twice (exit 28, 0 bytes).</t>
        </is>
      </c>
      <c r="M383" s="13" t="inlineStr">
        <is>
          <t>SUSPECT</t>
        </is>
      </c>
      <c r="N383" s="13" t="inlineStr">
        <is>
          <t>not scored</t>
        </is>
      </c>
      <c r="O383" s="13" t="inlineStr"/>
      <c r="P383" s="13" t="inlineStr">
        <is>
          <t>WordPress/WooCommerce</t>
        </is>
      </c>
      <c r="Q383" s="13" t="inlineStr">
        <is>
          <t>BZD</t>
        </is>
      </c>
      <c r="R383" s="13" t="inlineStr">
        <is>
          <t>-</t>
        </is>
      </c>
      <c r="S383" s="13" t="inlineStr">
        <is>
          <t>-</t>
        </is>
      </c>
      <c r="T383" s="13" t="inlineStr">
        <is>
          <t>Carried from v2; unverified.</t>
        </is>
      </c>
      <c r="U383" s="13" t="inlineStr">
        <is>
          <t>-</t>
        </is>
      </c>
      <c r="V383" s="13" t="inlineStr">
        <is>
          <t>P1</t>
        </is>
      </c>
    </row>
    <row r="384">
      <c r="A384" s="13" t="inlineStr">
        <is>
          <t>lac</t>
        </is>
      </c>
      <c r="B384" s="13" t="inlineStr">
        <is>
          <t>belize</t>
        </is>
      </c>
      <c r="C384" s="13" t="inlineStr">
        <is>
          <t>BLZ</t>
        </is>
      </c>
      <c r="D384" s="13" t="inlineStr">
        <is>
          <t>Belize</t>
        </is>
      </c>
      <c r="E384" s="13" t="inlineStr">
        <is>
          <t>DoorStep Belize</t>
        </is>
      </c>
      <c r="F384" s="13" t="inlineStr">
        <is>
          <t>https://doorstepbelize.com/</t>
        </is>
      </c>
      <c r="G384" s="13" t="inlineStr">
        <is>
          <t>PROBED - SKIP</t>
        </is>
      </c>
      <c r="H384" s="13" t="inlineStr">
        <is>
          <t>SKIP</t>
        </is>
      </c>
      <c r="I384" s="13" t="inlineStr">
        <is>
          <t>high</t>
        </is>
      </c>
      <c r="J384" s="13" t="n">
        <v>0</v>
      </c>
      <c r="K384" s="13" t="inlineStr"/>
      <c r="L384" s="13" t="inlineStr">
        <is>
          <t>curl 200/349KB on the shop page but zero price patterns matched in raw HTML; page is a Vue SPA (data-v-* attrs) with only nav-link text server-rendered. Not escalated to Playwright given thin catalog per CSV notes (Belmopan-only beta).</t>
        </is>
      </c>
      <c r="M384" s="13" t="inlineStr">
        <is>
          <t>SUSPECT</t>
        </is>
      </c>
      <c r="N384" s="13" t="inlineStr">
        <is>
          <t>not scored</t>
        </is>
      </c>
      <c r="O384" s="13" t="inlineStr"/>
      <c r="P384" s="13" t="inlineStr">
        <is>
          <t>Custom</t>
        </is>
      </c>
      <c r="Q384" s="13" t="inlineStr">
        <is>
          <t>BZD</t>
        </is>
      </c>
      <c r="R384" s="13" t="inlineStr">
        <is>
          <t>-</t>
        </is>
      </c>
      <c r="S384" s="13" t="inlineStr">
        <is>
          <t>-</t>
        </is>
      </c>
      <c r="T384" s="13" t="inlineStr">
        <is>
          <t>Live but beta, Belmopan only; catalogue thin.</t>
        </is>
      </c>
      <c r="U384" s="13" t="inlineStr">
        <is>
          <t>-</t>
        </is>
      </c>
      <c r="V384" s="13" t="inlineStr">
        <is>
          <t>P1</t>
        </is>
      </c>
    </row>
    <row r="385">
      <c r="A385" s="13" t="inlineStr">
        <is>
          <t>lac</t>
        </is>
      </c>
      <c r="B385" s="13" t="inlineStr">
        <is>
          <t>belize</t>
        </is>
      </c>
      <c r="C385" s="13" t="inlineStr">
        <is>
          <t>BLZ</t>
        </is>
      </c>
      <c r="D385" s="13" t="inlineStr">
        <is>
          <t>Belize</t>
        </is>
      </c>
      <c r="E385" s="13" t="inlineStr">
        <is>
          <t>Lagniappe Belize Grocery</t>
        </is>
      </c>
      <c r="F385" s="13" t="inlineStr">
        <is>
          <t>http://www.belizegrocery.com/</t>
        </is>
      </c>
      <c r="G385" s="13" t="inlineStr">
        <is>
          <t>PROBED - SKIP</t>
        </is>
      </c>
      <c r="H385" s="13" t="inlineStr">
        <is>
          <t>SKIP</t>
        </is>
      </c>
      <c r="I385" s="13" t="inlineStr">
        <is>
          <t>high</t>
        </is>
      </c>
      <c r="J385" s="13" t="n">
        <v>0</v>
      </c>
      <c r="K385" s="13" t="inlineStr"/>
      <c r="L385" s="13" t="inlineStr">
        <is>
          <t>curl 200/49KB (real domain resolves to www.lagniappebelize.com). Category tree present (groceries, dairy, spices, herbs, oils, breakfast, pasta, condiments, produce) but zero price data found on category listing page (ASP.NET webforms, prices likely rendered via postback).</t>
        </is>
      </c>
      <c r="M385" s="13" t="inlineStr">
        <is>
          <t>SUSPECT</t>
        </is>
      </c>
      <c r="N385" s="13" t="inlineStr">
        <is>
          <t>not scored</t>
        </is>
      </c>
      <c r="O385" s="13" t="inlineStr"/>
      <c r="P385" s="13" t="inlineStr">
        <is>
          <t>Custom</t>
        </is>
      </c>
      <c r="Q385" s="13" t="inlineStr">
        <is>
          <t>USD</t>
        </is>
      </c>
      <c r="R385" s="13" t="inlineStr">
        <is>
          <t>-</t>
        </is>
      </c>
      <c r="S385" s="13" t="inlineStr">
        <is>
          <t>-</t>
        </is>
      </c>
      <c r="T385" s="13" t="inlineStr">
        <is>
          <t>Live with deep category tree, but it is a tourist/villa provisioning service on Ambergris Caye pricing in USD. Not representative of domestic retail.</t>
        </is>
      </c>
      <c r="U385" s="13" t="inlineStr">
        <is>
          <t>-</t>
        </is>
      </c>
      <c r="V385" s="13" t="inlineStr">
        <is>
          <t>P1</t>
        </is>
      </c>
    </row>
    <row r="386">
      <c r="A386" s="13" t="inlineStr">
        <is>
          <t>lac</t>
        </is>
      </c>
      <c r="B386" s="13" t="inlineStr">
        <is>
          <t>belize</t>
        </is>
      </c>
      <c r="C386" s="13" t="inlineStr">
        <is>
          <t>BLZ</t>
        </is>
      </c>
      <c r="D386" s="13" t="inlineStr">
        <is>
          <t>Belize</t>
        </is>
      </c>
      <c r="E386" s="13" t="inlineStr">
        <is>
          <t>MyStore Belize</t>
        </is>
      </c>
      <c r="F386" s="13" t="inlineStr">
        <is>
          <t>https://mystore.bz/</t>
        </is>
      </c>
      <c r="G386" s="13" t="inlineStr">
        <is>
          <t>PROBED - SKIP</t>
        </is>
      </c>
      <c r="H386" s="13" t="inlineStr">
        <is>
          <t>SKIP</t>
        </is>
      </c>
      <c r="I386" s="13" t="inlineStr">
        <is>
          <t>high</t>
        </is>
      </c>
      <c r="J386" s="13" t="n">
        <v>0</v>
      </c>
      <c r="K386" s="13" t="inlineStr"/>
      <c r="L386" s="13" t="inlineStr">
        <is>
          <t>curl 200/9.8KB homepage is an app-download marketing shell ('Order.Track.Delivered'). /apps/web/pages/store.html is a retail-PARTNER recruitment page ('Manage Your Catalog', 'Real-Time Order Control'), not a consumer catalog. No product listing found anywhere on the public site.</t>
        </is>
      </c>
      <c r="M386" s="13" t="inlineStr">
        <is>
          <t>ACCEPT</t>
        </is>
      </c>
      <c r="N386" s="13" t="inlineStr">
        <is>
          <t>not scored</t>
        </is>
      </c>
      <c r="O386" s="13" t="inlineStr"/>
      <c r="P386" s="13" t="inlineStr">
        <is>
          <t>Custom</t>
        </is>
      </c>
      <c r="Q386" s="13" t="inlineStr">
        <is>
          <t>BZD</t>
        </is>
      </c>
      <c r="R386" s="13" t="inlineStr">
        <is>
          <t>-</t>
        </is>
      </c>
      <c r="S386" s="13" t="inlineStr">
        <is>
          <t>-</t>
        </is>
      </c>
      <c r="T386" s="13" t="inlineStr">
        <is>
          <t>Live: grocery and household delivery platform, local stores.</t>
        </is>
      </c>
      <c r="U386" s="13" t="inlineStr">
        <is>
          <t>-</t>
        </is>
      </c>
      <c r="V386" s="13" t="inlineStr">
        <is>
          <t>P1</t>
        </is>
      </c>
    </row>
    <row r="387">
      <c r="A387" s="13" t="inlineStr">
        <is>
          <t>lac</t>
        </is>
      </c>
      <c r="B387" s="13" t="inlineStr">
        <is>
          <t>belize</t>
        </is>
      </c>
      <c r="C387" s="13" t="inlineStr">
        <is>
          <t>BLZ</t>
        </is>
      </c>
      <c r="D387" s="13" t="inlineStr">
        <is>
          <t>Belize</t>
        </is>
      </c>
      <c r="E387" s="13" t="inlineStr">
        <is>
          <t>Ultraw</t>
        </is>
      </c>
      <c r="F387" s="13" t="inlineStr">
        <is>
          <t>https://ultraw.bz/</t>
        </is>
      </c>
      <c r="G387" s="13" t="inlineStr">
        <is>
          <t>PROBED - VIABLE</t>
        </is>
      </c>
      <c r="H387" s="13" t="inlineStr">
        <is>
          <t>TIER_1B</t>
        </is>
      </c>
      <c r="I387" s="13" t="inlineStr">
        <is>
          <t>low</t>
        </is>
      </c>
      <c r="J387" s="13" t="n">
        <v>60</v>
      </c>
      <c r="K387" s="13" t="inlineStr">
        <is>
          <t>/wp-json/wc/store/v1/products</t>
        </is>
      </c>
      <c r="L387" s="13" t="inlineStr">
        <is>
          <t>GET /wp-json/wc/store/v1/products?category=dairy-and-eggs -&gt; 200, 11.3KB JSON. Sample: 'Hershey's Kisses Milk Chocolate 1.55 oz' BZD 3.00 (price 300 minor units). Category counts via /wp-json/wc/store/v1/products/categories: Groceries &amp; Supermarket 408, Pantry Staples 302, Dairy &amp; Eggs 48, Beverages (Non-Alcoholic) 33, Snacks &amp; Sweets 16; fresh produce/meat/bakery categories exist but each shows only 1-2 items (thin).</t>
        </is>
      </c>
      <c r="M387" s="13" t="inlineStr">
        <is>
          <t>ACCEPT</t>
        </is>
      </c>
      <c r="N387" s="13" t="inlineStr">
        <is>
          <t>not scored</t>
        </is>
      </c>
      <c r="O387" s="13" t="inlineStr"/>
      <c r="P387" s="13" t="inlineStr">
        <is>
          <t>Custom</t>
        </is>
      </c>
      <c r="Q387" s="13" t="inlineStr">
        <is>
          <t>BZD</t>
        </is>
      </c>
      <c r="R387" s="13" t="inlineStr">
        <is>
          <t>-</t>
        </is>
      </c>
      <c r="S387" s="13" t="inlineStr">
        <is>
          <t>-</t>
        </is>
      </c>
      <c r="T387" s="13" t="inlineStr">
        <is>
          <t>STRONG: BZD prices across groceries, multi-vendor (Super Buy, Caribbean Cellars).</t>
        </is>
      </c>
      <c r="U387" s="13" t="inlineStr">
        <is>
          <t>-</t>
        </is>
      </c>
      <c r="V387" s="13" t="inlineStr">
        <is>
          <t>P1</t>
        </is>
      </c>
    </row>
    <row r="388">
      <c r="A388" s="13" t="inlineStr">
        <is>
          <t>lac</t>
        </is>
      </c>
      <c r="B388" s="13" t="inlineStr">
        <is>
          <t>belize</t>
        </is>
      </c>
      <c r="C388" s="13" t="inlineStr">
        <is>
          <t>BLZ</t>
        </is>
      </c>
      <c r="D388" s="13" t="inlineStr">
        <is>
          <t>Belize</t>
        </is>
      </c>
      <c r="E388" s="13" t="inlineStr">
        <is>
          <t>Ultraw</t>
        </is>
      </c>
      <c r="F388" s="13" t="inlineStr">
        <is>
          <t>https://ultraw.bz/</t>
        </is>
      </c>
      <c r="G388" s="13" t="inlineStr">
        <is>
          <t>PROBED - VIABLE</t>
        </is>
      </c>
      <c r="H388" s="13" t="inlineStr">
        <is>
          <t>TIER_1B</t>
        </is>
      </c>
      <c r="I388" s="13" t="inlineStr">
        <is>
          <t>low</t>
        </is>
      </c>
      <c r="J388" s="13" t="n">
        <v>60</v>
      </c>
      <c r="K388" s="13" t="inlineStr">
        <is>
          <t>/wp-json/wc/store/v1/products</t>
        </is>
      </c>
      <c r="L388" s="13" t="inlineStr">
        <is>
          <t>GET /wp-json/wc/store/v1/products?category=dairy-and-eggs -&gt; 200, 11.3KB JSON. Sample: 'Hershey's Kisses Milk Chocolate 1.55 oz' BZD 3.00 (price 300 minor units). Category counts via /wp-json/wc/store/v1/products/categories: Groceries &amp; Supermarket 408, Pantry Staples 302, Dairy &amp; Eggs 48, Beverages (Non-Alcoholic) 33, Snacks &amp; Sweets 16; fresh produce/meat/bakery categories exist but each shows only 1-2 items (thin).</t>
        </is>
      </c>
      <c r="M388" s="13" t="inlineStr">
        <is>
          <t>ACCEPT</t>
        </is>
      </c>
      <c r="N388" s="13" t="inlineStr">
        <is>
          <t>not scored</t>
        </is>
      </c>
      <c r="O388" s="13" t="inlineStr"/>
      <c r="P388" s="13" t="inlineStr">
        <is>
          <t>Custom</t>
        </is>
      </c>
      <c r="Q388" s="13" t="inlineStr">
        <is>
          <t>BZD</t>
        </is>
      </c>
      <c r="R388" s="13" t="inlineStr">
        <is>
          <t>-</t>
        </is>
      </c>
      <c r="S388" s="13" t="inlineStr">
        <is>
          <t>-</t>
        </is>
      </c>
      <c r="T388" s="13" t="inlineStr">
        <is>
          <t>BZD prices, multi-vendor including Super Buy and Caribbean Cellars.</t>
        </is>
      </c>
      <c r="U388" s="13" t="inlineStr">
        <is>
          <t>-</t>
        </is>
      </c>
      <c r="V388" s="13" t="inlineStr">
        <is>
          <t>P2</t>
        </is>
      </c>
    </row>
    <row r="389">
      <c r="A389" s="13" t="inlineStr">
        <is>
          <t>lac</t>
        </is>
      </c>
      <c r="B389" s="13" t="inlineStr">
        <is>
          <t>bolivia</t>
        </is>
      </c>
      <c r="C389" s="13" t="inlineStr">
        <is>
          <t>BOL</t>
        </is>
      </c>
      <c r="D389" s="13" t="inlineStr">
        <is>
          <t>Bolivia</t>
        </is>
      </c>
      <c r="E389" s="13" t="inlineStr">
        <is>
          <t>Mercagi Bolivia store directory</t>
        </is>
      </c>
      <c r="F389" s="13" t="inlineStr">
        <is>
          <t>https://mercagi.com/blog/tiendas-online-en-bolivia/</t>
        </is>
      </c>
      <c r="G389" s="13" t="inlineStr">
        <is>
          <t>PROBED - SKIP</t>
        </is>
      </c>
      <c r="H389" s="13" t="inlineStr">
        <is>
          <t>SKIP</t>
        </is>
      </c>
      <c r="I389" s="13" t="inlineStr">
        <is>
          <t>high</t>
        </is>
      </c>
      <c r="J389" s="13" t="n">
        <v>0</v>
      </c>
      <c r="K389" s="13" t="inlineStr"/>
      <c r="L389" s="13" t="inlineStr">
        <is>
          <t>Not probed as a source — CSV itself flags this as a curated directory/blog post (Verdict: INDEX), not a retailer.</t>
        </is>
      </c>
      <c r="M389" s="13" t="inlineStr">
        <is>
          <t>INDEX</t>
        </is>
      </c>
      <c r="N389" s="13" t="inlineStr">
        <is>
          <t>not scored</t>
        </is>
      </c>
      <c r="O389" s="13" t="inlineStr"/>
      <c r="P389" s="13" t="inlineStr">
        <is>
          <t>Directory</t>
        </is>
      </c>
      <c r="Q389" s="13" t="inlineStr"/>
      <c r="R389" s="13" t="inlineStr">
        <is>
          <t>-</t>
        </is>
      </c>
      <c r="S389" s="13" t="inlineStr">
        <is>
          <t>-</t>
        </is>
      </c>
      <c r="T389" s="13" t="inlineStr">
        <is>
          <t>Curated directory of Bolivian online stores by sector including supermarkets, with payment and delivery notes. SOURCING INDEX.</t>
        </is>
      </c>
      <c r="U389" s="13" t="inlineStr">
        <is>
          <t>-</t>
        </is>
      </c>
      <c r="V389" s="13" t="inlineStr">
        <is>
          <t>P4</t>
        </is>
      </c>
    </row>
    <row r="390">
      <c r="A390" s="13" t="inlineStr">
        <is>
          <t>lac</t>
        </is>
      </c>
      <c r="B390" s="13" t="inlineStr">
        <is>
          <t>bolivia</t>
        </is>
      </c>
      <c r="C390" s="13" t="inlineStr">
        <is>
          <t>BOL</t>
        </is>
      </c>
      <c r="D390" s="13" t="inlineStr">
        <is>
          <t>Bolivia</t>
        </is>
      </c>
      <c r="E390" s="13" t="inlineStr">
        <is>
          <t>PedidosYa Market Bolivia</t>
        </is>
      </c>
      <c r="F390" s="13" t="inlineStr">
        <is>
          <t>https://www.pedidosya.com.bo/</t>
        </is>
      </c>
      <c r="G390" s="13" t="inlineStr">
        <is>
          <t>PROBED - SKIP</t>
        </is>
      </c>
      <c r="H390" s="13" t="inlineStr">
        <is>
          <t>SKIP</t>
        </is>
      </c>
      <c r="I390" s="13" t="inlineStr">
        <is>
          <t>high</t>
        </is>
      </c>
      <c r="J390" s="13" t="n">
        <v>0</v>
      </c>
      <c r="K390" s="13" t="inlineStr"/>
      <c r="L390" s="13" t="inlineStr">
        <is>
          <t>curl -&gt; HTTP 403, header cf-mitigated: challenge + server: cloudflare + Turnstile-style critical-ch headers. Matches the documented Cloudflare interactive-challenge signature (known_blockers.md); not pursued via Playwright per the 'stop at both-403' / 'don't deploy as a side task' guidance for this signature class.</t>
        </is>
      </c>
      <c r="M390" s="13" t="inlineStr">
        <is>
          <t>ACCEPT</t>
        </is>
      </c>
      <c r="N390" s="13" t="inlineStr">
        <is>
          <t>not scored</t>
        </is>
      </c>
      <c r="O390" s="13" t="inlineStr"/>
      <c r="P390" s="13" t="inlineStr">
        <is>
          <t>Custom</t>
        </is>
      </c>
      <c r="Q390" s="13" t="inlineStr">
        <is>
          <t>BOB</t>
        </is>
      </c>
      <c r="R390" s="13" t="inlineStr">
        <is>
          <t>-</t>
        </is>
      </c>
      <c r="S390" s="13" t="inlineStr">
        <is>
          <t>-</t>
        </is>
      </c>
      <c r="T390" s="13" t="inlineStr">
        <is>
          <t>Largest digital supermarket in Bolivia: 1,000+ sqm dark store on Av. Costanera, La Paz, 5,000 SKUs rising to a stated 10,000 target, covering 85-90% of the city.</t>
        </is>
      </c>
      <c r="U390" s="13" t="inlineStr">
        <is>
          <t>-</t>
        </is>
      </c>
      <c r="V390" s="13" t="inlineStr">
        <is>
          <t>P4</t>
        </is>
      </c>
    </row>
    <row r="391">
      <c r="A391" s="13" t="inlineStr">
        <is>
          <t>lac</t>
        </is>
      </c>
      <c r="B391" s="13" t="inlineStr">
        <is>
          <t>bolivia</t>
        </is>
      </c>
      <c r="C391" s="13" t="inlineStr">
        <is>
          <t>BOL</t>
        </is>
      </c>
      <c r="D391" s="13" t="inlineStr">
        <is>
          <t>Bolivia</t>
        </is>
      </c>
      <c r="E391" s="13" t="inlineStr">
        <is>
          <t>Amarket</t>
        </is>
      </c>
      <c r="F391" s="13" t="inlineStr">
        <is>
          <t>https://amarket.com.bo/</t>
        </is>
      </c>
      <c r="G391" s="13" t="inlineStr">
        <is>
          <t>PROBED - VIABLE</t>
        </is>
      </c>
      <c r="H391" s="13" t="inlineStr">
        <is>
          <t>TIER_1B</t>
        </is>
      </c>
      <c r="I391" s="13" t="inlineStr">
        <is>
          <t>low</t>
        </is>
      </c>
      <c r="J391" s="13" t="n">
        <v>50</v>
      </c>
      <c r="K391" s="13" t="inlineStr">
        <is>
          <t>/products.json?limit=250</t>
        </is>
      </c>
      <c r="L391" s="13" t="inlineStr">
        <is>
          <t>GET /products.json?limit=250 -&gt; 200, 326KB JSON, 250 products. Sample: 'Viva 50 Bs Tarjeta Teléfono X Unidad' Bs50.00 (phone card, confirms platform; general-merchandise-leaning catalog).</t>
        </is>
      </c>
      <c r="M391" s="13" t="inlineStr">
        <is>
          <t>SUSPECT</t>
        </is>
      </c>
      <c r="N391" s="13" t="inlineStr">
        <is>
          <t>not scored</t>
        </is>
      </c>
      <c r="O391" s="13" t="inlineStr"/>
      <c r="P391" s="13" t="inlineStr">
        <is>
          <t>Custom</t>
        </is>
      </c>
      <c r="Q391" s="13" t="inlineStr">
        <is>
          <t>BOB</t>
        </is>
      </c>
      <c r="R391" s="13" t="inlineStr">
        <is>
          <t>-</t>
        </is>
      </c>
      <c r="S391" s="13" t="inlineStr">
        <is>
          <t>-</t>
        </is>
      </c>
      <c r="T391" s="13" t="inlineStr">
        <is>
          <t>Listed among Bolivia's main supermarket e-commerce sites; verify catalogue.</t>
        </is>
      </c>
      <c r="U391" s="13" t="inlineStr">
        <is>
          <t>-</t>
        </is>
      </c>
      <c r="V391" s="13" t="inlineStr">
        <is>
          <t>P4</t>
        </is>
      </c>
    </row>
    <row r="392">
      <c r="A392" s="13" t="inlineStr">
        <is>
          <t>lac</t>
        </is>
      </c>
      <c r="B392" s="13" t="inlineStr">
        <is>
          <t>bolivia</t>
        </is>
      </c>
      <c r="C392" s="13" t="inlineStr">
        <is>
          <t>BOL</t>
        </is>
      </c>
      <c r="D392" s="13" t="inlineStr">
        <is>
          <t>Bolivia</t>
        </is>
      </c>
      <c r="E392" s="13" t="inlineStr">
        <is>
          <t>Compro.bo</t>
        </is>
      </c>
      <c r="F392" s="13" t="inlineStr">
        <is>
          <t>https://compro.bo/</t>
        </is>
      </c>
      <c r="G392" s="13" t="inlineStr">
        <is>
          <t>PROBED - VIABLE</t>
        </is>
      </c>
      <c r="H392" s="13" t="inlineStr">
        <is>
          <t>TIER_1B</t>
        </is>
      </c>
      <c r="I392" s="13" t="inlineStr">
        <is>
          <t>low</t>
        </is>
      </c>
      <c r="J392" s="13" t="n">
        <v>45</v>
      </c>
      <c r="K392" s="13" t="inlineStr">
        <is>
          <t>/products.json?limit=250</t>
        </is>
      </c>
      <c r="L392" s="13" t="inlineStr">
        <is>
          <t>GET /products.json?limit=250 -&gt; 200, 220KB JSON, 250 products. Sample: 'SOBAQUERA 3 PLUMAS 200ML' Bs10.00 (deodorant; CSV notes a 38-category tree focused on national/domestic production).</t>
        </is>
      </c>
      <c r="M392" s="13" t="inlineStr">
        <is>
          <t>ACCEPT</t>
        </is>
      </c>
      <c r="N392" s="13" t="inlineStr">
        <is>
          <t>not scored</t>
        </is>
      </c>
      <c r="O392" s="13" t="inlineStr"/>
      <c r="P392" s="13" t="inlineStr">
        <is>
          <t>Custom</t>
        </is>
      </c>
      <c r="Q392" s="13" t="inlineStr">
        <is>
          <t>BOB</t>
        </is>
      </c>
      <c r="R392" s="13" t="inlineStr">
        <is>
          <t>-</t>
        </is>
      </c>
      <c r="S392" s="13" t="inlineStr">
        <is>
          <t>-</t>
        </is>
      </c>
      <c r="T392" s="13" t="inlineStr">
        <is>
          <t>STRONG: Bs prices with a 38-category tree focused on NATIONAL production. Useful as a domestic-goods counterpart to import-heavy chains.</t>
        </is>
      </c>
      <c r="U392" s="13" t="inlineStr">
        <is>
          <t>-</t>
        </is>
      </c>
      <c r="V392" s="13" t="inlineStr">
        <is>
          <t>P4</t>
        </is>
      </c>
    </row>
    <row r="393">
      <c r="A393" s="13" t="inlineStr">
        <is>
          <t>lac</t>
        </is>
      </c>
      <c r="B393" s="13" t="inlineStr">
        <is>
          <t>bolivia</t>
        </is>
      </c>
      <c r="C393" s="13" t="inlineStr">
        <is>
          <t>BOL</t>
        </is>
      </c>
      <c r="D393" s="13" t="inlineStr">
        <is>
          <t>Bolivia</t>
        </is>
      </c>
      <c r="E393" s="13" t="inlineStr">
        <is>
          <t>Farmacorp</t>
        </is>
      </c>
      <c r="F393" s="13" t="inlineStr">
        <is>
          <t>https://www.farmacorp.com/</t>
        </is>
      </c>
      <c r="G393" s="13" t="inlineStr">
        <is>
          <t>PROBED - VIABLE</t>
        </is>
      </c>
      <c r="H393" s="13" t="inlineStr">
        <is>
          <t>TIER_1B</t>
        </is>
      </c>
      <c r="I393" s="13" t="inlineStr">
        <is>
          <t>low</t>
        </is>
      </c>
      <c r="J393" s="13" t="n">
        <v>15</v>
      </c>
      <c r="K393" s="13" t="inlineStr">
        <is>
          <t>/products.json?limit=250</t>
        </is>
      </c>
      <c r="L393" s="13" t="inlineStr">
        <is>
          <t>GET /products.json?limit=5 -&gt; 200, 11.8KB JSON, 5 products (Shopify, not VTEX as CSV claimed). Root page HTML also shows SSR prices e.g. Bs370,00. Sample product: 'Stickers Para Uñas Essence So Cherry Happy' Bs28.30.</t>
        </is>
      </c>
      <c r="M393" s="13" t="inlineStr">
        <is>
          <t>ACCEPT</t>
        </is>
      </c>
      <c r="N393" s="13" t="inlineStr">
        <is>
          <t>not scored</t>
        </is>
      </c>
      <c r="O393" s="13" t="inlineStr"/>
      <c r="P393" s="13" t="inlineStr">
        <is>
          <t>VTEX</t>
        </is>
      </c>
      <c r="Q393" s="13" t="inlineStr">
        <is>
          <t>BOB</t>
        </is>
      </c>
      <c r="R393" s="13" t="inlineStr">
        <is>
          <t>-</t>
        </is>
      </c>
      <c r="S393" s="13" t="inlineStr">
        <is>
          <t>-</t>
        </is>
      </c>
      <c r="T393" s="13" t="inlineStr">
        <is>
          <t>Described as having the best logistics in Bolivia, 9 capitals, 24/7. VTEX, so the catalogue API should work directly.</t>
        </is>
      </c>
      <c r="U393" s="13" t="inlineStr">
        <is>
          <t>-</t>
        </is>
      </c>
      <c r="V393" s="13" t="inlineStr">
        <is>
          <t>P4</t>
        </is>
      </c>
    </row>
    <row r="394">
      <c r="A394" s="13" t="inlineStr">
        <is>
          <t>lac</t>
        </is>
      </c>
      <c r="B394" s="13" t="inlineStr">
        <is>
          <t>bolivia</t>
        </is>
      </c>
      <c r="C394" s="13" t="inlineStr">
        <is>
          <t>BOL</t>
        </is>
      </c>
      <c r="D394" s="13" t="inlineStr">
        <is>
          <t>Bolivia</t>
        </is>
      </c>
      <c r="E394" s="13" t="inlineStr">
        <is>
          <t>Fidalga</t>
        </is>
      </c>
      <c r="F394" s="13" t="inlineStr">
        <is>
          <t>https://www.fidalga.com/</t>
        </is>
      </c>
      <c r="G394" s="13" t="inlineStr">
        <is>
          <t>PROBED - VIABLE</t>
        </is>
      </c>
      <c r="H394" s="13" t="inlineStr">
        <is>
          <t>TIER_1B</t>
        </is>
      </c>
      <c r="I394" s="13" t="inlineStr">
        <is>
          <t>low</t>
        </is>
      </c>
      <c r="J394" s="13" t="n">
        <v>110</v>
      </c>
      <c r="K394" s="13" t="inlineStr">
        <is>
          <t>/products.json?limit=250</t>
        </is>
      </c>
      <c r="L394" s="13" t="inlineStr">
        <is>
          <t>GET /products.json?limit=250 -&gt; 200, 296KB JSON, 250 products. Sample: 'Lavandina Mr. Cloro 250 ml' Bs3.80. CSV also cites staple SKUs directly visible on-site: pan frances Bs0.90/unit, leche Pil 900ml Bs9.70, azucar 5kg Bs33.50.</t>
        </is>
      </c>
      <c r="M394" s="13" t="inlineStr">
        <is>
          <t>ACCEPT</t>
        </is>
      </c>
      <c r="N394" s="13" t="inlineStr">
        <is>
          <t>not scored</t>
        </is>
      </c>
      <c r="O394" s="13" t="inlineStr"/>
      <c r="P394" s="13" t="inlineStr">
        <is>
          <t>Custom</t>
        </is>
      </c>
      <c r="Q394" s="13" t="inlineStr">
        <is>
          <t>BOB</t>
        </is>
      </c>
      <c r="R394" s="13" t="inlineStr">
        <is>
          <t>-</t>
        </is>
      </c>
      <c r="S394" s="13" t="inlineStr">
        <is>
          <t>-</t>
        </is>
      </c>
      <c r="T394" s="13" t="inlineStr">
        <is>
          <t>STRONG: Bs prices across a full supermarket taxonomy. Includes local staples with unit prices (pan frances Bs0.90/unit, leche Pil 900ml Bs9.70, azucar 5kg Bs33.50) - excellent staple coverage.</t>
        </is>
      </c>
      <c r="U394" s="13" t="inlineStr">
        <is>
          <t>-</t>
        </is>
      </c>
      <c r="V394" s="13" t="inlineStr">
        <is>
          <t>P4</t>
        </is>
      </c>
    </row>
    <row r="395">
      <c r="A395" s="13" t="inlineStr">
        <is>
          <t>lac</t>
        </is>
      </c>
      <c r="B395" s="13" t="inlineStr">
        <is>
          <t>bolivia</t>
        </is>
      </c>
      <c r="C395" s="13" t="inlineStr">
        <is>
          <t>BOL</t>
        </is>
      </c>
      <c r="D395" s="13" t="inlineStr">
        <is>
          <t>Bolivia</t>
        </is>
      </c>
      <c r="E395" s="13" t="inlineStr">
        <is>
          <t>Hipermaxi</t>
        </is>
      </c>
      <c r="F395" s="13" t="inlineStr">
        <is>
          <t>https://www.hipermaxi.com/</t>
        </is>
      </c>
      <c r="G395" s="13" t="inlineStr">
        <is>
          <t>PROBED - VIABLE</t>
        </is>
      </c>
      <c r="H395" s="13" t="inlineStr">
        <is>
          <t>TIER_1A</t>
        </is>
      </c>
      <c r="I395" s="13" t="inlineStr">
        <is>
          <t>low</t>
        </is>
      </c>
      <c r="J395" s="13" t="n">
        <v>160</v>
      </c>
      <c r="K395" s="13" t="inlineStr">
        <is>
          <t>SSR HTML (no API needed)</t>
        </is>
      </c>
      <c r="L395" s="13" t="inlineStr">
        <is>
          <t>curl 200/791KB, Next.js SSR. Prices server-rendered directly in HTML with schema-labelled blocks: 'Carne Molida de Segunda' (ground beef) Bs 40.50; 'Coca Cola Original 3 L' Bs 17.10. Full meat + beverage + grocery categories visible.</t>
        </is>
      </c>
      <c r="M395" s="13" t="inlineStr">
        <is>
          <t>ACCEPT</t>
        </is>
      </c>
      <c r="N395" s="13" t="inlineStr">
        <is>
          <t>not scored</t>
        </is>
      </c>
      <c r="O395" s="13" t="inlineStr"/>
      <c r="P395" s="13" t="inlineStr">
        <is>
          <t>Custom</t>
        </is>
      </c>
      <c r="Q395" s="13" t="inlineStr">
        <is>
          <t>BOB</t>
        </is>
      </c>
      <c r="R395" s="13" t="inlineStr">
        <is>
          <t>-</t>
        </is>
      </c>
      <c r="S395" s="13" t="inlineStr">
        <is>
          <t>-</t>
        </is>
      </c>
      <c r="T395" s="13" t="inlineStr">
        <is>
          <t>Largest Bolivian supermarket chain; worth re-confirming.</t>
        </is>
      </c>
      <c r="U395" s="13" t="inlineStr">
        <is>
          <t>-</t>
        </is>
      </c>
      <c r="V395" s="13" t="inlineStr">
        <is>
          <t>P4</t>
        </is>
      </c>
    </row>
    <row r="396">
      <c r="A396" s="13" t="inlineStr">
        <is>
          <t>lac</t>
        </is>
      </c>
      <c r="B396" s="13" t="inlineStr">
        <is>
          <t>barbados</t>
        </is>
      </c>
      <c r="C396" s="13" t="inlineStr">
        <is>
          <t>BRB</t>
        </is>
      </c>
      <c r="D396" s="13" t="inlineStr">
        <is>
          <t>Barbados</t>
        </is>
      </c>
      <c r="E396" s="13" t="inlineStr">
        <is>
          <t>Massy Stores Barbados</t>
        </is>
      </c>
      <c r="F396" s="13" t="inlineStr">
        <is>
          <t>https://massystoresbb.com/</t>
        </is>
      </c>
      <c r="G396" s="13" t="inlineStr">
        <is>
          <t>NOT PROBED - deduped, already onboarded, or time-boxed</t>
        </is>
      </c>
      <c r="H396" s="13" t="inlineStr"/>
      <c r="I396" s="13" t="inlineStr"/>
      <c r="J396" s="13" t="inlineStr"/>
      <c r="K396" s="13" t="inlineStr"/>
      <c r="L396" s="13" t="inlineStr"/>
      <c r="M396" s="13" t="inlineStr">
        <is>
          <t>SUSPECT</t>
        </is>
      </c>
      <c r="N396" s="13" t="inlineStr">
        <is>
          <t>not scored</t>
        </is>
      </c>
      <c r="O396" s="13" t="inlineStr"/>
      <c r="P396" s="13" t="inlineStr">
        <is>
          <t>Custom</t>
        </is>
      </c>
      <c r="Q396" s="13" t="inlineStr">
        <is>
          <t>BBD</t>
        </is>
      </c>
      <c r="R396" s="13" t="inlineStr">
        <is>
          <t>-</t>
        </is>
      </c>
      <c r="S396" s="13" t="inlineStr">
        <is>
          <t>-</t>
        </is>
      </c>
      <c r="T396" s="13" t="inlineStr">
        <is>
          <t>Chain is real and offers island-wide delivery (Bds$15 flat), but the corporate site links out to a separate shop platform. Resolve the actual shop URL first.</t>
        </is>
      </c>
      <c r="U396" s="13" t="inlineStr">
        <is>
          <t>-</t>
        </is>
      </c>
      <c r="V396" s="13" t="inlineStr">
        <is>
          <t>P2</t>
        </is>
      </c>
    </row>
    <row r="397">
      <c r="A397" s="13" t="inlineStr">
        <is>
          <t>lac</t>
        </is>
      </c>
      <c r="B397" s="13" t="inlineStr">
        <is>
          <t>barbados</t>
        </is>
      </c>
      <c r="C397" s="13" t="inlineStr">
        <is>
          <t>BRB</t>
        </is>
      </c>
      <c r="D397" s="13" t="inlineStr">
        <is>
          <t>Barbados</t>
        </is>
      </c>
      <c r="E397" s="13" t="inlineStr">
        <is>
          <t>PriceWhirl</t>
        </is>
      </c>
      <c r="F397" s="13" t="inlineStr">
        <is>
          <t>http://www.pricewhirl.com/</t>
        </is>
      </c>
      <c r="G397" s="13" t="inlineStr">
        <is>
          <t>PROBED - SKIP</t>
        </is>
      </c>
      <c r="H397" s="13" t="inlineStr">
        <is>
          <t>SKIP</t>
        </is>
      </c>
      <c r="I397" s="13" t="inlineStr">
        <is>
          <t>high</t>
        </is>
      </c>
      <c r="J397" s="13" t="n">
        <v>0</v>
      </c>
      <c r="K397" s="13" t="inlineStr"/>
      <c r="L397" s="13" t="inlineStr">
        <is>
          <t>curl --max-time 20/25 timed out twice (exit 28, 0 bytes) on both http and https. Site appears offline or DNS/host unreachable.</t>
        </is>
      </c>
      <c r="M397" s="13" t="inlineStr">
        <is>
          <t>SUSPECT</t>
        </is>
      </c>
      <c r="N397" s="13" t="inlineStr">
        <is>
          <t>not scored</t>
        </is>
      </c>
      <c r="O397" s="13" t="inlineStr"/>
      <c r="P397" s="13" t="inlineStr">
        <is>
          <t>Custom</t>
        </is>
      </c>
      <c r="Q397" s="13" t="inlineStr">
        <is>
          <t>BBD</t>
        </is>
      </c>
      <c r="R397" s="13" t="inlineStr">
        <is>
          <t>-</t>
        </is>
      </c>
      <c r="S397" s="13" t="inlineStr">
        <is>
          <t>-</t>
        </is>
      </c>
      <c r="T397" s="13" t="inlineStr">
        <is>
          <t>Personal-shopper model launched 2017; prices depend on partner retailers. Verify a catalogue exists.</t>
        </is>
      </c>
      <c r="U397" s="13" t="inlineStr">
        <is>
          <t>-</t>
        </is>
      </c>
      <c r="V397" s="13" t="inlineStr">
        <is>
          <t>P2</t>
        </is>
      </c>
    </row>
    <row r="398">
      <c r="A398" s="13" t="inlineStr">
        <is>
          <t>lac</t>
        </is>
      </c>
      <c r="B398" s="13" t="inlineStr">
        <is>
          <t>barbados</t>
        </is>
      </c>
      <c r="C398" s="13" t="inlineStr">
        <is>
          <t>BRB</t>
        </is>
      </c>
      <c r="D398" s="13" t="inlineStr">
        <is>
          <t>Barbados</t>
        </is>
      </c>
      <c r="E398" s="13" t="inlineStr">
        <is>
          <t>Aone Supermarkets</t>
        </is>
      </c>
      <c r="F398" s="13" t="inlineStr">
        <is>
          <t>https://aonesupermarkets.com/collections/online-shopping</t>
        </is>
      </c>
      <c r="G398" s="13" t="inlineStr">
        <is>
          <t>PROBED - VIABLE</t>
        </is>
      </c>
      <c r="H398" s="13" t="inlineStr">
        <is>
          <t>TIER_1B</t>
        </is>
      </c>
      <c r="I398" s="13" t="inlineStr">
        <is>
          <t>low</t>
        </is>
      </c>
      <c r="J398" s="13" t="n">
        <v>60</v>
      </c>
      <c r="K398" s="13" t="inlineStr">
        <is>
          <t>/products.json?limit=250</t>
        </is>
      </c>
      <c r="L398" s="13" t="inlineStr">
        <is>
          <t>GET /products.json?limit=250 -&gt; 200, 305KB JSON, 250 products. Sample: 'A1 Cookie Croissants' BBD 7.50; 'Hawaiian Punch Pineapple Plunge 1gal' BBD 22.85</t>
        </is>
      </c>
      <c r="M398" s="13" t="inlineStr">
        <is>
          <t>ACCEPT</t>
        </is>
      </c>
      <c r="N398" s="13" t="inlineStr">
        <is>
          <t>not scored</t>
        </is>
      </c>
      <c r="O398" s="13" t="inlineStr"/>
      <c r="P398" s="13" t="inlineStr">
        <is>
          <t>Shopify</t>
        </is>
      </c>
      <c r="Q398" s="13" t="inlineStr">
        <is>
          <t>BBD</t>
        </is>
      </c>
      <c r="R398" s="13" t="inlineStr">
        <is>
          <t>-</t>
        </is>
      </c>
      <c r="S398" s="13" t="inlineStr">
        <is>
          <t>-</t>
        </is>
      </c>
      <c r="T398" s="13" t="inlineStr">
        <is>
          <t>STRONG: Shopify confirmed by /collections/ routing, so /products.json should return the full catalogue. BBD prices. Deep category taxonomy.</t>
        </is>
      </c>
      <c r="U398" s="13" t="inlineStr">
        <is>
          <t>-</t>
        </is>
      </c>
      <c r="V398" s="13" t="inlineStr">
        <is>
          <t>P2</t>
        </is>
      </c>
    </row>
    <row r="399">
      <c r="A399" s="13" t="inlineStr">
        <is>
          <t>lac</t>
        </is>
      </c>
      <c r="B399" s="13" t="inlineStr">
        <is>
          <t>barbados</t>
        </is>
      </c>
      <c r="C399" s="13" t="inlineStr">
        <is>
          <t>BRB</t>
        </is>
      </c>
      <c r="D399" s="13" t="inlineStr">
        <is>
          <t>Barbados</t>
        </is>
      </c>
      <c r="E399" s="13" t="inlineStr">
        <is>
          <t>PriceSmart Barbados</t>
        </is>
      </c>
      <c r="F399" s="13" t="inlineStr">
        <is>
          <t>https://www.pricesmart.com/en-BB/category/Groceries/G10D03</t>
        </is>
      </c>
      <c r="G399" s="13" t="inlineStr">
        <is>
          <t>PROBED - VIABLE</t>
        </is>
      </c>
      <c r="H399" s="13" t="inlineStr">
        <is>
          <t>TIER_2</t>
        </is>
      </c>
      <c r="I399" s="13" t="inlineStr">
        <is>
          <t>medium</t>
        </is>
      </c>
      <c r="J399" s="13" t="n">
        <v>90</v>
      </c>
      <c r="K399" s="13" t="inlineStr">
        <is>
          <t>POST /api/ct/getCategory (session-gated, Playwright only)</t>
        </is>
      </c>
      <c r="L399" s="13" t="inlineStr">
        <is>
          <t>curl: 200/383KB but Nuxt SPA shell, zero prices in raw HTML (only account/login form fields). Playwright render (8s wait): prices visible ($49.00-$399.99 range) and product names extracted via a[href*='/product/'] selector: 'Maeva Avocado Oil Spray 2 Units / 200 mL', 'Froot Loops Chocolate Flavored Cereal 878 g'. Internal API is POST https://www.pricesmart.com/api/ct/getCategory (not GET-replayable with curl; needs session state).</t>
        </is>
      </c>
      <c r="M399" s="13" t="inlineStr">
        <is>
          <t>ACCEPT</t>
        </is>
      </c>
      <c r="N399" s="13" t="inlineStr">
        <is>
          <t>not scored</t>
        </is>
      </c>
      <c r="O399" s="13" t="inlineStr"/>
      <c r="P399" s="13" t="inlineStr">
        <is>
          <t>Custom/Enterprise</t>
        </is>
      </c>
      <c r="Q399" s="13" t="inlineStr">
        <is>
          <t>BBD</t>
        </is>
      </c>
      <c r="R399" s="13" t="inlineStr">
        <is>
          <t>-</t>
        </is>
      </c>
      <c r="S399" s="13" t="inlineStr">
        <is>
          <t>-</t>
        </is>
      </c>
      <c r="T399" s="13" t="inlineStr">
        <is>
          <t>Live: 80 pages of grocery with BBD prices and stock status. Warehouse-club pack sizes - normalise per unit before comparing.</t>
        </is>
      </c>
      <c r="U399" s="13" t="inlineStr">
        <is>
          <t>-</t>
        </is>
      </c>
      <c r="V399" s="13" t="inlineStr">
        <is>
          <t>P2</t>
        </is>
      </c>
    </row>
    <row r="400">
      <c r="A400" s="13" t="inlineStr">
        <is>
          <t>lac</t>
        </is>
      </c>
      <c r="B400" s="13" t="inlineStr">
        <is>
          <t>guyana</t>
        </is>
      </c>
      <c r="C400" s="13" t="inlineStr">
        <is>
          <t>GUY</t>
        </is>
      </c>
      <c r="D400" s="13" t="inlineStr">
        <is>
          <t>Guyana</t>
        </is>
      </c>
      <c r="E400" s="13" t="inlineStr">
        <is>
          <t>CaribeEats - GuyFresh</t>
        </is>
      </c>
      <c r="F400" s="13" t="inlineStr">
        <is>
          <t>https://caribeeats.com/biz/guyfresh</t>
        </is>
      </c>
      <c r="G400" s="13" t="inlineStr">
        <is>
          <t>PROBED - SKIP</t>
        </is>
      </c>
      <c r="H400" s="13" t="inlineStr">
        <is>
          <t>SKIP</t>
        </is>
      </c>
      <c r="I400" s="13" t="inlineStr">
        <is>
          <t>high</t>
        </is>
      </c>
      <c r="J400" s="13" t="n">
        <v>0</v>
      </c>
      <c r="K400" s="13" t="inlineStr"/>
      <c r="L400" s="13" t="inlineStr">
        <is>
          <t>curl 200/58KB but React/Vue SPA shell with no product data in raw HTML. Guessed /api/biz/guyfresh -&gt; 404. Not escalated to Playwright network-sniff within budget given two other confirmed Guyana sources already in hand.</t>
        </is>
      </c>
      <c r="M400" s="13" t="inlineStr">
        <is>
          <t>SUSPECT</t>
        </is>
      </c>
      <c r="N400" s="13" t="inlineStr">
        <is>
          <t>not scored</t>
        </is>
      </c>
      <c r="O400" s="13" t="inlineStr"/>
      <c r="P400" s="13" t="inlineStr">
        <is>
          <t>Custom</t>
        </is>
      </c>
      <c r="Q400" s="13" t="inlineStr">
        <is>
          <t>GYD</t>
        </is>
      </c>
      <c r="R400" s="13" t="inlineStr">
        <is>
          <t>-</t>
        </is>
      </c>
      <c r="S400" s="13" t="inlineStr">
        <is>
          <t>-</t>
        </is>
      </c>
      <c r="T400" s="13" t="inlineStr">
        <is>
          <t>GYD-denominated storefront on a multi-country Caribbean platform. Note the platform also lists UK Leeds/London and USA locations - filter carefully to Guyana.</t>
        </is>
      </c>
      <c r="U400" s="13" t="inlineStr">
        <is>
          <t>-</t>
        </is>
      </c>
      <c r="V400" s="13" t="inlineStr">
        <is>
          <t>P2</t>
        </is>
      </c>
    </row>
    <row r="401">
      <c r="A401" s="13" t="inlineStr">
        <is>
          <t>lac</t>
        </is>
      </c>
      <c r="B401" s="13" t="inlineStr">
        <is>
          <t>guyana</t>
        </is>
      </c>
      <c r="C401" s="13" t="inlineStr">
        <is>
          <t>GUY</t>
        </is>
      </c>
      <c r="D401" s="13" t="inlineStr">
        <is>
          <t>Guyana</t>
        </is>
      </c>
      <c r="E401" s="13" t="inlineStr">
        <is>
          <t>ZIP.GY</t>
        </is>
      </c>
      <c r="F401" s="13" t="inlineStr">
        <is>
          <t>https://zip.gy/</t>
        </is>
      </c>
      <c r="G401" s="13" t="inlineStr">
        <is>
          <t>PROBED - SKIP</t>
        </is>
      </c>
      <c r="H401" s="13" t="inlineStr">
        <is>
          <t>SKIP</t>
        </is>
      </c>
      <c r="I401" s="13" t="inlineStr">
        <is>
          <t>high</t>
        </is>
      </c>
      <c r="J401" s="13" t="n">
        <v>0</v>
      </c>
      <c r="K401" s="13" t="inlineStr"/>
      <c r="L401" s="13" t="inlineStr">
        <is>
          <t>curl 200/73KB but single-bundle Vite/React SPA (assets/index-*.js), no server-rendered product data. Not escalated to Playwright within budget; CSV already flags catalogue depth as not visible without login.</t>
        </is>
      </c>
      <c r="M401" s="13" t="inlineStr">
        <is>
          <t>SUSPECT</t>
        </is>
      </c>
      <c r="N401" s="13" t="inlineStr">
        <is>
          <t>not scored</t>
        </is>
      </c>
      <c r="O401" s="13" t="inlineStr"/>
      <c r="P401" s="13" t="inlineStr">
        <is>
          <t>Custom</t>
        </is>
      </c>
      <c r="Q401" s="13" t="inlineStr">
        <is>
          <t>GYD</t>
        </is>
      </c>
      <c r="R401" s="13" t="inlineStr">
        <is>
          <t>-</t>
        </is>
      </c>
      <c r="S401" s="13" t="inlineStr">
        <is>
          <t>-</t>
        </is>
      </c>
      <c r="T401" s="13" t="inlineStr">
        <is>
          <t>Live Guyanese super-app with a groceries vertical sourcing from Bourda and Stabroek markets. Catalogue depth not visible without login.</t>
        </is>
      </c>
      <c r="U401" s="13" t="inlineStr">
        <is>
          <t>-</t>
        </is>
      </c>
      <c r="V401" s="13" t="inlineStr">
        <is>
          <t>P2</t>
        </is>
      </c>
    </row>
    <row r="402">
      <c r="A402" s="13" t="inlineStr">
        <is>
          <t>lac</t>
        </is>
      </c>
      <c r="B402" s="13" t="inlineStr">
        <is>
          <t>guyana</t>
        </is>
      </c>
      <c r="C402" s="13" t="inlineStr">
        <is>
          <t>GUY</t>
        </is>
      </c>
      <c r="D402" s="13" t="inlineStr">
        <is>
          <t>Guyana</t>
        </is>
      </c>
      <c r="E402" s="13" t="inlineStr">
        <is>
          <t>Guystar</t>
        </is>
      </c>
      <c r="F402" s="13" t="inlineStr">
        <is>
          <t>https://guystar.gy/index.php?main_page=index&amp;cPath=12</t>
        </is>
      </c>
      <c r="G402" s="13" t="inlineStr">
        <is>
          <t>PROBED - VIABLE</t>
        </is>
      </c>
      <c r="H402" s="13" t="inlineStr">
        <is>
          <t>TIER_1A</t>
        </is>
      </c>
      <c r="I402" s="13" t="inlineStr">
        <is>
          <t>medium</t>
        </is>
      </c>
      <c r="J402" s="13" t="n">
        <v>140</v>
      </c>
      <c r="K402" s="13" t="inlineStr">
        <is>
          <t>index.php?main_page=product_info&amp;products_id=N (Zen Cart cPath category walk)</t>
        </is>
      </c>
      <c r="L402" s="13" t="inlineStr">
        <is>
          <t>curl through 3 levels of Zen Cart category tree (cPath=12 -&gt; 12_261 -&gt; 12_261_262) to reach product ids, then GET index.php?main_page=product_info&amp;products_id=6563 -&gt; 200, SSR price block: 'Cellophane Bean Thread Noodles Roland 250g' GY$995 (GY$9.95). Meta keywords confirm deep meat coverage (beef, prime, steaks, pork, ham, chicken, seafood, lamb, turkey, sausage).</t>
        </is>
      </c>
      <c r="M402" s="13" t="inlineStr">
        <is>
          <t>ACCEPT</t>
        </is>
      </c>
      <c r="N402" s="13" t="inlineStr">
        <is>
          <t>not scored</t>
        </is>
      </c>
      <c r="O402" s="13" t="inlineStr"/>
      <c r="P402" s="13" t="inlineStr">
        <is>
          <t>Custom (Zen Cart)</t>
        </is>
      </c>
      <c r="Q402" s="13" t="inlineStr">
        <is>
          <t>GYD</t>
        </is>
      </c>
      <c r="R402" s="13" t="inlineStr">
        <is>
          <t>-</t>
        </is>
      </c>
      <c r="S402" s="13" t="inlineStr">
        <is>
          <t>-</t>
        </is>
      </c>
      <c r="T402" s="13" t="inlineStr">
        <is>
          <t>STRONG: GY$ prices with per-kg meat and per-unit produce (chicken breast GY$2,895/kg, limes GY$265/ea). Zen Cart structure with clean cPath category URLs - very scrapable.</t>
        </is>
      </c>
      <c r="U402" s="13" t="inlineStr">
        <is>
          <t>-</t>
        </is>
      </c>
      <c r="V402" s="13" t="inlineStr">
        <is>
          <t>P2</t>
        </is>
      </c>
    </row>
    <row r="403">
      <c r="A403" s="13" t="inlineStr">
        <is>
          <t>lac</t>
        </is>
      </c>
      <c r="B403" s="13" t="inlineStr">
        <is>
          <t>guyana</t>
        </is>
      </c>
      <c r="C403" s="13" t="inlineStr">
        <is>
          <t>GUY</t>
        </is>
      </c>
      <c r="D403" s="13" t="inlineStr">
        <is>
          <t>Guyana</t>
        </is>
      </c>
      <c r="E403" s="13" t="inlineStr">
        <is>
          <t>gtPlaza</t>
        </is>
      </c>
      <c r="F403" s="13" t="inlineStr">
        <is>
          <t>https://gtplaza.com/</t>
        </is>
      </c>
      <c r="G403" s="13" t="inlineStr">
        <is>
          <t>PROBED - VIABLE</t>
        </is>
      </c>
      <c r="H403" s="13" t="inlineStr">
        <is>
          <t>TIER_1A</t>
        </is>
      </c>
      <c r="I403" s="13" t="inlineStr">
        <is>
          <t>low</t>
        </is>
      </c>
      <c r="J403" s="13" t="n">
        <v>130</v>
      </c>
      <c r="K403" s="13" t="inlineStr">
        <is>
          <t>SSR HTML PrestaShop category pages (/{id}-{slug})</t>
        </is>
      </c>
      <c r="L403" s="13" t="inlineStr">
        <is>
          <t>curl 200/34KB on a PrestaShop category page (/15-tea-coffee-and-cocoa-products). Schema.org-labelled price blocks: 'Ovaltine 300g Refill Pack' &lt;meta itemprop=priceCurrency content=GYD&gt; $860.00.</t>
        </is>
      </c>
      <c r="M403" s="13" t="inlineStr">
        <is>
          <t>ACCEPT</t>
        </is>
      </c>
      <c r="N403" s="13" t="inlineStr">
        <is>
          <t>not scored</t>
        </is>
      </c>
      <c r="O403" s="13" t="inlineStr"/>
      <c r="P403" s="13" t="inlineStr">
        <is>
          <t>Custom</t>
        </is>
      </c>
      <c r="Q403" s="13" t="inlineStr">
        <is>
          <t>GYD</t>
        </is>
      </c>
      <c r="R403" s="13" t="inlineStr">
        <is>
          <t>-</t>
        </is>
      </c>
      <c r="S403" s="13" t="inlineStr">
        <is>
          <t>-</t>
        </is>
      </c>
      <c r="T403" s="13" t="inlineStr">
        <is>
          <t>Live: 'Guyana's Online Supermarket', groceries, poultry/meat/seafood, household categories.</t>
        </is>
      </c>
      <c r="U403" s="13" t="inlineStr">
        <is>
          <t>-</t>
        </is>
      </c>
      <c r="V403" s="13" t="inlineStr">
        <is>
          <t>P2</t>
        </is>
      </c>
    </row>
    <row r="404">
      <c r="A404" s="13" t="inlineStr">
        <is>
          <t>lac</t>
        </is>
      </c>
      <c r="B404" s="13" t="inlineStr">
        <is>
          <t>haiti</t>
        </is>
      </c>
      <c r="C404" s="13" t="inlineStr">
        <is>
          <t>HTI</t>
        </is>
      </c>
      <c r="D404" s="13" t="inlineStr">
        <is>
          <t>Haiti</t>
        </is>
      </c>
      <c r="E404" s="13" t="inlineStr">
        <is>
          <t>Caribbean Supermarket SA</t>
        </is>
      </c>
      <c r="F404" s="13" t="inlineStr">
        <is>
          <t>https://caribbeansupermarketsa.com/</t>
        </is>
      </c>
      <c r="G404" s="13" t="inlineStr">
        <is>
          <t>PROBED - SKIP</t>
        </is>
      </c>
      <c r="H404" s="13" t="inlineStr">
        <is>
          <t>SKIP</t>
        </is>
      </c>
      <c r="I404" s="13" t="inlineStr">
        <is>
          <t>high</t>
        </is>
      </c>
      <c r="J404" s="13" t="n">
        <v>0</v>
      </c>
      <c r="K404" s="13" t="inlineStr"/>
      <c r="L404" s="13" t="inlineStr">
        <is>
          <t>curl 200/27KB, but the entire link set is {#about, #contact, tel:, mailto:} — a single-page brochure site with zero product/shop routes.</t>
        </is>
      </c>
      <c r="M404" s="13" t="inlineStr">
        <is>
          <t>ACCEPT</t>
        </is>
      </c>
      <c r="N404" s="13" t="inlineStr">
        <is>
          <t>not scored</t>
        </is>
      </c>
      <c r="O404" s="13" t="inlineStr"/>
      <c r="P404" s="13" t="inlineStr">
        <is>
          <t>Custom</t>
        </is>
      </c>
      <c r="Q404" s="13" t="inlineStr">
        <is>
          <t>HTG</t>
        </is>
      </c>
      <c r="R404" s="13" t="inlineStr">
        <is>
          <t>-</t>
        </is>
      </c>
      <c r="S404" s="13" t="inlineStr">
        <is>
          <t>-</t>
        </is>
      </c>
      <c r="T404" s="13" t="inlineStr">
        <is>
          <t>Live: Petion-Ville, 1000+ products claimed, operating since 1995.</t>
        </is>
      </c>
      <c r="U404" s="13" t="inlineStr">
        <is>
          <t>-</t>
        </is>
      </c>
      <c r="V404" s="13" t="inlineStr">
        <is>
          <t>P1</t>
        </is>
      </c>
    </row>
    <row r="405">
      <c r="A405" s="13" t="inlineStr">
        <is>
          <t>lac</t>
        </is>
      </c>
      <c r="B405" s="13" t="inlineStr">
        <is>
          <t>haiti</t>
        </is>
      </c>
      <c r="C405" s="13" t="inlineStr">
        <is>
          <t>HTI</t>
        </is>
      </c>
      <c r="D405" s="13" t="inlineStr">
        <is>
          <t>Haiti</t>
        </is>
      </c>
      <c r="E405" s="13" t="inlineStr">
        <is>
          <t>Cassandra Online Market</t>
        </is>
      </c>
      <c r="F405" s="13" t="inlineStr">
        <is>
          <t>https://www.cassandraonlinemarket.com/</t>
        </is>
      </c>
      <c r="G405" s="13" t="inlineStr">
        <is>
          <t>PROBED - SKIP</t>
        </is>
      </c>
      <c r="H405" s="13" t="inlineStr">
        <is>
          <t>SKIP</t>
        </is>
      </c>
      <c r="I405" s="13" t="inlineStr">
        <is>
          <t>high</t>
        </is>
      </c>
      <c r="J405" s="13" t="n">
        <v>0</v>
      </c>
      <c r="K405" s="13" t="inlineStr"/>
      <c r="L405" s="13" t="inlineStr">
        <is>
          <t>curl -&gt; HTTP 403, nginx server header, generic proxy error page (no Cloudflare headers). Also flagged mixed-basis in CSV: Hollywood FL registered address, US/Canada shipping alongside a Haiti-local path.</t>
        </is>
      </c>
      <c r="M405" s="13" t="inlineStr">
        <is>
          <t>SUSPECT</t>
        </is>
      </c>
      <c r="N405" s="13" t="inlineStr">
        <is>
          <t>not scored</t>
        </is>
      </c>
      <c r="O405" s="13" t="inlineStr"/>
      <c r="P405" s="13" t="inlineStr">
        <is>
          <t>WordPress/WooCommerce</t>
        </is>
      </c>
      <c r="Q405" s="13" t="inlineStr">
        <is>
          <t>USD</t>
        </is>
      </c>
      <c r="R405" s="13" t="inlineStr">
        <is>
          <t>-</t>
        </is>
      </c>
      <c r="S405" s="13" t="inlineStr">
        <is>
          <t>-</t>
        </is>
      </c>
      <c r="T405" s="13" t="inlineStr">
        <is>
          <t>MIXED BASIS: has a 'Shop Local Haitian Products' path but also a Hollywood, Florida store and US/Canada shipping. Segregate the local catalogue or drop.</t>
        </is>
      </c>
      <c r="U405" s="13" t="inlineStr">
        <is>
          <t>-</t>
        </is>
      </c>
      <c r="V405" s="13" t="inlineStr">
        <is>
          <t>P1</t>
        </is>
      </c>
    </row>
    <row r="406">
      <c r="A406" s="13" t="inlineStr">
        <is>
          <t>lac</t>
        </is>
      </c>
      <c r="B406" s="13" t="inlineStr">
        <is>
          <t>haiti</t>
        </is>
      </c>
      <c r="C406" s="13" t="inlineStr">
        <is>
          <t>HTI</t>
        </is>
      </c>
      <c r="D406" s="13" t="inlineStr">
        <is>
          <t>Haiti</t>
        </is>
      </c>
      <c r="E406" s="13" t="inlineStr">
        <is>
          <t>Delimart Haiti</t>
        </is>
      </c>
      <c r="F406" s="13" t="inlineStr">
        <is>
          <t>https://delimarthaiti.com/</t>
        </is>
      </c>
      <c r="G406" s="13" t="inlineStr">
        <is>
          <t>PROBED - SKIP</t>
        </is>
      </c>
      <c r="H406" s="13" t="inlineStr">
        <is>
          <t>SKIP</t>
        </is>
      </c>
      <c r="I406" s="13" t="inlineStr">
        <is>
          <t>high</t>
        </is>
      </c>
      <c r="J406" s="13" t="n">
        <v>0</v>
      </c>
      <c r="K406" s="13" t="inlineStr"/>
      <c r="L406" s="13" t="inlineStr">
        <is>
          <t>curl 200/33KB. Product names visible via image alt text (Sucre Roux, Sucre Blanc, Mais, Farine, Avoine, Pois Noirs, Pois Pinto) but zero prices anywhere in the HTML and zero per-product PDP links — a promo image gallery, not a browsable catalog with machine-readable prices.</t>
        </is>
      </c>
      <c r="M406" s="13" t="inlineStr">
        <is>
          <t>ACCEPT</t>
        </is>
      </c>
      <c r="N406" s="13" t="inlineStr">
        <is>
          <t>not scored</t>
        </is>
      </c>
      <c r="O406" s="13" t="inlineStr"/>
      <c r="P406" s="13" t="inlineStr">
        <is>
          <t>Custom</t>
        </is>
      </c>
      <c r="Q406" s="13" t="inlineStr">
        <is>
          <t>HTG</t>
        </is>
      </c>
      <c r="R406" s="13" t="inlineStr">
        <is>
          <t>-</t>
        </is>
      </c>
      <c r="S406" s="13" t="inlineStr">
        <is>
          <t>-</t>
        </is>
      </c>
      <c r="T406" s="13" t="inlineStr">
        <is>
          <t>Live: largest Haitian supermarket chain, 4 Port-au-Prince stores, 'Pri Ate Plat' promotions. Promotions are published as images - verify machine-readable prices.</t>
        </is>
      </c>
      <c r="U406" s="13" t="inlineStr">
        <is>
          <t>-</t>
        </is>
      </c>
      <c r="V406" s="13" t="inlineStr">
        <is>
          <t>P1</t>
        </is>
      </c>
    </row>
    <row r="407">
      <c r="A407" s="13" t="inlineStr">
        <is>
          <t>lac</t>
        </is>
      </c>
      <c r="B407" s="13" t="inlineStr">
        <is>
          <t>haiti</t>
        </is>
      </c>
      <c r="C407" s="13" t="inlineStr">
        <is>
          <t>HTI</t>
        </is>
      </c>
      <c r="D407" s="13" t="inlineStr">
        <is>
          <t>Haiti</t>
        </is>
      </c>
      <c r="E407" s="13" t="inlineStr">
        <is>
          <t>Eagle Market</t>
        </is>
      </c>
      <c r="F407" s="13" t="inlineStr">
        <is>
          <t>https://eaglemarket.ht/</t>
        </is>
      </c>
      <c r="G407" s="13" t="inlineStr">
        <is>
          <t>PROBED - SKIP</t>
        </is>
      </c>
      <c r="H407" s="13" t="inlineStr">
        <is>
          <t>SKIP</t>
        </is>
      </c>
      <c r="I407" s="13" t="inlineStr">
        <is>
          <t>high</t>
        </is>
      </c>
      <c r="J407" s="13" t="n">
        <v>0</v>
      </c>
      <c r="K407" s="13" t="inlineStr"/>
      <c r="L407" s="13" t="inlineStr">
        <is>
          <t>curl --max-time 20/25 timed out twice (exit 28, 0 bytes).</t>
        </is>
      </c>
      <c r="M407" s="13" t="inlineStr">
        <is>
          <t>SUSPECT</t>
        </is>
      </c>
      <c r="N407" s="13" t="inlineStr">
        <is>
          <t>not scored</t>
        </is>
      </c>
      <c r="O407" s="13" t="inlineStr"/>
      <c r="P407" s="13" t="inlineStr">
        <is>
          <t>WordPress/WooCommerce</t>
        </is>
      </c>
      <c r="Q407" s="13" t="inlineStr">
        <is>
          <t>HTG</t>
        </is>
      </c>
      <c r="R407" s="13" t="inlineStr">
        <is>
          <t>-</t>
        </is>
      </c>
      <c r="S407" s="13" t="inlineStr">
        <is>
          <t>-</t>
        </is>
      </c>
      <c r="T407" s="13" t="inlineStr">
        <is>
          <t>Carried from v2; unverified.</t>
        </is>
      </c>
      <c r="U407" s="13" t="inlineStr">
        <is>
          <t>-</t>
        </is>
      </c>
      <c r="V407" s="13" t="inlineStr">
        <is>
          <t>P1</t>
        </is>
      </c>
    </row>
    <row r="408">
      <c r="A408" s="13" t="inlineStr">
        <is>
          <t>lac</t>
        </is>
      </c>
      <c r="B408" s="13" t="inlineStr">
        <is>
          <t>haiti</t>
        </is>
      </c>
      <c r="C408" s="13" t="inlineStr">
        <is>
          <t>HTI</t>
        </is>
      </c>
      <c r="D408" s="13" t="inlineStr">
        <is>
          <t>Haiti</t>
        </is>
      </c>
      <c r="E408" s="13" t="inlineStr">
        <is>
          <t>KITT National</t>
        </is>
      </c>
      <c r="F408" s="13" t="inlineStr">
        <is>
          <t>https://kittnational.com/</t>
        </is>
      </c>
      <c r="G408" s="13" t="inlineStr">
        <is>
          <t>PROBED - VIABLE</t>
        </is>
      </c>
      <c r="H408" s="13" t="inlineStr">
        <is>
          <t>TIER_1B</t>
        </is>
      </c>
      <c r="I408" s="13" t="inlineStr">
        <is>
          <t>medium</t>
        </is>
      </c>
      <c r="J408" s="13" t="n">
        <v>40</v>
      </c>
      <c r="K408" s="13" t="inlineStr">
        <is>
          <t>https://2kug72le92fjtj5suphu.helloreaddy.com/rest/v1/product_items (Supabase REST, publishable key required)</t>
        </is>
      </c>
      <c r="L408" s="13" t="inlineStr">
        <is>
          <t>Playwright network trace found a Supabase PostgREST backend (helloreaddy.com) with a client-side publishable key (sb_publishable_...) captured from page requests. GET .../rest/v1/product_items?select=id,name,price,category_id&amp;status=eq.active with apikey+Authorization headers -&gt; 200. Sample: 'Nutella — Bokal Pate Chokola 26.5 oz' HTG 1427.15. Prefer:count=exact shows 1,341 total active products across categories including Manje (Food), Bwason (Beverages), Desè (Dessert), Maket (Market/general).</t>
        </is>
      </c>
      <c r="M408" s="13" t="inlineStr">
        <is>
          <t>ACCEPT</t>
        </is>
      </c>
      <c r="N408" s="13" t="inlineStr">
        <is>
          <t>not scored</t>
        </is>
      </c>
      <c r="O408" s="13" t="inlineStr"/>
      <c r="P408" s="13" t="inlineStr">
        <is>
          <t>Custom</t>
        </is>
      </c>
      <c r="Q408" s="13" t="inlineStr">
        <is>
          <t>HTG</t>
        </is>
      </c>
      <c r="R408" s="13" t="inlineStr">
        <is>
          <t>-</t>
        </is>
      </c>
      <c r="S408" s="13" t="inlineStr">
        <is>
          <t>-</t>
        </is>
      </c>
      <c r="T408" s="13" t="inlineStr">
        <is>
          <t>Live: HTG prices, national delivery incl. 'Manje &amp; Maket' vertical, 10 departments.</t>
        </is>
      </c>
      <c r="U408" s="13" t="inlineStr">
        <is>
          <t>-</t>
        </is>
      </c>
      <c r="V408" s="13" t="inlineStr">
        <is>
          <t>P1</t>
        </is>
      </c>
    </row>
    <row r="409">
      <c r="A409" s="13" t="inlineStr">
        <is>
          <t>lac</t>
        </is>
      </c>
      <c r="B409" s="13" t="inlineStr">
        <is>
          <t>jamaica</t>
        </is>
      </c>
      <c r="C409" s="13" t="inlineStr">
        <is>
          <t>JAM</t>
        </is>
      </c>
      <c r="D409" s="13" t="inlineStr">
        <is>
          <t>Jamaica</t>
        </is>
      </c>
      <c r="E409" s="13" t="inlineStr">
        <is>
          <t>GroceryList Jamaica</t>
        </is>
      </c>
      <c r="F409" s="13" t="inlineStr">
        <is>
          <t>https://grocerylistjamaica.com/</t>
        </is>
      </c>
      <c r="G409" s="13" t="inlineStr">
        <is>
          <t>PROBED - SKIP</t>
        </is>
      </c>
      <c r="H409" s="13" t="inlineStr">
        <is>
          <t>SKIP</t>
        </is>
      </c>
      <c r="I409" s="13" t="inlineStr">
        <is>
          <t>high</t>
        </is>
      </c>
      <c r="J409" s="13" t="n">
        <v>0</v>
      </c>
      <c r="K409" s="13" t="inlineStr"/>
      <c r="L409" s="13" t="inlineStr">
        <is>
          <t>Not re-probed. CSV already verdicts REJECT with a documented T2 fail: registered at a Tamarac, Florida address with a +1 US phone number — a 'send groceries to family in Jamaica' remittance-in-kind service, not a domestic retailer.</t>
        </is>
      </c>
      <c r="M409" s="13" t="inlineStr">
        <is>
          <t>REJECT</t>
        </is>
      </c>
      <c r="N409" s="13" t="inlineStr">
        <is>
          <t>not scored</t>
        </is>
      </c>
      <c r="O409" s="13" t="inlineStr"/>
      <c r="P409" s="13" t="inlineStr">
        <is>
          <t>Custom</t>
        </is>
      </c>
      <c r="Q409" s="13" t="inlineStr">
        <is>
          <t>JMD</t>
        </is>
      </c>
      <c r="R409" s="13" t="inlineStr">
        <is>
          <t>-</t>
        </is>
      </c>
      <c r="S409" s="13" t="inlineStr">
        <is>
          <t>-</t>
        </is>
      </c>
      <c r="T409" s="13" t="inlineStr">
        <is>
          <t>T2 FAIL: registered at 7500 W Commercial Blvd, Tamarac, Florida with a +1 850 number. 'Send groceries to family in Jamaica' - remittance-in-kind.</t>
        </is>
      </c>
      <c r="U409" s="13" t="inlineStr">
        <is>
          <t>-</t>
        </is>
      </c>
      <c r="V409" s="13" t="inlineStr">
        <is>
          <t>P2</t>
        </is>
      </c>
    </row>
    <row r="410">
      <c r="A410" s="13" t="inlineStr">
        <is>
          <t>lac</t>
        </is>
      </c>
      <c r="B410" s="13" t="inlineStr">
        <is>
          <t>jamaica</t>
        </is>
      </c>
      <c r="C410" s="13" t="inlineStr">
        <is>
          <t>JAM</t>
        </is>
      </c>
      <c r="D410" s="13" t="inlineStr">
        <is>
          <t>Jamaica</t>
        </is>
      </c>
      <c r="E410" s="13" t="inlineStr">
        <is>
          <t>CoolMarket Groceries</t>
        </is>
      </c>
      <c r="F410" s="13" t="inlineStr">
        <is>
          <t>https://www.coolmarket.com/groceries.html</t>
        </is>
      </c>
      <c r="G410" s="13" t="inlineStr">
        <is>
          <t>PROBED - VIABLE</t>
        </is>
      </c>
      <c r="H410" s="13" t="inlineStr">
        <is>
          <t>TIER_1A</t>
        </is>
      </c>
      <c r="I410" s="13" t="inlineStr">
        <is>
          <t>low</t>
        </is>
      </c>
      <c r="J410" s="13" t="n">
        <v>170</v>
      </c>
      <c r="K410" s="13" t="inlineStr">
        <is>
          <t>SSR HTML Magento listing/PDP (data-price-amount attrs)</t>
        </is>
      </c>
      <c r="L410" s="13" t="inlineStr">
        <is>
          <t>curl 200/4.04MB (Magento). data-price-amount attributes throughout: 'NESTLÉ Kit Kat 4 Bar Milk Chocolate 45g' JMD 204.00. 591 product-item-link matches on this single paginated listing page, consistent with CSV's '1,386 grocery items' claim.</t>
        </is>
      </c>
      <c r="M410" s="13" t="inlineStr">
        <is>
          <t>ACCEPT</t>
        </is>
      </c>
      <c r="N410" s="13" t="inlineStr">
        <is>
          <t>not scored</t>
        </is>
      </c>
      <c r="O410" s="13" t="inlineStr"/>
      <c r="P410" s="13" t="inlineStr">
        <is>
          <t>Custom</t>
        </is>
      </c>
      <c r="Q410" s="13" t="inlineStr">
        <is>
          <t>JMD</t>
        </is>
      </c>
      <c r="R410" s="13" t="inlineStr">
        <is>
          <t>-</t>
        </is>
      </c>
      <c r="S410" s="13" t="inlineStr">
        <is>
          <t>-</t>
        </is>
      </c>
      <c r="T410" s="13" t="inlineStr">
        <is>
          <t>STRONG: 1,386 grocery items with JMD prices, paginated. Best Jamaica source.</t>
        </is>
      </c>
      <c r="U410" s="13" t="inlineStr">
        <is>
          <t>-</t>
        </is>
      </c>
      <c r="V410" s="13" t="inlineStr">
        <is>
          <t>P2</t>
        </is>
      </c>
    </row>
    <row r="411">
      <c r="A411" s="13" t="inlineStr">
        <is>
          <t>lac</t>
        </is>
      </c>
      <c r="B411" s="13" t="inlineStr">
        <is>
          <t>jamaica</t>
        </is>
      </c>
      <c r="C411" s="13" t="inlineStr">
        <is>
          <t>JAM</t>
        </is>
      </c>
      <c r="D411" s="13" t="inlineStr">
        <is>
          <t>Jamaica</t>
        </is>
      </c>
      <c r="E411" s="13" t="inlineStr">
        <is>
          <t>Sampars</t>
        </is>
      </c>
      <c r="F411" s="13" t="inlineStr">
        <is>
          <t>https://www.shopsampars.com/</t>
        </is>
      </c>
      <c r="G411" s="13" t="inlineStr">
        <is>
          <t>PROBED - VIABLE</t>
        </is>
      </c>
      <c r="H411" s="13" t="inlineStr">
        <is>
          <t>TIER_1B</t>
        </is>
      </c>
      <c r="I411" s="13" t="inlineStr">
        <is>
          <t>low</t>
        </is>
      </c>
      <c r="J411" s="13" t="n">
        <v>120</v>
      </c>
      <c r="K411" s="13" t="inlineStr">
        <is>
          <t>/wp-json/wc/store/v1/products</t>
        </is>
      </c>
      <c r="L411" s="13" t="inlineStr">
        <is>
          <t>GET /wp-json/wc/store/v1/products?per_page=3 -&gt; 200 (intermittent: two earlier attempts on this same path timed out with exit 28, third attempt succeeded — looks like transient rate-limiting, not a hard block). Sample: 'Hurricane Relief Packages I' JMD 3,500.00 (currency_code JMD, minor_unit 2).</t>
        </is>
      </c>
      <c r="M411" s="13" t="inlineStr">
        <is>
          <t>ACCEPT</t>
        </is>
      </c>
      <c r="N411" s="13" t="inlineStr">
        <is>
          <t>not scored</t>
        </is>
      </c>
      <c r="O411" s="13" t="inlineStr"/>
      <c r="P411" s="13" t="inlineStr">
        <is>
          <t>WordPress/WooCommerce</t>
        </is>
      </c>
      <c r="Q411" s="13" t="inlineStr">
        <is>
          <t>JMD</t>
        </is>
      </c>
      <c r="R411" s="13" t="inlineStr">
        <is>
          <t>-</t>
        </is>
      </c>
      <c r="S411" s="13" t="inlineStr">
        <is>
          <t>-</t>
        </is>
      </c>
      <c r="T411" s="13" t="inlineStr">
        <is>
          <t>STRONG: JMD prices with per-kg meat pricing (beef stew J$1,669.52/kg), self-service wholesale, WooCommerce category structure.</t>
        </is>
      </c>
      <c r="U411" s="13" t="inlineStr">
        <is>
          <t>-</t>
        </is>
      </c>
      <c r="V411" s="13" t="inlineStr">
        <is>
          <t>P2</t>
        </is>
      </c>
    </row>
    <row r="412">
      <c r="A412" s="13" t="inlineStr">
        <is>
          <t>lac</t>
        </is>
      </c>
      <c r="B412" s="13" t="inlineStr">
        <is>
          <t>jamaica</t>
        </is>
      </c>
      <c r="C412" s="13" t="inlineStr">
        <is>
          <t>JAM</t>
        </is>
      </c>
      <c r="D412" s="13" t="inlineStr">
        <is>
          <t>Jamaica</t>
        </is>
      </c>
      <c r="E412" s="13" t="inlineStr">
        <is>
          <t>Store To Door Jamaica</t>
        </is>
      </c>
      <c r="F412" s="13" t="inlineStr">
        <is>
          <t>https://storetodoorja.com/</t>
        </is>
      </c>
      <c r="G412" s="13" t="inlineStr">
        <is>
          <t>PROBED - VIABLE</t>
        </is>
      </c>
      <c r="H412" s="13" t="inlineStr">
        <is>
          <t>TIER_1B</t>
        </is>
      </c>
      <c r="I412" s="13" t="inlineStr">
        <is>
          <t>low</t>
        </is>
      </c>
      <c r="J412" s="13" t="n">
        <v>100</v>
      </c>
      <c r="K412" s="13" t="inlineStr">
        <is>
          <t>/wp-json/wc/store/v1/products</t>
        </is>
      </c>
      <c r="L412" s="13" t="inlineStr">
        <is>
          <t>GET /wp-json/wc/store/v1/products?per_page=10 -&gt; 200, 19.7KB JSON. Sample: 'White Rain Body Wash 15oz Ocean Mist' JMD 15.95 (price 1595 minor units, currency_code JMD).</t>
        </is>
      </c>
      <c r="M412" s="13" t="inlineStr">
        <is>
          <t>SUSPECT</t>
        </is>
      </c>
      <c r="N412" s="13" t="inlineStr">
        <is>
          <t>not scored</t>
        </is>
      </c>
      <c r="O412" s="13" t="inlineStr"/>
      <c r="P412" s="13" t="inlineStr">
        <is>
          <t>WordPress/WooCommerce</t>
        </is>
      </c>
      <c r="Q412" s="13" t="inlineStr">
        <is>
          <t>JMD</t>
        </is>
      </c>
      <c r="R412" s="13" t="inlineStr">
        <is>
          <t>-</t>
        </is>
      </c>
      <c r="S412" s="13" t="inlineStr">
        <is>
          <t>-</t>
        </is>
      </c>
      <c r="T412" s="13" t="inlineStr">
        <is>
          <t>JMD prices and WooCommerce, but the model is barrel-shipping for overseas senders (J$95,000 'Barrel Come'). Mixed domestic/diaspora - segregate or drop.</t>
        </is>
      </c>
      <c r="U412" s="13" t="inlineStr">
        <is>
          <t>-</t>
        </is>
      </c>
      <c r="V412" s="13" t="inlineStr">
        <is>
          <t>P2</t>
        </is>
      </c>
    </row>
    <row r="413">
      <c r="A413" s="13" t="inlineStr">
        <is>
          <t>lac</t>
        </is>
      </c>
      <c r="B413" s="13" t="inlineStr">
        <is>
          <t>jamaica</t>
        </is>
      </c>
      <c r="C413" s="13" t="inlineStr">
        <is>
          <t>JAM</t>
        </is>
      </c>
      <c r="D413" s="13" t="inlineStr">
        <is>
          <t>Jamaica</t>
        </is>
      </c>
      <c r="E413" s="13" t="inlineStr">
        <is>
          <t>Virtual Mart Jamaica</t>
        </is>
      </c>
      <c r="F413" s="13" t="inlineStr">
        <is>
          <t>https://www.virtualmartja.com/</t>
        </is>
      </c>
      <c r="G413" s="13" t="inlineStr">
        <is>
          <t>PROBED - VIABLE</t>
        </is>
      </c>
      <c r="H413" s="13" t="inlineStr">
        <is>
          <t>TIER_1A</t>
        </is>
      </c>
      <c r="I413" s="13" t="inlineStr">
        <is>
          <t>low</t>
        </is>
      </c>
      <c r="J413" s="13" t="n">
        <v>100</v>
      </c>
      <c r="K413" s="13" t="inlineStr">
        <is>
          <t>SSR HTML Magento listing/PDP (data-price-amount attrs)</t>
        </is>
      </c>
      <c r="L413" s="13" t="inlineStr">
        <is>
          <t>curl 200/225KB (Magento). data-price-amount price blocks confirmed, e.g. J$2,471.29 special-price product (id 106209). CSV notes groceries plus hardware/business-supplies categories.</t>
        </is>
      </c>
      <c r="M413" s="13" t="inlineStr">
        <is>
          <t>ACCEPT</t>
        </is>
      </c>
      <c r="N413" s="13" t="inlineStr">
        <is>
          <t>not scored</t>
        </is>
      </c>
      <c r="O413" s="13" t="inlineStr"/>
      <c r="P413" s="13" t="inlineStr">
        <is>
          <t>Custom</t>
        </is>
      </c>
      <c r="Q413" s="13" t="inlineStr">
        <is>
          <t>JMD</t>
        </is>
      </c>
      <c r="R413" s="13" t="inlineStr">
        <is>
          <t>-</t>
        </is>
      </c>
      <c r="S413" s="13" t="inlineStr">
        <is>
          <t>-</t>
        </is>
      </c>
      <c r="T413" s="13" t="inlineStr">
        <is>
          <t>Live: J$ prices with discount pairs, groceries plus hardware and business supplies.</t>
        </is>
      </c>
      <c r="U413" s="13" t="inlineStr">
        <is>
          <t>-</t>
        </is>
      </c>
      <c r="V413" s="13" t="inlineStr">
        <is>
          <t>P2</t>
        </is>
      </c>
    </row>
    <row r="414">
      <c r="A414" s="13" t="inlineStr">
        <is>
          <t>lac</t>
        </is>
      </c>
      <c r="B414" s="13" t="inlineStr">
        <is>
          <t>peru</t>
        </is>
      </c>
      <c r="C414" s="13" t="inlineStr">
        <is>
          <t>PER</t>
        </is>
      </c>
      <c r="D414" s="13" t="inlineStr">
        <is>
          <t>Peru</t>
        </is>
      </c>
      <c r="E414" s="13" t="inlineStr">
        <is>
          <t>Freshmart</t>
        </is>
      </c>
      <c r="F414" s="13" t="inlineStr">
        <is>
          <t>https://freshmart.pe/</t>
        </is>
      </c>
      <c r="G414" s="13" t="inlineStr">
        <is>
          <t>PROBED - SKIP</t>
        </is>
      </c>
      <c r="H414" s="13" t="inlineStr">
        <is>
          <t>SKIP</t>
        </is>
      </c>
      <c r="I414" s="13" t="inlineStr">
        <is>
          <t>high</t>
        </is>
      </c>
      <c r="J414" s="13" t="n">
        <v>0</v>
      </c>
      <c r="K414" s="13" t="inlineStr"/>
      <c r="L414" s="13" t="inlineStr">
        <is>
          <t>curl 200/9.2KB, a socket.io-tracked page shell with no CMS platform signature and no category/product links found in the raw HTML within budget.</t>
        </is>
      </c>
      <c r="M414" s="13" t="inlineStr">
        <is>
          <t>ACCEPT</t>
        </is>
      </c>
      <c r="N414" s="13" t="inlineStr">
        <is>
          <t>C - engineering required</t>
        </is>
      </c>
      <c r="O414" s="13" t="n">
        <v>3</v>
      </c>
      <c r="P414" s="13" t="inlineStr">
        <is>
          <t>Custom</t>
        </is>
      </c>
      <c r="Q414" s="13" t="inlineStr">
        <is>
          <t>PEN</t>
        </is>
      </c>
      <c r="R414" s="13" t="inlineStr">
        <is>
          <t>-</t>
        </is>
      </c>
      <c r="S414" s="13" t="inlineStr">
        <is>
          <t>current</t>
        </is>
      </c>
      <c r="T414" s="13" t="inlineStr">
        <is>
          <t>Organic and specialty grocer - upper tail of the price distribution.</t>
        </is>
      </c>
      <c r="U414" s="13" t="inlineStr">
        <is>
          <t>-</t>
        </is>
      </c>
      <c r="V414" s="13" t="inlineStr">
        <is>
          <t>P7</t>
        </is>
      </c>
    </row>
    <row r="415">
      <c r="A415" s="13" t="inlineStr">
        <is>
          <t>lac</t>
        </is>
      </c>
      <c r="B415" s="13" t="inlineStr">
        <is>
          <t>peru</t>
        </is>
      </c>
      <c r="C415" s="13" t="inlineStr">
        <is>
          <t>PER</t>
        </is>
      </c>
      <c r="D415" s="13" t="inlineStr">
        <is>
          <t>Peru</t>
        </is>
      </c>
      <c r="E415" s="13" t="inlineStr">
        <is>
          <t>Makro Peru</t>
        </is>
      </c>
      <c r="F415" s="13" t="inlineStr">
        <is>
          <t>https://www.makro.com.pe/</t>
        </is>
      </c>
      <c r="G415" s="13" t="inlineStr">
        <is>
          <t>PROBED - SKIP</t>
        </is>
      </c>
      <c r="H415" s="13" t="inlineStr">
        <is>
          <t>SKIP</t>
        </is>
      </c>
      <c r="I415" s="13" t="inlineStr">
        <is>
          <t>high</t>
        </is>
      </c>
      <c r="J415" s="13" t="n">
        <v>0</v>
      </c>
      <c r="K415" s="13" t="inlineStr"/>
      <c r="L415" s="13" t="inlineStr">
        <is>
          <t>curl -&gt; 200 but body is a FingerprintJS-based JS redirect stub (window.location.replace with a computed visitorId fingerprint param), no content. Playwright render also stops at the same ~1.5KB stub (fingerprint check runs before real content loads). Matches both-curl-and-Playwright-fail rule -&gt; stop.</t>
        </is>
      </c>
      <c r="M415" s="13" t="inlineStr">
        <is>
          <t>ACCEPT</t>
        </is>
      </c>
      <c r="N415" s="13" t="inlineStr">
        <is>
          <t>C - engineering required</t>
        </is>
      </c>
      <c r="O415" s="13" t="n">
        <v>3</v>
      </c>
      <c r="P415" s="13" t="inlineStr">
        <is>
          <t>Custom</t>
        </is>
      </c>
      <c r="Q415" s="13" t="inlineStr">
        <is>
          <t>PEN</t>
        </is>
      </c>
      <c r="R415" s="13" t="inlineStr">
        <is>
          <t>-</t>
        </is>
      </c>
      <c r="S415" s="13" t="inlineStr">
        <is>
          <t>wholesale_price</t>
        </is>
      </c>
      <c r="T415" s="13" t="inlineStr">
        <is>
          <t>Cash-and-carry wholesale - pairs with the four retail banners for a Peruvian wholesale-retail spread.</t>
        </is>
      </c>
      <c r="U415" s="13" t="inlineStr">
        <is>
          <t>Pack sizes are wholesale; normalise per unit.</t>
        </is>
      </c>
      <c r="V415" s="13" t="inlineStr">
        <is>
          <t>P7</t>
        </is>
      </c>
    </row>
    <row r="416">
      <c r="A416" s="13" t="inlineStr">
        <is>
          <t>lac</t>
        </is>
      </c>
      <c r="B416" s="13" t="inlineStr">
        <is>
          <t>peru</t>
        </is>
      </c>
      <c r="C416" s="13" t="inlineStr">
        <is>
          <t>PER</t>
        </is>
      </c>
      <c r="D416" s="13" t="inlineStr">
        <is>
          <t>Peru</t>
        </is>
      </c>
      <c r="E416" s="13" t="inlineStr">
        <is>
          <t>Mercado Libre Peru</t>
        </is>
      </c>
      <c r="F416" s="13" t="inlineStr">
        <is>
          <t>https://www.mercadolibre.com.pe/</t>
        </is>
      </c>
      <c r="G416" s="13" t="inlineStr">
        <is>
          <t>PROBED - SKIP</t>
        </is>
      </c>
      <c r="H416" s="13" t="inlineStr">
        <is>
          <t>SKIP</t>
        </is>
      </c>
      <c r="I416" s="13" t="inlineStr">
        <is>
          <t>high</t>
        </is>
      </c>
      <c r="J416" s="13" t="n">
        <v>0</v>
      </c>
      <c r="K416" s="13" t="inlineStr"/>
      <c r="L416" s="13" t="inlineStr">
        <is>
          <t>curl on a category listing (/alimentos) -&gt; HTTP 302 redirect to /gz/account-verification (bot-check gate), x-is-search-bot: true header present.</t>
        </is>
      </c>
      <c r="M416" s="13" t="inlineStr">
        <is>
          <t>SUSPECT</t>
        </is>
      </c>
      <c r="N416" s="13" t="inlineStr">
        <is>
          <t>C - engineering required</t>
        </is>
      </c>
      <c r="O416" s="13" t="n">
        <v>3</v>
      </c>
      <c r="P416" s="13" t="inlineStr">
        <is>
          <t>Custom/Enterprise</t>
        </is>
      </c>
      <c r="Q416" s="13" t="inlineStr">
        <is>
          <t>PEN</t>
        </is>
      </c>
      <c r="R416" s="13" t="inlineStr">
        <is>
          <t>-</t>
        </is>
      </c>
      <c r="S416" s="13" t="inlineStr">
        <is>
          <t>current</t>
        </is>
      </c>
      <c r="T416" s="13" t="inlineStr">
        <is>
          <t>Marketplace; useful for durable goods rather than food.</t>
        </is>
      </c>
      <c r="U416" s="13" t="inlineStr">
        <is>
          <t>Marketplace prices are seller-set and highly dispersed; not comparable to retail shelf prices.</t>
        </is>
      </c>
      <c r="V416" s="13" t="inlineStr">
        <is>
          <t>P7</t>
        </is>
      </c>
    </row>
    <row r="417">
      <c r="A417" s="13" t="inlineStr">
        <is>
          <t>lac</t>
        </is>
      </c>
      <c r="B417" s="13" t="inlineStr">
        <is>
          <t>peru</t>
        </is>
      </c>
      <c r="C417" s="13" t="inlineStr">
        <is>
          <t>PER</t>
        </is>
      </c>
      <c r="D417" s="13" t="inlineStr">
        <is>
          <t>Peru</t>
        </is>
      </c>
      <c r="E417" s="13" t="inlineStr">
        <is>
          <t>PedidosYa Peru</t>
        </is>
      </c>
      <c r="F417" s="13" t="inlineStr">
        <is>
          <t>https://www.pedidosya.com.pe/</t>
        </is>
      </c>
      <c r="G417" s="13" t="inlineStr">
        <is>
          <t>PROBED - SKIP</t>
        </is>
      </c>
      <c r="H417" s="13" t="inlineStr">
        <is>
          <t>SKIP</t>
        </is>
      </c>
      <c r="I417" s="13" t="inlineStr">
        <is>
          <t>high</t>
        </is>
      </c>
      <c r="J417" s="13" t="n">
        <v>0</v>
      </c>
      <c r="K417" s="13" t="inlineStr"/>
      <c r="L417" s="13" t="inlineStr">
        <is>
          <t>curl -&gt; HTTP 403, cf-mitigated: challenge header, cloudflare server. Identical signature to PedidosYa Bolivia (same tenant infrastructure).</t>
        </is>
      </c>
      <c r="M417" s="13" t="inlineStr">
        <is>
          <t>ACCEPT</t>
        </is>
      </c>
      <c r="N417" s="13" t="inlineStr">
        <is>
          <t>C - engineering required</t>
        </is>
      </c>
      <c r="O417" s="13" t="n">
        <v>3</v>
      </c>
      <c r="P417" s="13" t="inlineStr">
        <is>
          <t>Custom</t>
        </is>
      </c>
      <c r="Q417" s="13" t="inlineStr">
        <is>
          <t>PEN</t>
        </is>
      </c>
      <c r="R417" s="13" t="inlineStr">
        <is>
          <t>-</t>
        </is>
      </c>
      <c r="S417" s="13" t="inlineStr">
        <is>
          <t>current</t>
        </is>
      </c>
      <c r="T417" s="13" t="inlineStr">
        <is>
          <t>Second delivery platform for enumeration and cross-checking.</t>
        </is>
      </c>
      <c r="U417" s="13" t="inlineStr">
        <is>
          <t>-</t>
        </is>
      </c>
      <c r="V417" s="13" t="inlineStr">
        <is>
          <t>P7</t>
        </is>
      </c>
    </row>
    <row r="418">
      <c r="A418" s="13" t="inlineStr">
        <is>
          <t>lac</t>
        </is>
      </c>
      <c r="B418" s="13" t="inlineStr">
        <is>
          <t>peru</t>
        </is>
      </c>
      <c r="C418" s="13" t="inlineStr">
        <is>
          <t>PER</t>
        </is>
      </c>
      <c r="D418" s="13" t="inlineStr">
        <is>
          <t>Peru</t>
        </is>
      </c>
      <c r="E418" s="13" t="inlineStr">
        <is>
          <t>Rappi Peru</t>
        </is>
      </c>
      <c r="F418" s="13" t="inlineStr">
        <is>
          <t>https://www.rappi.com.pe/</t>
        </is>
      </c>
      <c r="G418" s="13" t="inlineStr">
        <is>
          <t>PROBED - SKIP</t>
        </is>
      </c>
      <c r="H418" s="13" t="inlineStr">
        <is>
          <t>SKIP</t>
        </is>
      </c>
      <c r="I418" s="13" t="inlineStr">
        <is>
          <t>high</t>
        </is>
      </c>
      <c r="J418" s="13" t="n">
        <v>0</v>
      </c>
      <c r="K418" s="13" t="inlineStr"/>
      <c r="L418" s="13" t="inlineStr">
        <is>
          <t>curl 200/173KB, but page is an app-download landing page with no listing/menu content server-rendered. Not escalated to Playwright within budget given 5 other solid Peru sources already confirmed.</t>
        </is>
      </c>
      <c r="M418" s="13" t="inlineStr">
        <is>
          <t>ACCEPT</t>
        </is>
      </c>
      <c r="N418" s="13" t="inlineStr">
        <is>
          <t>C - engineering required</t>
        </is>
      </c>
      <c r="O418" s="13" t="n">
        <v>3</v>
      </c>
      <c r="P418" s="13" t="inlineStr">
        <is>
          <t>Custom</t>
        </is>
      </c>
      <c r="Q418" s="13" t="inlineStr">
        <is>
          <t>PEN</t>
        </is>
      </c>
      <c r="R418" s="13" t="inlineStr">
        <is>
          <t>-</t>
        </is>
      </c>
      <c r="S418" s="13" t="inlineStr">
        <is>
          <t>current</t>
        </is>
      </c>
      <c r="T418" s="13" t="inlineStr">
        <is>
          <t>Enumerates Peruvian partner supermarkets and bodegas; reaches convenience formats the chains do not.</t>
        </is>
      </c>
      <c r="U418" s="13" t="inlineStr">
        <is>
          <t>Platform markup likely.</t>
        </is>
      </c>
      <c r="V418" s="13" t="inlineStr">
        <is>
          <t>P7</t>
        </is>
      </c>
    </row>
    <row r="419">
      <c r="A419" s="13" t="inlineStr">
        <is>
          <t>lac</t>
        </is>
      </c>
      <c r="B419" s="13" t="inlineStr">
        <is>
          <t>peru</t>
        </is>
      </c>
      <c r="C419" s="13" t="inlineStr">
        <is>
          <t>PER</t>
        </is>
      </c>
      <c r="D419" s="13" t="inlineStr">
        <is>
          <t>Peru</t>
        </is>
      </c>
      <c r="E419" s="13" t="inlineStr">
        <is>
          <t>Tottus</t>
        </is>
      </c>
      <c r="F419" s="13" t="inlineStr">
        <is>
          <t>https://www.tottus.com.pe/tottus-pe</t>
        </is>
      </c>
      <c r="G419" s="13" t="inlineStr">
        <is>
          <t>PROBED - SKIP</t>
        </is>
      </c>
      <c r="H419" s="13" t="inlineStr">
        <is>
          <t>SKIP</t>
        </is>
      </c>
      <c r="I419" s="13" t="inlineStr">
        <is>
          <t>high</t>
        </is>
      </c>
      <c r="J419" s="13" t="n">
        <v>0</v>
      </c>
      <c r="K419" s="13" t="inlineStr"/>
      <c r="L419" s="13" t="inlineStr">
        <is>
          <t>CSV-listed VTEX endpoint /api/catalog_system/pub/products/search -&gt; HTTP 503 'no healthy upstream'. Root page loads fine (200/827KB, Next.js, x-powered-by: Next.js, x-tottus-standalone: TO_COM header) and has a __NEXT_DATA__ payload, but no prices found on the base 'tottus-pe' landing route within budget — looks like the Falabella group has migrated this banner off the classic VTEX catalog API onto a newer Next.js/Catalyst frontend.</t>
        </is>
      </c>
      <c r="M419" s="13" t="inlineStr">
        <is>
          <t>ACCEPT</t>
        </is>
      </c>
      <c r="N419" s="13" t="inlineStr">
        <is>
          <t>A - low-hanging fruit</t>
        </is>
      </c>
      <c r="O419" s="13" t="n">
        <v>5</v>
      </c>
      <c r="P419" s="13" t="inlineStr">
        <is>
          <t>VTEX</t>
        </is>
      </c>
      <c r="Q419" s="13" t="inlineStr">
        <is>
          <t>PEN</t>
        </is>
      </c>
      <c r="R419" s="13" t="inlineStr">
        <is>
          <t>-</t>
        </is>
      </c>
      <c r="S419" s="13" t="inlineStr">
        <is>
          <t>current, cmr_price</t>
        </is>
      </c>
      <c r="T419" s="13" t="inlineStr">
        <is>
          <t>Falabella group. CMR card pricing is a further loyalty tier. Deep category tree including 'Marcas Tottus' own-brand.</t>
        </is>
      </c>
      <c r="U419" s="13" t="inlineStr">
        <is>
          <t>App-first for delivery; the web catalogue is still the better crawl target.</t>
        </is>
      </c>
      <c r="V419" s="13" t="inlineStr">
        <is>
          <t>P7</t>
        </is>
      </c>
    </row>
    <row r="420">
      <c r="A420" s="13" t="inlineStr">
        <is>
          <t>lac</t>
        </is>
      </c>
      <c r="B420" s="13" t="inlineStr">
        <is>
          <t>peru</t>
        </is>
      </c>
      <c r="C420" s="13" t="inlineStr">
        <is>
          <t>PER</t>
        </is>
      </c>
      <c r="D420" s="13" t="inlineStr">
        <is>
          <t>Peru</t>
        </is>
      </c>
      <c r="E420" s="13" t="inlineStr">
        <is>
          <t>Vivanda</t>
        </is>
      </c>
      <c r="F420" s="13" t="inlineStr">
        <is>
          <t>https://www.vivanda.com.pe/</t>
        </is>
      </c>
      <c r="G420" s="13" t="inlineStr">
        <is>
          <t>PROBED - SKIP</t>
        </is>
      </c>
      <c r="H420" s="13" t="inlineStr">
        <is>
          <t>SKIP</t>
        </is>
      </c>
      <c r="I420" s="13" t="inlineStr">
        <is>
          <t>high</t>
        </is>
      </c>
      <c r="J420" s="13" t="n">
        <v>0</v>
      </c>
      <c r="K420" s="13" t="inlineStr"/>
      <c r="L420" s="13" t="inlineStr">
        <is>
          <t>GET /api/catalog_system/pub/products/search?_from=0&amp;_to=4 -&gt; 200 but content-type text/html, body is the site's own homepage HTML (references domain=vivanda.com.pe in an embedded monitoring script), not VTEX JSON — same-group migration pattern as Tottus.</t>
        </is>
      </c>
      <c r="M420" s="13" t="inlineStr">
        <is>
          <t>ACCEPT</t>
        </is>
      </c>
      <c r="N420" s="13" t="inlineStr">
        <is>
          <t>A - low-hanging fruit</t>
        </is>
      </c>
      <c r="O420" s="13" t="n">
        <v>5</v>
      </c>
      <c r="P420" s="13" t="inlineStr">
        <is>
          <t>VTEX</t>
        </is>
      </c>
      <c r="Q420" s="13" t="inlineStr">
        <is>
          <t>PEN</t>
        </is>
      </c>
      <c r="R420" s="13" t="inlineStr">
        <is>
          <t>-</t>
        </is>
      </c>
      <c r="S420" s="13" t="inlineStr">
        <is>
          <t>current, promo</t>
        </is>
      </c>
      <c r="T420" s="13" t="inlineStr">
        <is>
          <t>Premium banner. Peru therefore offers a clean FOUR-TIER format ladder on one platform family: Vivanda premium, Wong upper-mid, plazaVea mass, Metro discount. Identical SKUs across tiers make format price premia directly measurable.</t>
        </is>
      </c>
      <c r="U420" s="13" t="inlineStr">
        <is>
          <t>-</t>
        </is>
      </c>
      <c r="V420" s="13" t="inlineStr">
        <is>
          <t>P7</t>
        </is>
      </c>
    </row>
    <row r="421">
      <c r="A421" s="13" t="inlineStr">
        <is>
          <t>lac</t>
        </is>
      </c>
      <c r="B421" s="13" t="inlineStr">
        <is>
          <t>peru</t>
        </is>
      </c>
      <c r="C421" s="13" t="inlineStr">
        <is>
          <t>PER</t>
        </is>
      </c>
      <c r="D421" s="13" t="inlineStr">
        <is>
          <t>Peru</t>
        </is>
      </c>
      <c r="E421" s="13" t="inlineStr">
        <is>
          <t>Inkafarma</t>
        </is>
      </c>
      <c r="F421" s="13" t="inlineStr">
        <is>
          <t>https://inkafarma.pe/</t>
        </is>
      </c>
      <c r="G421" s="13" t="inlineStr">
        <is>
          <t>PROBED - VIABLE</t>
        </is>
      </c>
      <c r="H421" s="13" t="inlineStr">
        <is>
          <t>TIER_1B</t>
        </is>
      </c>
      <c r="I421" s="13" t="inlineStr">
        <is>
          <t>medium</t>
        </is>
      </c>
      <c r="J421" s="13" t="n">
        <v>20</v>
      </c>
      <c r="K421" s="13" t="inlineStr">
        <is>
          <t>https://5doa19p9r7.execute-api.us-east-1.amazonaws.com/MMPROD/products/{skus}?companyCode=IKF&amp;saleChannel=WEB&amp;saleChannelType=DIGITAL</t>
        </is>
      </c>
      <c r="L421" s="13" t="inlineStr">
        <is>
          <t>The CSV-listed VTEX endpoint (/api/catalog_system/pub/products/search) returns the SPA shell (text/html), not JSON — not actually VTEX. Playwright network trace found the real backend: AWS API Gateway https://5doa19p9r7.execute-api.us-east-1.amazonaws.com/MMPROD/products/{comma-sep-skus}?companyCode=IKF&amp;saleChannel=WEB&amp;saleChannelType=DIGITAL. Replayed with plain curl (no auth needed) -&gt; 200, 21.3KB JSON for 2 SKUs. Sample: 'Gel Limpiador Bioderma Sébium Moussant Piel Mixta a Grasa' PEN 159.90.</t>
        </is>
      </c>
      <c r="M421" s="13" t="inlineStr">
        <is>
          <t>ACCEPT</t>
        </is>
      </c>
      <c r="N421" s="13" t="inlineStr">
        <is>
          <t>A - low-hanging fruit</t>
        </is>
      </c>
      <c r="O421" s="13" t="n">
        <v>5</v>
      </c>
      <c r="P421" s="13" t="inlineStr">
        <is>
          <t>VTEX</t>
        </is>
      </c>
      <c r="Q421" s="13" t="inlineStr">
        <is>
          <t>PEN</t>
        </is>
      </c>
      <c r="R421" s="13" t="inlineStr">
        <is>
          <t>-</t>
        </is>
      </c>
      <c r="S421" s="13" t="inlineStr">
        <is>
          <t>current, promo</t>
        </is>
      </c>
      <c r="T421" s="13" t="inlineStr">
        <is>
          <t>Pharmacy chain on VTEX - covers COICOP 6 (health), which is usually the hardest division to price and is often administered.</t>
        </is>
      </c>
      <c r="U421" s="13" t="inlineStr">
        <is>
          <t>-</t>
        </is>
      </c>
      <c r="V421" s="13" t="inlineStr">
        <is>
          <t>P7</t>
        </is>
      </c>
    </row>
    <row r="422">
      <c r="A422" s="13" t="inlineStr">
        <is>
          <t>lac</t>
        </is>
      </c>
      <c r="B422" s="13" t="inlineStr">
        <is>
          <t>peru</t>
        </is>
      </c>
      <c r="C422" s="13" t="inlineStr">
        <is>
          <t>PER</t>
        </is>
      </c>
      <c r="D422" s="13" t="inlineStr">
        <is>
          <t>Peru</t>
        </is>
      </c>
      <c r="E422" s="13" t="inlineStr">
        <is>
          <t>Metro Peru</t>
        </is>
      </c>
      <c r="F422" s="13" t="inlineStr">
        <is>
          <t>https://www.metro.pe/</t>
        </is>
      </c>
      <c r="G422" s="13" t="inlineStr">
        <is>
          <t>PROBED - VIABLE</t>
        </is>
      </c>
      <c r="H422" s="13" t="inlineStr">
        <is>
          <t>TIER_1B</t>
        </is>
      </c>
      <c r="I422" s="13" t="inlineStr">
        <is>
          <t>low</t>
        </is>
      </c>
      <c r="J422" s="13" t="n">
        <v>160</v>
      </c>
      <c r="K422" s="13" t="inlineStr">
        <is>
          <t>/api/catalog_system/pub/products/search</t>
        </is>
      </c>
      <c r="L422" s="13" t="inlineStr">
        <is>
          <t>GET /api/catalog_system/pub/products/search?_from=0&amp;_to=4 -&gt; 206, 209KB JSON, 5 products. Sample: 'Huevos Pardos Metro 30un' PEN 16.5.</t>
        </is>
      </c>
      <c r="M422" s="13" t="inlineStr">
        <is>
          <t>ACCEPT</t>
        </is>
      </c>
      <c r="N422" s="13" t="inlineStr">
        <is>
          <t>A - low-hanging fruit</t>
        </is>
      </c>
      <c r="O422" s="13" t="n">
        <v>5</v>
      </c>
      <c r="P422" s="13" t="inlineStr">
        <is>
          <t>VTEX</t>
        </is>
      </c>
      <c r="Q422" s="13" t="inlineStr">
        <is>
          <t>PEN</t>
        </is>
      </c>
      <c r="R422" s="13" t="inlineStr">
        <is>
          <t>-</t>
        </is>
      </c>
      <c r="S422" s="13" t="inlineStr">
        <is>
          <t>current, promo</t>
        </is>
      </c>
      <c r="T422" s="13" t="inlineStr">
        <is>
          <t>Cencosud discount banner. Same VTEX adapter as Wong.</t>
        </is>
      </c>
      <c r="U422" s="13" t="inlineStr">
        <is>
          <t>-</t>
        </is>
      </c>
      <c r="V422" s="13" t="inlineStr">
        <is>
          <t>P7</t>
        </is>
      </c>
    </row>
    <row r="423">
      <c r="A423" s="13" t="inlineStr">
        <is>
          <t>lac</t>
        </is>
      </c>
      <c r="B423" s="13" t="inlineStr">
        <is>
          <t>peru</t>
        </is>
      </c>
      <c r="C423" s="13" t="inlineStr">
        <is>
          <t>PER</t>
        </is>
      </c>
      <c r="D423" s="13" t="inlineStr">
        <is>
          <t>Peru</t>
        </is>
      </c>
      <c r="E423" s="13" t="inlineStr">
        <is>
          <t>Wong</t>
        </is>
      </c>
      <c r="F423" s="13" t="inlineStr">
        <is>
          <t>https://www.wong.pe/</t>
        </is>
      </c>
      <c r="G423" s="13" t="inlineStr">
        <is>
          <t>PROBED - VIABLE</t>
        </is>
      </c>
      <c r="H423" s="13" t="inlineStr">
        <is>
          <t>TIER_1B</t>
        </is>
      </c>
      <c r="I423" s="13" t="inlineStr">
        <is>
          <t>low</t>
        </is>
      </c>
      <c r="J423" s="13" t="n">
        <v>170</v>
      </c>
      <c r="K423" s="13" t="inlineStr">
        <is>
          <t>/api/catalog_system/pub/products/search?_from=0&amp;_to=49</t>
        </is>
      </c>
      <c r="L423" s="13" t="inlineStr">
        <is>
          <t>GET /api/catalog_system/pub/products/search?_from=0&amp;_to=4 -&gt; 206, 251KB JSON, 5 products. Sample: 'Huevos Pardos Wong 30un' PEN 17.9. CSV-supplied endpoint worked directly.</t>
        </is>
      </c>
      <c r="M423" s="13" t="inlineStr">
        <is>
          <t>ACCEPT</t>
        </is>
      </c>
      <c r="N423" s="13" t="inlineStr">
        <is>
          <t>A - low-hanging fruit</t>
        </is>
      </c>
      <c r="O423" s="13" t="n">
        <v>5</v>
      </c>
      <c r="P423" s="13" t="inlineStr">
        <is>
          <t>VTEX</t>
        </is>
      </c>
      <c r="Q423" s="13" t="inlineStr">
        <is>
          <t>PEN</t>
        </is>
      </c>
      <c r="R423" s="13" t="inlineStr">
        <is>
          <t>/api/catalog_system/pub/products/search?_from=0&amp;_to=49</t>
        </is>
      </c>
      <c r="S423" s="13" t="inlineStr">
        <is>
          <t>precio_online, precio_regular, discount_pct, prime_price</t>
        </is>
      </c>
      <c r="T423" s="13" t="inlineStr">
        <is>
          <t>VTEX, so the catalogue API is trivial. Exposes THREE tiers per SKU: 'Precio Online', 'Precio regular' and a Wong Prime subscriber price, plus the discount percentage. Subscription pricing is a distinct tier from loyalty pricing and is worth modelling separately.</t>
        </is>
      </c>
      <c r="U423" s="13" t="inlineStr">
        <is>
          <t>VTEX HTML carries no prices. Use the API. And do not collapse the three tiers into one field.</t>
        </is>
      </c>
      <c r="V423" s="13" t="inlineStr">
        <is>
          <t>P7</t>
        </is>
      </c>
    </row>
    <row r="424">
      <c r="A424" s="13" t="inlineStr">
        <is>
          <t>lac</t>
        </is>
      </c>
      <c r="B424" s="13" t="inlineStr">
        <is>
          <t>peru</t>
        </is>
      </c>
      <c r="C424" s="13" t="inlineStr">
        <is>
          <t>PER</t>
        </is>
      </c>
      <c r="D424" s="13" t="inlineStr">
        <is>
          <t>Peru</t>
        </is>
      </c>
      <c r="E424" s="13" t="inlineStr">
        <is>
          <t>plazaVea</t>
        </is>
      </c>
      <c r="F424" s="13" t="inlineStr">
        <is>
          <t>https://www.plazavea.com.pe/supermercado</t>
        </is>
      </c>
      <c r="G424" s="13" t="inlineStr">
        <is>
          <t>PROBED - VIABLE</t>
        </is>
      </c>
      <c r="H424" s="13" t="inlineStr">
        <is>
          <t>TIER_1B</t>
        </is>
      </c>
      <c r="I424" s="13" t="inlineStr">
        <is>
          <t>low</t>
        </is>
      </c>
      <c r="J424" s="13" t="n">
        <v>160</v>
      </c>
      <c r="K424" s="13" t="inlineStr">
        <is>
          <t>/api/catalog_system/pub/products/search with sc (sales channel) parameter</t>
        </is>
      </c>
      <c r="L424" s="13" t="inlineStr">
        <is>
          <t>GET /api/catalog_system/pub/products/search?_from=0&amp;_to=4 -&gt; 206, 83KB JSON, 5 products. Sample: 'Bio Bolsa PLAZAVEA Mediana' PEN 0.20.</t>
        </is>
      </c>
      <c r="M424" s="13" t="inlineStr">
        <is>
          <t>ACCEPT</t>
        </is>
      </c>
      <c r="N424" s="13" t="inlineStr">
        <is>
          <t>A - low-hanging fruit</t>
        </is>
      </c>
      <c r="O424" s="13" t="n">
        <v>5</v>
      </c>
      <c r="P424" s="13" t="inlineStr">
        <is>
          <t>VTEX</t>
        </is>
      </c>
      <c r="Q424" s="13" t="inlineStr">
        <is>
          <t>PEN</t>
        </is>
      </c>
      <c r="R424" s="13" t="inlineStr">
        <is>
          <t>/api/catalog_system/pub/products/search with the appropriate sc parameter.</t>
        </is>
      </c>
      <c r="S424" s="13" t="inlineStr">
        <is>
          <t>current, promo, card_price</t>
        </is>
      </c>
      <c r="T424" s="13" t="inlineStr">
        <is>
          <t>Intercorp's mass-market chain, positioned on everyday low prices. VTEX.</t>
        </is>
      </c>
      <c r="U424" s="13" t="inlineStr">
        <is>
          <t>Requires an address to show zone-specific assortment; the API may need a sales-channel parameter to return the right regional catalogue.</t>
        </is>
      </c>
      <c r="V424" s="13" t="inlineStr">
        <is>
          <t>P7</t>
        </is>
      </c>
    </row>
    <row r="425">
      <c r="A425" s="13" t="inlineStr">
        <is>
          <t>lac</t>
        </is>
      </c>
      <c r="B425" s="13" t="inlineStr">
        <is>
          <t>trinidad_and_tobago</t>
        </is>
      </c>
      <c r="C425" s="13" t="inlineStr">
        <is>
          <t>TTO</t>
        </is>
      </c>
      <c r="D425" s="13" t="inlineStr">
        <is>
          <t>Trinidad and Tobago</t>
        </is>
      </c>
      <c r="E425" s="13" t="inlineStr">
        <is>
          <t>Fwixt</t>
        </is>
      </c>
      <c r="F425" s="13" t="inlineStr">
        <is>
          <t>https://www.fwixt.com/</t>
        </is>
      </c>
      <c r="G425" s="13" t="inlineStr">
        <is>
          <t>PROBED - SKIP</t>
        </is>
      </c>
      <c r="H425" s="13" t="inlineStr">
        <is>
          <t>SKIP</t>
        </is>
      </c>
      <c r="I425" s="13" t="inlineStr">
        <is>
          <t>high</t>
        </is>
      </c>
      <c r="J425" s="13" t="n">
        <v>0</v>
      </c>
      <c r="K425" s="13" t="inlineStr"/>
      <c r="L425" s="13" t="inlineStr">
        <is>
          <t>Not re-probed. CSV already verdicts REJECT: free-text order form where customers type product names and estimate their own total — no catalog to scrape.</t>
        </is>
      </c>
      <c r="M425" s="13" t="inlineStr">
        <is>
          <t>REJECT</t>
        </is>
      </c>
      <c r="N425" s="13" t="inlineStr">
        <is>
          <t>not scored</t>
        </is>
      </c>
      <c r="O425" s="13" t="inlineStr"/>
      <c r="P425" s="13" t="inlineStr">
        <is>
          <t>Custom</t>
        </is>
      </c>
      <c r="Q425" s="13" t="inlineStr">
        <is>
          <t>TTD</t>
        </is>
      </c>
      <c r="R425" s="13" t="inlineStr">
        <is>
          <t>-</t>
        </is>
      </c>
      <c r="S425" s="13" t="inlineStr">
        <is>
          <t>-</t>
        </is>
      </c>
      <c r="T425" s="13" t="inlineStr">
        <is>
          <t>No catalogue at all - it is a free-text order form where the customer types product names and estimates their own total. Nothing to scrape.</t>
        </is>
      </c>
      <c r="U425" s="13" t="inlineStr">
        <is>
          <t>-</t>
        </is>
      </c>
      <c r="V425" s="13" t="inlineStr">
        <is>
          <t>P2</t>
        </is>
      </c>
    </row>
    <row r="426">
      <c r="A426" s="13" t="inlineStr">
        <is>
          <t>lac</t>
        </is>
      </c>
      <c r="B426" s="13" t="inlineStr">
        <is>
          <t>trinidad_and_tobago</t>
        </is>
      </c>
      <c r="C426" s="13" t="inlineStr">
        <is>
          <t>TTO</t>
        </is>
      </c>
      <c r="D426" s="13" t="inlineStr">
        <is>
          <t>Trinidad and Tobago</t>
        </is>
      </c>
      <c r="E426" s="13" t="inlineStr">
        <is>
          <t>Gofuh</t>
        </is>
      </c>
      <c r="F426" s="13" t="inlineStr">
        <is>
          <t>https://gofuhdeliveries.wixsite.com/gofuh</t>
        </is>
      </c>
      <c r="G426" s="13" t="inlineStr">
        <is>
          <t>PROBED - SKIP</t>
        </is>
      </c>
      <c r="H426" s="13" t="inlineStr">
        <is>
          <t>SKIP</t>
        </is>
      </c>
      <c r="I426" s="13" t="inlineStr">
        <is>
          <t>high</t>
        </is>
      </c>
      <c r="J426" s="13" t="n">
        <v>0</v>
      </c>
      <c r="K426" s="13" t="inlineStr"/>
      <c r="L426" s="13" t="inlineStr">
        <is>
          <t>curl 200/675KB (Wix). Body confirms a login wall: 'Login' (x2) and 'Enter Aisles' CTAs present, catalog itself not reachable without authenticating.</t>
        </is>
      </c>
      <c r="M426" s="13" t="inlineStr">
        <is>
          <t>SUSPECT</t>
        </is>
      </c>
      <c r="N426" s="13" t="inlineStr">
        <is>
          <t>not scored</t>
        </is>
      </c>
      <c r="O426" s="13" t="inlineStr"/>
      <c r="P426" s="13" t="inlineStr">
        <is>
          <t>Wix</t>
        </is>
      </c>
      <c r="Q426" s="13" t="inlineStr">
        <is>
          <t>TTD</t>
        </is>
      </c>
      <c r="R426" s="13" t="inlineStr">
        <is>
          <t>-</t>
        </is>
      </c>
      <c r="S426" s="13" t="inlineStr">
        <is>
          <t>-</t>
        </is>
      </c>
      <c r="T426" s="13" t="inlineStr">
        <is>
          <t>Live Wix storefront, Massy-linked; catalogue behind 'Enter Aisles' login.</t>
        </is>
      </c>
      <c r="U426" s="13" t="inlineStr">
        <is>
          <t>-</t>
        </is>
      </c>
      <c r="V426" s="13" t="inlineStr">
        <is>
          <t>P2</t>
        </is>
      </c>
    </row>
    <row r="427">
      <c r="A427" s="13" t="inlineStr">
        <is>
          <t>lac</t>
        </is>
      </c>
      <c r="B427" s="13" t="inlineStr">
        <is>
          <t>trinidad_and_tobago</t>
        </is>
      </c>
      <c r="C427" s="13" t="inlineStr">
        <is>
          <t>TTO</t>
        </is>
      </c>
      <c r="D427" s="13" t="inlineStr">
        <is>
          <t>Trinidad and Tobago</t>
        </is>
      </c>
      <c r="E427" s="13" t="inlineStr">
        <is>
          <t>Island MishMash</t>
        </is>
      </c>
      <c r="F427" s="13" t="inlineStr">
        <is>
          <t>https://islandmishmash.com/</t>
        </is>
      </c>
      <c r="G427" s="13" t="inlineStr">
        <is>
          <t>PROBED - SKIP</t>
        </is>
      </c>
      <c r="H427" s="13" t="inlineStr">
        <is>
          <t>SKIP</t>
        </is>
      </c>
      <c r="I427" s="13" t="inlineStr">
        <is>
          <t>high</t>
        </is>
      </c>
      <c r="J427" s="13" t="n">
        <v>0</v>
      </c>
      <c r="K427" s="13" t="inlineStr"/>
      <c r="L427" s="13" t="inlineStr">
        <is>
          <t>Not re-probed. CSV already verdicts REJECT: diaspora nostalgia shop shipping Caribbean goods abroad, USD-priced, not domestic pricing.</t>
        </is>
      </c>
      <c r="M427" s="13" t="inlineStr">
        <is>
          <t>REJECT</t>
        </is>
      </c>
      <c r="N427" s="13" t="inlineStr">
        <is>
          <t>not scored</t>
        </is>
      </c>
      <c r="O427" s="13" t="inlineStr"/>
      <c r="P427" s="13" t="inlineStr">
        <is>
          <t>Shopify</t>
        </is>
      </c>
      <c r="Q427" s="13" t="inlineStr">
        <is>
          <t>USD</t>
        </is>
      </c>
      <c r="R427" s="13" t="inlineStr">
        <is>
          <t>-</t>
        </is>
      </c>
      <c r="S427" s="13" t="inlineStr">
        <is>
          <t>-</t>
        </is>
      </c>
      <c r="T427" s="13" t="inlineStr">
        <is>
          <t>T2 FAIL: diaspora nostalgia shop shipping Caribbean goods abroad. Not domestic pricing.</t>
        </is>
      </c>
      <c r="U427" s="13" t="inlineStr">
        <is>
          <t>-</t>
        </is>
      </c>
      <c r="V427" s="13" t="inlineStr">
        <is>
          <t>P2</t>
        </is>
      </c>
    </row>
    <row r="428">
      <c r="A428" s="13" t="inlineStr">
        <is>
          <t>lac</t>
        </is>
      </c>
      <c r="B428" s="13" t="inlineStr">
        <is>
          <t>trinidad_and_tobago</t>
        </is>
      </c>
      <c r="C428" s="13" t="inlineStr">
        <is>
          <t>TTO</t>
        </is>
      </c>
      <c r="D428" s="13" t="inlineStr">
        <is>
          <t>Trinidad and Tobago</t>
        </is>
      </c>
      <c r="E428" s="13" t="inlineStr">
        <is>
          <t>D'Market Movers</t>
        </is>
      </c>
      <c r="F428" s="13" t="inlineStr">
        <is>
          <t>https://dmarketmovers.com/</t>
        </is>
      </c>
      <c r="G428" s="13" t="inlineStr">
        <is>
          <t>PROBED - VIABLE</t>
        </is>
      </c>
      <c r="H428" s="13" t="inlineStr">
        <is>
          <t>TIER_1B</t>
        </is>
      </c>
      <c r="I428" s="13" t="inlineStr">
        <is>
          <t>low</t>
        </is>
      </c>
      <c r="J428" s="13" t="n">
        <v>50</v>
      </c>
      <c r="K428" s="13" t="inlineStr">
        <is>
          <t>/products.json?limit=250</t>
        </is>
      </c>
      <c r="L428" s="13" t="inlineStr">
        <is>
          <t>GET /products.json?limit=250 -&gt; 200, 300KB JSON, 184 products. Sample: 'Snapper (Espeara TT)' TTD 160.00.</t>
        </is>
      </c>
      <c r="M428" s="13" t="inlineStr">
        <is>
          <t>ACCEPT</t>
        </is>
      </c>
      <c r="N428" s="13" t="inlineStr">
        <is>
          <t>not scored</t>
        </is>
      </c>
      <c r="O428" s="13" t="inlineStr"/>
      <c r="P428" s="13" t="inlineStr">
        <is>
          <t>Shopify</t>
        </is>
      </c>
      <c r="Q428" s="13" t="inlineStr">
        <is>
          <t>TTD</t>
        </is>
      </c>
      <c r="R428" s="13" t="inlineStr">
        <is>
          <t>-</t>
        </is>
      </c>
      <c r="S428" s="13" t="inlineStr">
        <is>
          <t>-</t>
        </is>
      </c>
      <c r="T428" s="13" t="inlineStr">
        <is>
          <t>Shopify (so /products.json should work), TT$ prices, strong local produce focus with named local farmers.</t>
        </is>
      </c>
      <c r="U428" s="13" t="inlineStr">
        <is>
          <t>-</t>
        </is>
      </c>
      <c r="V428" s="13" t="inlineStr">
        <is>
          <t>P2</t>
        </is>
      </c>
    </row>
    <row r="429">
      <c r="A429" s="13" t="inlineStr">
        <is>
          <t>lac</t>
        </is>
      </c>
      <c r="B429" s="13" t="inlineStr">
        <is>
          <t>trinidad_and_tobago</t>
        </is>
      </c>
      <c r="C429" s="13" t="inlineStr">
        <is>
          <t>TTO</t>
        </is>
      </c>
      <c r="D429" s="13" t="inlineStr">
        <is>
          <t>Trinidad and Tobago</t>
        </is>
      </c>
      <c r="E429" s="13" t="inlineStr">
        <is>
          <t>Door To Door West</t>
        </is>
      </c>
      <c r="F429" s="13" t="inlineStr">
        <is>
          <t>https://shop.doortodoortt.com/west/</t>
        </is>
      </c>
      <c r="G429" s="13" t="inlineStr">
        <is>
          <t>PROBED - VIABLE</t>
        </is>
      </c>
      <c r="H429" s="13" t="inlineStr">
        <is>
          <t>TIER_1B</t>
        </is>
      </c>
      <c r="I429" s="13" t="inlineStr">
        <is>
          <t>low</t>
        </is>
      </c>
      <c r="J429" s="13" t="n">
        <v>120</v>
      </c>
      <c r="K429" s="13" t="inlineStr">
        <is>
          <t>/wp-json/wc/store/v1/products</t>
        </is>
      </c>
      <c r="L429" s="13" t="inlineStr">
        <is>
          <t>GET /wp-json/wc/store/v1/products?per_page=10 -&gt; 200, 26.4KB JSON. Sample: 'White Rain Body Wash 15oz Ocean Mist' TTD 15.95. CSV also cites per-lb fresh pricing on site (onion $3.95/lb, chicken breast $23.95/lb).</t>
        </is>
      </c>
      <c r="M429" s="13" t="inlineStr">
        <is>
          <t>ACCEPT</t>
        </is>
      </c>
      <c r="N429" s="13" t="inlineStr">
        <is>
          <t>not scored</t>
        </is>
      </c>
      <c r="O429" s="13" t="inlineStr"/>
      <c r="P429" s="13" t="inlineStr">
        <is>
          <t>WordPress/WooCommerce</t>
        </is>
      </c>
      <c r="Q429" s="13" t="inlineStr">
        <is>
          <t>TTD</t>
        </is>
      </c>
      <c r="R429" s="13" t="inlineStr">
        <is>
          <t>-</t>
        </is>
      </c>
      <c r="S429" s="13" t="inlineStr">
        <is>
          <t>-</t>
        </is>
      </c>
      <c r="T429" s="13" t="inlineStr">
        <is>
          <t>STRONG: TT$ prices across a full supermarket range with per-lb fresh pricing (onion $3.95/lb, chicken breast $23.95/lb), stock flags and bundle deals. WooCommerce.</t>
        </is>
      </c>
      <c r="U429" s="13" t="inlineStr">
        <is>
          <t>-</t>
        </is>
      </c>
      <c r="V429" s="13" t="inlineStr">
        <is>
          <t>P2</t>
        </is>
      </c>
    </row>
    <row r="430">
      <c r="A430" s="13" t="inlineStr">
        <is>
          <t>lac</t>
        </is>
      </c>
      <c r="B430" s="13" t="inlineStr">
        <is>
          <t>trinidad_and_tobago</t>
        </is>
      </c>
      <c r="C430" s="13" t="inlineStr">
        <is>
          <t>TTO</t>
        </is>
      </c>
      <c r="D430" s="13" t="inlineStr">
        <is>
          <t>Trinidad and Tobago</t>
        </is>
      </c>
      <c r="E430" s="13" t="inlineStr">
        <is>
          <t>TriniCart</t>
        </is>
      </c>
      <c r="F430" s="13" t="inlineStr">
        <is>
          <t>https://trinicart.pro/</t>
        </is>
      </c>
      <c r="G430" s="13" t="inlineStr">
        <is>
          <t>PROBED - VIABLE</t>
        </is>
      </c>
      <c r="H430" s="13" t="inlineStr">
        <is>
          <t>TIER_1B</t>
        </is>
      </c>
      <c r="I430" s="13" t="inlineStr">
        <is>
          <t>medium</t>
        </is>
      </c>
      <c r="J430" s="13" t="n">
        <v>40</v>
      </c>
      <c r="K430" s="13" t="inlineStr">
        <is>
          <t>https://lmrfzrshpwqxaeorfecv.supabase.co/rest/v1/admin_content?select=value&amp;key=eq.maraval-products-v1 (Supabase REST, anon key required)</t>
        </is>
      </c>
      <c r="L430" s="13" t="inlineStr">
        <is>
          <t>curl on root -&gt; 1.9KB Vite/React SPA shell. Playwright network trace found a Supabase backend (lmrfzrshpwqxaeorfecv.supabase.co) with an anon JWT key captured from page requests. GET .../rest/v1/admin_content?select=value&amp;key=eq.maraval-products-v1 with apikey+Authorization -&gt; 200, 116KB JSON containing a 'custom' product array (173 items). Sample: 'Chief All Purpose Seasoning 40g' TTD 12.00.</t>
        </is>
      </c>
      <c r="M430" s="13" t="inlineStr">
        <is>
          <t>ACCEPT</t>
        </is>
      </c>
      <c r="N430" s="13" t="inlineStr">
        <is>
          <t>not scored</t>
        </is>
      </c>
      <c r="O430" s="13" t="inlineStr"/>
      <c r="P430" s="13" t="inlineStr">
        <is>
          <t>Custom</t>
        </is>
      </c>
      <c r="Q430" s="13" t="inlineStr">
        <is>
          <t>TTD</t>
        </is>
      </c>
      <c r="R430" s="13" t="inlineStr">
        <is>
          <t>-</t>
        </is>
      </c>
      <c r="S430" s="13" t="inlineStr">
        <is>
          <t>-</t>
        </is>
      </c>
      <c r="T430" s="13" t="inlineStr">
        <is>
          <t>Live: TT$ prices, department structure, Port of Spain. Smaller catalogue.</t>
        </is>
      </c>
      <c r="U430" s="13" t="inlineStr">
        <is>
          <t>-</t>
        </is>
      </c>
      <c r="V430" s="13" t="inlineStr">
        <is>
          <t>P2</t>
        </is>
      </c>
    </row>
    <row r="431">
      <c r="A431" s="13" t="inlineStr">
        <is>
          <t>menaap</t>
        </is>
      </c>
      <c r="B431" s="13" t="inlineStr">
        <is>
          <t>djibouti</t>
        </is>
      </c>
      <c r="C431" s="13" t="inlineStr">
        <is>
          <t>DJI</t>
        </is>
      </c>
      <c r="D431" s="13" t="inlineStr">
        <is>
          <t>Djibouti</t>
        </is>
      </c>
      <c r="E431" s="13" t="inlineStr">
        <is>
          <t>LIMO Djibouti</t>
        </is>
      </c>
      <c r="F431" s="13" t="inlineStr">
        <is>
          <t>https://limoo.online/</t>
        </is>
      </c>
      <c r="G431" s="13" t="inlineStr">
        <is>
          <t>PROBED - SKIP</t>
        </is>
      </c>
      <c r="H431" s="13" t="inlineStr">
        <is>
          <t>SKIP</t>
        </is>
      </c>
      <c r="I431" s="13" t="inlineStr">
        <is>
          <t>high</t>
        </is>
      </c>
      <c r="J431" s="13" t="n">
        <v>0</v>
      </c>
      <c r="K431" s="13" t="inlineStr">
        <is>
          <t>https://limo-app-hub.onrender.com/api/posts (unreachable)</t>
        </is>
      </c>
      <c r="L431" s="13" t="inlineStr">
        <is>
          <t>Frontend is a Vite SPA shell (200, 2671 bytes, only CSS+logo, no SSR data). Traced JS bundle /assets/index-Do_immca.js -&gt; backend host limo-app-hub.onrender.com (a Render.com deployment). curl --max-time 20 AND a follow-up --max-time 50 to https://limo-app-hub.onrender.com/api/posts both returned 0 bytes / connection timeout after TLS handshake succeeded (server never sends an HTTP response). This is not a WAF signature -- looks like a paused/dead free-tier Render service, or an endpoint requiring auth params the bundle didn't reveal via string grep.</t>
        </is>
      </c>
      <c r="M431" s="13" t="inlineStr">
        <is>
          <t>ACCEPT</t>
        </is>
      </c>
      <c r="N431" s="13" t="inlineStr">
        <is>
          <t>not scored</t>
        </is>
      </c>
      <c r="O431" s="13" t="inlineStr"/>
      <c r="P431" s="13" t="inlineStr">
        <is>
          <t>Custom</t>
        </is>
      </c>
      <c r="Q431" s="13" t="inlineStr">
        <is>
          <t>DJF</t>
        </is>
      </c>
      <c r="R431" s="13" t="inlineStr">
        <is>
          <t>-</t>
        </is>
      </c>
      <c r="S431" s="13" t="inlineStr">
        <is>
          <t>-</t>
        </is>
      </c>
      <c r="T431" s="13" t="inlineStr">
        <is>
          <t>Live: first Djibouti marketplace, Supermarche &amp; Alimentaire category, D-Money/Waafi.</t>
        </is>
      </c>
      <c r="U431" s="13" t="inlineStr">
        <is>
          <t>-</t>
        </is>
      </c>
      <c r="V431" s="13" t="inlineStr">
        <is>
          <t>P1</t>
        </is>
      </c>
    </row>
    <row r="432">
      <c r="A432" s="13" t="inlineStr">
        <is>
          <t>menaap</t>
        </is>
      </c>
      <c r="B432" s="13" t="inlineStr">
        <is>
          <t>djibouti</t>
        </is>
      </c>
      <c r="C432" s="13" t="inlineStr">
        <is>
          <t>DJI</t>
        </is>
      </c>
      <c r="D432" s="13" t="inlineStr">
        <is>
          <t>Djibouti</t>
        </is>
      </c>
      <c r="E432" s="13" t="inlineStr">
        <is>
          <t>limodjibouti.com</t>
        </is>
      </c>
      <c r="F432" s="13" t="inlineStr">
        <is>
          <t>https://www.limodjibouti.com/</t>
        </is>
      </c>
      <c r="G432" s="13" t="inlineStr">
        <is>
          <t>PROBED - SKIP</t>
        </is>
      </c>
      <c r="H432" s="13" t="inlineStr">
        <is>
          <t>SKIP</t>
        </is>
      </c>
      <c r="I432" s="13" t="inlineStr">
        <is>
          <t>low</t>
        </is>
      </c>
      <c r="J432" s="13" t="n">
        <v>0</v>
      </c>
      <c r="K432" s="13" t="inlineStr"/>
      <c r="L432" s="13" t="inlineStr">
        <is>
          <t>Not independently reprobed -- CSV note already confirms domain collision (serves a French food-delivery site in Landes/Pays Basque with EUR prices, not Djibouti). Dropped per dedup rule.</t>
        </is>
      </c>
      <c r="M432" s="13" t="inlineStr">
        <is>
          <t>REJECT</t>
        </is>
      </c>
      <c r="N432" s="13" t="inlineStr">
        <is>
          <t>not scored</t>
        </is>
      </c>
      <c r="O432" s="13" t="inlineStr"/>
      <c r="P432" s="13" t="inlineStr">
        <is>
          <t>Custom</t>
        </is>
      </c>
      <c r="Q432" s="13" t="inlineStr">
        <is>
          <t>EUR</t>
        </is>
      </c>
      <c r="R432" s="13" t="inlineStr">
        <is>
          <t>-</t>
        </is>
      </c>
      <c r="S432" s="13" t="inlineStr">
        <is>
          <t>-</t>
        </is>
      </c>
      <c r="T432" s="13" t="inlineStr">
        <is>
          <t>T1 FAIL: this domain serves a FRENCH food-delivery site (Landes/Pays Basque, EUR prices). Domain collision - use limoo.online or limodjibouti.online instead.</t>
        </is>
      </c>
      <c r="U432" s="13" t="inlineStr">
        <is>
          <t>-</t>
        </is>
      </c>
      <c r="V432" s="13" t="inlineStr">
        <is>
          <t>P1</t>
        </is>
      </c>
    </row>
    <row r="433">
      <c r="A433" s="13" t="inlineStr">
        <is>
          <t>menaap</t>
        </is>
      </c>
      <c r="B433" s="13" t="inlineStr">
        <is>
          <t>djibouti</t>
        </is>
      </c>
      <c r="C433" s="13" t="inlineStr">
        <is>
          <t>DJI</t>
        </is>
      </c>
      <c r="D433" s="13" t="inlineStr">
        <is>
          <t>Djibouti</t>
        </is>
      </c>
      <c r="E433" s="13" t="inlineStr">
        <is>
          <t>AHADO EXPRESS</t>
        </is>
      </c>
      <c r="F433" s="13" t="inlineStr">
        <is>
          <t>https://ahadoexpress.net/</t>
        </is>
      </c>
      <c r="G433" s="13" t="inlineStr">
        <is>
          <t>PROBED - VIABLE</t>
        </is>
      </c>
      <c r="H433" s="13" t="inlineStr">
        <is>
          <t>TIER_1B</t>
        </is>
      </c>
      <c r="I433" s="13" t="inlineStr">
        <is>
          <t>low</t>
        </is>
      </c>
      <c r="J433" s="13" t="n">
        <v>25</v>
      </c>
      <c r="K433" s="13" t="inlineStr">
        <is>
          <t>https://docs.google.com/spreadsheets/d/{sheetId}/gviz/tq?tqx=out:json&amp;sheet=Produits</t>
        </is>
      </c>
      <c r="L433" s="13" t="inlineStr">
        <is>
          <t>Catalog is client-rendered from a public Google Sheets gviz endpoint, not a normal REST API. Traced js/main.js -&gt; js/data-loader.js -&gt; js/config.js for sheetId, then hit https://docs.google.com/spreadsheets/d/1WnLMz5rtsKa0cCmbqNN_Fh3d_5nm99kJVmzrN4427-Y/gviz/tq?tqx=out:json&amp;sheet=Produits directly -&gt; HTTP 200, 44KB JSON-ish (gviz wrapper), 174 rows. Sample: 'Huile Bertini' and 'Bio' with variant tiers e.g. '1 paquet' 500 FDJ / 'Pack (x6)' 2900 FDJ. Categories: Nettoyage 33, Riz 21, Epices 20, Lait Poudre 18, Spaghetti 18, Lait Infantile 11, Hygiene 7, Conserves 6, Boissons 5, Huiles 5, Bebe 4, Petit Dej 4, Frais 1.</t>
        </is>
      </c>
      <c r="M433" s="13" t="inlineStr">
        <is>
          <t>ACCEPT</t>
        </is>
      </c>
      <c r="N433" s="13" t="inlineStr">
        <is>
          <t>not scored</t>
        </is>
      </c>
      <c r="O433" s="13" t="inlineStr"/>
      <c r="P433" s="13" t="inlineStr">
        <is>
          <t>Custom</t>
        </is>
      </c>
      <c r="Q433" s="13" t="inlineStr">
        <is>
          <t>DJF</t>
        </is>
      </c>
      <c r="R433" s="13" t="inlineStr">
        <is>
          <t>-</t>
        </is>
      </c>
      <c r="S433" s="13" t="inlineStr">
        <is>
          <t>-</t>
        </is>
      </c>
      <c r="T433" s="13" t="inlineStr">
        <is>
          <t>STRONG: 166 products with FDJ prices, category counts, stock flags. Best Djibouti source.</t>
        </is>
      </c>
      <c r="U433" s="13" t="inlineStr">
        <is>
          <t>-</t>
        </is>
      </c>
      <c r="V433" s="13" t="inlineStr">
        <is>
          <t>P1</t>
        </is>
      </c>
    </row>
    <row r="434">
      <c r="A434" s="13" t="inlineStr">
        <is>
          <t>menaap</t>
        </is>
      </c>
      <c r="B434" s="13" t="inlineStr">
        <is>
          <t>djibouti</t>
        </is>
      </c>
      <c r="C434" s="13" t="inlineStr">
        <is>
          <t>DJI</t>
        </is>
      </c>
      <c r="D434" s="13" t="inlineStr">
        <is>
          <t>Djibouti</t>
        </is>
      </c>
      <c r="E434" s="13" t="inlineStr">
        <is>
          <t>Djibonline</t>
        </is>
      </c>
      <c r="F434" s="13" t="inlineStr">
        <is>
          <t>https://djibonline.com/</t>
        </is>
      </c>
      <c r="G434" s="13" t="inlineStr">
        <is>
          <t>PROBED - VIABLE</t>
        </is>
      </c>
      <c r="H434" s="13" t="inlineStr">
        <is>
          <t>TIER_1B</t>
        </is>
      </c>
      <c r="I434" s="13" t="inlineStr">
        <is>
          <t>low</t>
        </is>
      </c>
      <c r="J434" s="13" t="n">
        <v>15</v>
      </c>
      <c r="K434" s="13" t="inlineStr">
        <is>
          <t>/wp-json/wc/store/v1/products?per_page=100&amp;page=N</t>
        </is>
      </c>
      <c r="L434" s="13" t="inlineStr">
        <is>
          <t>GET /wp-json/wc/store/v1/products?per_page=20 -&gt; 200, 144KB JSON. Sample: 'Flocons d'avoine Five Star – 400 g'. Price object: price=250 (minor_unit=0) -&gt; 250 Fr = 250 DJF. x-wp-total header = 142 products across 4 categories: Cartes &amp; Codes digitaux, Lait &amp; produits laitiers, Sucre &amp; petit-dejeuner, Epices.</t>
        </is>
      </c>
      <c r="M434" s="13" t="inlineStr">
        <is>
          <t>ACCEPT</t>
        </is>
      </c>
      <c r="N434" s="13" t="inlineStr">
        <is>
          <t>not scored</t>
        </is>
      </c>
      <c r="O434" s="13" t="inlineStr"/>
      <c r="P434" s="13" t="inlineStr">
        <is>
          <t>WordPress/WooCommerce</t>
        </is>
      </c>
      <c r="Q434" s="13" t="inlineStr">
        <is>
          <t>DJF</t>
        </is>
      </c>
      <c r="R434" s="13" t="inlineStr">
        <is>
          <t>-</t>
        </is>
      </c>
      <c r="S434" s="13" t="inlineStr">
        <is>
          <t>-</t>
        </is>
      </c>
      <c r="T434" s="13" t="inlineStr">
        <is>
          <t>Live: Fr prices, fresh produce and grocery aisles, Djibouti-Ville.</t>
        </is>
      </c>
      <c r="U434" s="13" t="inlineStr">
        <is>
          <t>-</t>
        </is>
      </c>
      <c r="V434" s="13" t="inlineStr">
        <is>
          <t>P1</t>
        </is>
      </c>
    </row>
    <row r="435">
      <c r="A435" s="13" t="inlineStr">
        <is>
          <t>menaap</t>
        </is>
      </c>
      <c r="B435" s="13" t="inlineStr">
        <is>
          <t>djibouti</t>
        </is>
      </c>
      <c r="C435" s="13" t="inlineStr">
        <is>
          <t>DJI</t>
        </is>
      </c>
      <c r="D435" s="13" t="inlineStr">
        <is>
          <t>Djibouti</t>
        </is>
      </c>
      <c r="E435" s="13" t="inlineStr">
        <is>
          <t>NIRIGS</t>
        </is>
      </c>
      <c r="F435" s="13" t="inlineStr">
        <is>
          <t>https://nirigs.com/</t>
        </is>
      </c>
      <c r="G435" s="13" t="inlineStr">
        <is>
          <t>PROBED - VIABLE</t>
        </is>
      </c>
      <c r="H435" s="13" t="inlineStr">
        <is>
          <t>TIER_1B</t>
        </is>
      </c>
      <c r="I435" s="13" t="inlineStr">
        <is>
          <t>low</t>
        </is>
      </c>
      <c r="J435" s="13" t="n">
        <v>30</v>
      </c>
      <c r="K435" s="13" t="inlineStr">
        <is>
          <t>/wp-json/wc/store/v1/products?per_page=100&amp;page=N</t>
        </is>
      </c>
      <c r="L435" s="13" t="inlineStr">
        <is>
          <t>GET /wp-json/wc/store/v1/products?per_page=20 -&gt; 200, 199KB JSON. Sample: 'Nuna Cereales au ble et lait des 6 mois - 350 g', price 1250 DJF (minor_unit=0). x-wp-total = 448 products across 13 categories: Alimentation, Boissons, Boissons gazeuses, Boissons vegetales, Bebe et famille, Cafe/The/Boissons, Gouters et desserts, Jus de Fruits, Laits en poudre, Laits infantiles, Petit-Dejeuner, Produits laitiers en conserves, Epicerie.</t>
        </is>
      </c>
      <c r="M435" s="13" t="inlineStr">
        <is>
          <t>ACCEPT</t>
        </is>
      </c>
      <c r="N435" s="13" t="inlineStr">
        <is>
          <t>not scored</t>
        </is>
      </c>
      <c r="O435" s="13" t="inlineStr"/>
      <c r="P435" s="13" t="inlineStr">
        <is>
          <t>WordPress/WooCommerce</t>
        </is>
      </c>
      <c r="Q435" s="13" t="inlineStr">
        <is>
          <t>DJF</t>
        </is>
      </c>
      <c r="R435" s="13" t="inlineStr">
        <is>
          <t>-</t>
        </is>
      </c>
      <c r="S435" s="13" t="inlineStr">
        <is>
          <t>-</t>
        </is>
      </c>
      <c r="T435" s="13" t="inlineStr">
        <is>
          <t>STRONG: DJF prices across epicerie, WooCommerce structure, full category tree.</t>
        </is>
      </c>
      <c r="U435" s="13" t="inlineStr">
        <is>
          <t>-</t>
        </is>
      </c>
      <c r="V435" s="13" t="inlineStr">
        <is>
          <t>P1</t>
        </is>
      </c>
    </row>
    <row r="436">
      <c r="A436" s="13" t="inlineStr">
        <is>
          <t>menaap</t>
        </is>
      </c>
      <c r="B436" s="13" t="inlineStr">
        <is>
          <t>egypt</t>
        </is>
      </c>
      <c r="C436" s="13" t="inlineStr">
        <is>
          <t>EGY</t>
        </is>
      </c>
      <c r="D436" s="13" t="inlineStr">
        <is>
          <t>Egypt</t>
        </is>
      </c>
      <c r="E436" s="13" t="inlineStr">
        <is>
          <t>Breadfast</t>
        </is>
      </c>
      <c r="F436" s="13" t="inlineStr">
        <is>
          <t>https://www.breadfast.com/</t>
        </is>
      </c>
      <c r="G436" s="13" t="inlineStr">
        <is>
          <t>PROBED - SKIP</t>
        </is>
      </c>
      <c r="H436" s="13" t="inlineStr">
        <is>
          <t>SKIP</t>
        </is>
      </c>
      <c r="I436" s="13" t="inlineStr">
        <is>
          <t>high</t>
        </is>
      </c>
      <c r="J436" s="13" t="n">
        <v>0</v>
      </c>
      <c r="K436" s="13" t="inlineStr"/>
      <c r="L436" s="13" t="inlineStr">
        <is>
          <t>curl -&gt; HTTP 463 (Cloudflare custom status, 2-byte JSON body), server: cloudflare. Matches CSV's pre-existing 'APP-ONLY' flag.</t>
        </is>
      </c>
      <c r="M436" s="13" t="inlineStr">
        <is>
          <t>SUSPECT</t>
        </is>
      </c>
      <c r="N436" s="13" t="inlineStr">
        <is>
          <t>D - hard / app / index only</t>
        </is>
      </c>
      <c r="O436" s="13" t="n">
        <v>1</v>
      </c>
      <c r="P436" s="13" t="inlineStr">
        <is>
          <t>App-only</t>
        </is>
      </c>
      <c r="Q436" s="13" t="inlineStr">
        <is>
          <t>EGP</t>
        </is>
      </c>
      <c r="R436" s="13" t="inlineStr">
        <is>
          <t>No web route. Investigate the app API if Egyptian coverage justifies the effort.</t>
        </is>
      </c>
      <c r="S436" s="13" t="inlineStr">
        <is>
          <t>current</t>
        </is>
      </c>
      <c r="T436" s="13" t="inlineStr">
        <is>
          <t>1M+ downloads, 84K reviews, own bakeries and production facilities, 24/7 delivery across Cairo, Giza and Alexandria. Vertically integrated - it BAKES its own bread and packs its own produce, so its prices are producer prices rather than retail margins on third-party goods. Analytically distinctive if it can be reached.</t>
        </is>
      </c>
      <c r="U436" s="13" t="inlineStr">
        <is>
          <t>APP-ONLY. The website is marketing; there is no web catalogue. Would need mobile-API work.</t>
        </is>
      </c>
      <c r="V436" s="13" t="inlineStr">
        <is>
          <t>P7</t>
        </is>
      </c>
    </row>
    <row r="437">
      <c r="A437" s="13" t="inlineStr">
        <is>
          <t>menaap</t>
        </is>
      </c>
      <c r="B437" s="13" t="inlineStr">
        <is>
          <t>egypt</t>
        </is>
      </c>
      <c r="C437" s="13" t="inlineStr">
        <is>
          <t>EGY</t>
        </is>
      </c>
      <c r="D437" s="13" t="inlineStr">
        <is>
          <t>Egypt</t>
        </is>
      </c>
      <c r="E437" s="13" t="inlineStr">
        <is>
          <t>Carrefour Egypt</t>
        </is>
      </c>
      <c r="F437" s="13" t="inlineStr">
        <is>
          <t>https://www.carrefouregypt.com/</t>
        </is>
      </c>
      <c r="G437" s="13" t="inlineStr">
        <is>
          <t>PROBED - SKIP</t>
        </is>
      </c>
      <c r="H437" s="13" t="inlineStr">
        <is>
          <t>SKIP</t>
        </is>
      </c>
      <c r="I437" s="13" t="inlineStr">
        <is>
          <t>high</t>
        </is>
      </c>
      <c r="J437" s="13" t="n">
        <v>0</v>
      </c>
      <c r="K437" s="13" t="inlineStr"/>
      <c r="L437" s="13" t="inlineStr">
        <is>
          <t>curl root and /mafegy/en/food-cupboard/... -&gt; HTTP 403 'Access Denied' AkamaiGHost edgesuite.net reference id. Playwright (headed-Chromium UA, domcontentloaded) on /mafegy/en/ -&gt; also HTTP 403, 310-byte identical Access-Denied body. Both curl and Playwright blocked identically.</t>
        </is>
      </c>
      <c r="M437" s="13" t="inlineStr">
        <is>
          <t>ACCEPT</t>
        </is>
      </c>
      <c r="N437" s="13" t="inlineStr">
        <is>
          <t>B - moderate effort</t>
        </is>
      </c>
      <c r="O437" s="13" t="n">
        <v>4</v>
      </c>
      <c r="P437" s="13" t="inlineStr">
        <is>
          <t>Custom (MAF stack)</t>
        </is>
      </c>
      <c r="Q437" s="13" t="inlineStr">
        <is>
          <t>EGP</t>
        </is>
      </c>
      <c r="R437" s="13" t="inlineStr">
        <is>
          <t>MAF Algolia XHR with the food-cupboard category id.</t>
        </is>
      </c>
      <c r="S437" s="13" t="inlineStr">
        <is>
          <t>current, stock_count, delivery_window, rating</t>
        </is>
      </c>
      <c r="T437" s="13" t="inlineStr">
        <is>
          <t>MAF stack, shared adapter with the Gulf, Kenya, Uganda, Pakistan and Georgia. Exposes stock counts and delivery windows alongside EGP prices. Deep food-cupboard taxonomy (oils, herbs and spices, rice, pulses and grains, flour, canned vegetables, tuna).</t>
        </is>
      </c>
      <c r="U437" s="13" t="inlineStr">
        <is>
          <t>Category pages can render substantial NON-FOOD (kettles, curling irons appeared in a food-cupboard fetch). Filter by category id rather than trusting the rendered listing.</t>
        </is>
      </c>
      <c r="V437" s="13" t="inlineStr">
        <is>
          <t>P7</t>
        </is>
      </c>
    </row>
    <row r="438">
      <c r="A438" s="13" t="inlineStr">
        <is>
          <t>menaap</t>
        </is>
      </c>
      <c r="B438" s="13" t="inlineStr">
        <is>
          <t>egypt</t>
        </is>
      </c>
      <c r="C438" s="13" t="inlineStr">
        <is>
          <t>EGY</t>
        </is>
      </c>
      <c r="D438" s="13" t="inlineStr">
        <is>
          <t>Egypt</t>
        </is>
      </c>
      <c r="E438" s="13" t="inlineStr">
        <is>
          <t>Kazyon</t>
        </is>
      </c>
      <c r="F438" s="13" t="inlineStr">
        <is>
          <t>https://kazyon.com/</t>
        </is>
      </c>
      <c r="G438" s="13" t="inlineStr">
        <is>
          <t>PROBED - SKIP</t>
        </is>
      </c>
      <c r="H438" s="13" t="inlineStr">
        <is>
          <t>SKIP</t>
        </is>
      </c>
      <c r="I438" s="13" t="inlineStr">
        <is>
          <t>high</t>
        </is>
      </c>
      <c r="J438" s="13" t="n">
        <v>0</v>
      </c>
      <c r="K438" s="13" t="inlineStr"/>
      <c r="L438" s="13" t="inlineStr">
        <is>
          <t>curl on kazyon.com -&gt; 301 to www.kazyon.com. curl on www.kazyon.com -&gt; TCP connect succeeds then 'Connection timed out after 20006ms' (curl 28). Playwright page.goto on the same URL -&gt; 'Timeout 20000ms exceeded' during navigation. Both hang identically at the TCP/handshake layer.</t>
        </is>
      </c>
      <c r="M438" s="13" t="inlineStr">
        <is>
          <t>ACCEPT</t>
        </is>
      </c>
      <c r="N438" s="13" t="inlineStr">
        <is>
          <t>C - engineering required</t>
        </is>
      </c>
      <c r="O438" s="13" t="n">
        <v>3</v>
      </c>
      <c r="P438" s="13" t="inlineStr">
        <is>
          <t>Custom</t>
        </is>
      </c>
      <c r="Q438" s="13" t="inlineStr">
        <is>
          <t>EGP</t>
        </is>
      </c>
      <c r="R438" s="13" t="inlineStr">
        <is>
          <t>-</t>
        </is>
      </c>
      <c r="S438" s="13" t="inlineStr">
        <is>
          <t>current, promo</t>
        </is>
      </c>
      <c r="T438" s="13" t="inlineStr">
        <is>
          <t>Egypt's largest hard discounter by store count, heavily present in lower-income and non-metropolitan areas. The most welfare-relevant Egyptian chain for a poverty-focused basket.</t>
        </is>
      </c>
      <c r="U438" s="13" t="inlineStr">
        <is>
          <t>-</t>
        </is>
      </c>
      <c r="V438" s="13" t="inlineStr">
        <is>
          <t>P7</t>
        </is>
      </c>
    </row>
    <row r="439">
      <c r="A439" s="13" t="inlineStr">
        <is>
          <t>menaap</t>
        </is>
      </c>
      <c r="B439" s="13" t="inlineStr">
        <is>
          <t>egypt</t>
        </is>
      </c>
      <c r="C439" s="13" t="inlineStr">
        <is>
          <t>EGY</t>
        </is>
      </c>
      <c r="D439" s="13" t="inlineStr">
        <is>
          <t>Egypt</t>
        </is>
      </c>
      <c r="E439" s="13" t="inlineStr">
        <is>
          <t>Metro Market Egypt</t>
        </is>
      </c>
      <c r="F439" s="13" t="inlineStr">
        <is>
          <t>https://www.metro-markets.com/</t>
        </is>
      </c>
      <c r="G439" s="13" t="inlineStr">
        <is>
          <t>PROBED - SKIP</t>
        </is>
      </c>
      <c r="H439" s="13" t="inlineStr">
        <is>
          <t>SKIP</t>
        </is>
      </c>
      <c r="I439" s="13" t="inlineStr">
        <is>
          <t>high</t>
        </is>
      </c>
      <c r="J439" s="13" t="n">
        <v>0</v>
      </c>
      <c r="K439" s="13" t="inlineStr">
        <is>
          <t>n/a (branch-selection gate blocks catalog rendering)</t>
        </is>
      </c>
      <c r="L439" s="13" t="inlineStr">
        <is>
          <t>curl homepage -&gt; 200 (custom Laravel-ish site, csrf-token meta). /categories, /products -&gt; 404. /shop -&gt; 200 but body is a JSON blob of HTML megamenu fragments only (category tree: Bakery/9, Bread/136, etc, confirming full taxonomy exists) -- no products/prices. Category page /categoryl1/Bakery/9 -&gt; 200 but same empty template, both via curl and a 6s Playwright render (network trace showed no product API call).</t>
        </is>
      </c>
      <c r="M439" s="13" t="inlineStr">
        <is>
          <t>SUSPECT</t>
        </is>
      </c>
      <c r="N439" s="13" t="inlineStr">
        <is>
          <t>C - engineering required</t>
        </is>
      </c>
      <c r="O439" s="13" t="n">
        <v>3</v>
      </c>
      <c r="P439" s="13" t="inlineStr">
        <is>
          <t>Custom</t>
        </is>
      </c>
      <c r="Q439" s="13" t="inlineStr">
        <is>
          <t>EGP</t>
        </is>
      </c>
      <c r="R439" s="13" t="inlineStr">
        <is>
          <t>-</t>
        </is>
      </c>
      <c r="S439" s="13" t="inlineStr">
        <is>
          <t>current</t>
        </is>
      </c>
      <c r="T439" s="13" t="inlineStr">
        <is>
          <t>Mansour-group supermarket chain.</t>
        </is>
      </c>
      <c r="U439" s="13" t="inlineStr">
        <is>
          <t>-</t>
        </is>
      </c>
      <c r="V439" s="13" t="inlineStr">
        <is>
          <t>P7</t>
        </is>
      </c>
    </row>
    <row r="440">
      <c r="A440" s="13" t="inlineStr">
        <is>
          <t>menaap</t>
        </is>
      </c>
      <c r="B440" s="13" t="inlineStr">
        <is>
          <t>egypt</t>
        </is>
      </c>
      <c r="C440" s="13" t="inlineStr">
        <is>
          <t>EGY</t>
        </is>
      </c>
      <c r="D440" s="13" t="inlineStr">
        <is>
          <t>Egypt</t>
        </is>
      </c>
      <c r="E440" s="13" t="inlineStr">
        <is>
          <t>Rabbit</t>
        </is>
      </c>
      <c r="F440" s="13" t="inlineStr">
        <is>
          <t>https://rabbitmart.com/</t>
        </is>
      </c>
      <c r="G440" s="13" t="inlineStr">
        <is>
          <t>PROBED - SKIP</t>
        </is>
      </c>
      <c r="H440" s="13" t="inlineStr">
        <is>
          <t>SKIP</t>
        </is>
      </c>
      <c r="I440" s="13" t="inlineStr">
        <is>
          <t>high</t>
        </is>
      </c>
      <c r="J440" s="13" t="n">
        <v>0</v>
      </c>
      <c r="K440" s="13" t="inlineStr"/>
      <c r="L440" s="13" t="inlineStr">
        <is>
          <t>curl -&gt; 200, 61KB, but it's a WordPress marketing page. All internal links go to /blog, /careers, /company, /partners etc.; the only 'shop' action is a deep link https://rbbt.go.link/4bKJa (app install link), plus App Store / Google Play badges. No web catalog anywhere in the HTML.</t>
        </is>
      </c>
      <c r="M440" s="13" t="inlineStr">
        <is>
          <t>SUSPECT</t>
        </is>
      </c>
      <c r="N440" s="13" t="inlineStr">
        <is>
          <t>C - engineering required</t>
        </is>
      </c>
      <c r="O440" s="13" t="n">
        <v>3</v>
      </c>
      <c r="P440" s="13" t="inlineStr">
        <is>
          <t>Custom</t>
        </is>
      </c>
      <c r="Q440" s="13" t="inlineStr">
        <is>
          <t>EGP</t>
        </is>
      </c>
      <c r="R440" s="13" t="inlineStr">
        <is>
          <t>-</t>
        </is>
      </c>
      <c r="S440" s="13" t="inlineStr">
        <is>
          <t>current</t>
        </is>
      </c>
      <c r="T440" s="13" t="inlineStr">
        <is>
          <t>Q-commerce dark-store operator, 20-minute delivery.</t>
        </is>
      </c>
      <c r="U440" s="13" t="inlineStr">
        <is>
          <t>App-led.</t>
        </is>
      </c>
      <c r="V440" s="13" t="inlineStr">
        <is>
          <t>P7</t>
        </is>
      </c>
    </row>
    <row r="441">
      <c r="A441" s="13" t="inlineStr">
        <is>
          <t>menaap</t>
        </is>
      </c>
      <c r="B441" s="13" t="inlineStr">
        <is>
          <t>egypt</t>
        </is>
      </c>
      <c r="C441" s="13" t="inlineStr">
        <is>
          <t>EGY</t>
        </is>
      </c>
      <c r="D441" s="13" t="inlineStr">
        <is>
          <t>Egypt</t>
        </is>
      </c>
      <c r="E441" s="13" t="inlineStr">
        <is>
          <t>Gourmet Egypt</t>
        </is>
      </c>
      <c r="F441" s="13" t="inlineStr">
        <is>
          <t>https://gourmetegypt.com/</t>
        </is>
      </c>
      <c r="G441" s="13" t="inlineStr">
        <is>
          <t>PROBED - VIABLE</t>
        </is>
      </c>
      <c r="H441" s="13" t="inlineStr">
        <is>
          <t>TIER_1B</t>
        </is>
      </c>
      <c r="I441" s="13" t="inlineStr">
        <is>
          <t>low</t>
        </is>
      </c>
      <c r="J441" s="13" t="n">
        <v>150</v>
      </c>
      <c r="K441" s="13" t="inlineStr">
        <is>
          <t>/graphql (Magento GraphQL, POST, no auth)</t>
        </is>
      </c>
      <c r="L441" s="13" t="inlineStr">
        <is>
          <t>curl homepage -&gt; 200, Magento fingerprint. REST /rest/V1/products -&gt; 401 (needs token, expected default). GraphQL POST /graphql (search:'rice') -&gt; 200, clean JSON: 'Kohinoor Basmati Rice' EGP 195, 'Tilda Basmati Rice' EGP 180. categoryList query confirms full-line taxonomy.</t>
        </is>
      </c>
      <c r="M441" s="13" t="inlineStr">
        <is>
          <t>ACCEPT</t>
        </is>
      </c>
      <c r="N441" s="13" t="inlineStr">
        <is>
          <t>C - engineering required</t>
        </is>
      </c>
      <c r="O441" s="13" t="n">
        <v>3</v>
      </c>
      <c r="P441" s="13" t="inlineStr">
        <is>
          <t>Custom</t>
        </is>
      </c>
      <c r="Q441" s="13" t="inlineStr">
        <is>
          <t>EGP</t>
        </is>
      </c>
      <c r="R441" s="13" t="inlineStr">
        <is>
          <t>-</t>
        </is>
      </c>
      <c r="S441" s="13" t="inlineStr">
        <is>
          <t>current</t>
        </is>
      </c>
      <c r="T441" s="13" t="inlineStr">
        <is>
          <t>Premium grocer with imported and specialty lines - upper tail of the Egyptian distribution.</t>
        </is>
      </c>
      <c r="U441" s="13" t="inlineStr">
        <is>
          <t>-</t>
        </is>
      </c>
      <c r="V441" s="13" t="inlineStr">
        <is>
          <t>P7</t>
        </is>
      </c>
    </row>
    <row r="442">
      <c r="A442" s="13" t="inlineStr">
        <is>
          <t>menaap</t>
        </is>
      </c>
      <c r="B442" s="13" t="inlineStr">
        <is>
          <t>egypt</t>
        </is>
      </c>
      <c r="C442" s="13" t="inlineStr">
        <is>
          <t>EGY</t>
        </is>
      </c>
      <c r="D442" s="13" t="inlineStr">
        <is>
          <t>Egypt</t>
        </is>
      </c>
      <c r="E442" s="13" t="inlineStr">
        <is>
          <t>Hyper One</t>
        </is>
      </c>
      <c r="F442" s="13" t="inlineStr">
        <is>
          <t>https://hyperone.com.eg/</t>
        </is>
      </c>
      <c r="G442" s="13" t="inlineStr">
        <is>
          <t>PROBED - VIABLE</t>
        </is>
      </c>
      <c r="H442" s="13" t="inlineStr">
        <is>
          <t>TIER_1B</t>
        </is>
      </c>
      <c r="I442" s="13" t="inlineStr">
        <is>
          <t>low</t>
        </is>
      </c>
      <c r="J442" s="13" t="n">
        <v>155</v>
      </c>
      <c r="K442" s="13" t="inlineStr">
        <is>
          <t>https://mcprod.hyperone.com.eg/graphql (Magento GraphQL, POST, no auth)</t>
        </is>
      </c>
      <c r="L442" s="13" t="inlineStr">
        <is>
          <t>Bare domain hyperone.com.eg does not resolve; www. subdomain -&gt; 200, Nuxt SPA. window.__NUXT__.config exposes apiUrl 'https://mcprod.hyperone.com.eg/graphql'. Direct curl POST to that endpoint (search:'rice') -&gt; 200 clean JSON: 'Top Value Luxury Egyptian Rice - 1K' EGP 26.95, 'Meeza Egyptian Rice -1K' EGP 25.95. (The site's own www.hyperone.com.eg/graphql proxy path 400s on malformed body -- use the mcprod subdomain directly.)</t>
        </is>
      </c>
      <c r="M442" s="13" t="inlineStr">
        <is>
          <t>ACCEPT</t>
        </is>
      </c>
      <c r="N442" s="13" t="inlineStr">
        <is>
          <t>C - engineering required</t>
        </is>
      </c>
      <c r="O442" s="13" t="n">
        <v>3</v>
      </c>
      <c r="P442" s="13" t="inlineStr">
        <is>
          <t>Custom</t>
        </is>
      </c>
      <c r="Q442" s="13" t="inlineStr">
        <is>
          <t>EGP</t>
        </is>
      </c>
      <c r="R442" s="13" t="inlineStr">
        <is>
          <t>-</t>
        </is>
      </c>
      <c r="S442" s="13" t="inlineStr">
        <is>
          <t>current</t>
        </is>
      </c>
      <c r="T442" s="13" t="inlineStr">
        <is>
          <t>Large Egyptian-owned hypermarket.</t>
        </is>
      </c>
      <c r="U442" s="13" t="inlineStr">
        <is>
          <t>-</t>
        </is>
      </c>
      <c r="V442" s="13" t="inlineStr">
        <is>
          <t>P7</t>
        </is>
      </c>
    </row>
    <row r="443">
      <c r="A443" s="13" t="inlineStr">
        <is>
          <t>menaap</t>
        </is>
      </c>
      <c r="B443" s="13" t="inlineStr">
        <is>
          <t>egypt</t>
        </is>
      </c>
      <c r="C443" s="13" t="inlineStr">
        <is>
          <t>EGY</t>
        </is>
      </c>
      <c r="D443" s="13" t="inlineStr">
        <is>
          <t>Egypt</t>
        </is>
      </c>
      <c r="E443" s="13" t="inlineStr">
        <is>
          <t>InstaShop Egypt</t>
        </is>
      </c>
      <c r="F443" s="13" t="inlineStr">
        <is>
          <t>https://instashop.com/en-eg/</t>
        </is>
      </c>
      <c r="G443" s="13" t="inlineStr">
        <is>
          <t>PROBED - VIABLE</t>
        </is>
      </c>
      <c r="H443" s="13" t="inlineStr">
        <is>
          <t>TIER_2</t>
        </is>
      </c>
      <c r="I443" s="13" t="inlineStr">
        <is>
          <t>high</t>
        </is>
      </c>
      <c r="J443" s="13" t="n">
        <v>0</v>
      </c>
      <c r="K443" s="13" t="inlineStr">
        <is>
          <t>/eshop/v2/superstore</t>
        </is>
      </c>
      <c r="L443" s="13" t="inlineStr">
        <is>
          <t>curl -&gt; 403 Cloudflare 'Attention Required'. Playwright renders 200 (366KB) past the challenge and captures internal API https://instashop.com/eshop/v2/superstore (597KB JSON) via network trace -- but that same endpoint hit with bare curl (even with countryCode=EG) still 403s Cloudflare, so it needs a browser-cleared session, not just the URL.</t>
        </is>
      </c>
      <c r="M443" s="13" t="inlineStr">
        <is>
          <t>ACCEPT</t>
        </is>
      </c>
      <c r="N443" s="13" t="inlineStr">
        <is>
          <t>C - engineering required</t>
        </is>
      </c>
      <c r="O443" s="13" t="n">
        <v>3</v>
      </c>
      <c r="P443" s="13" t="inlineStr">
        <is>
          <t>Custom</t>
        </is>
      </c>
      <c r="Q443" s="13" t="inlineStr">
        <is>
          <t>EGP</t>
        </is>
      </c>
      <c r="R443" s="13" t="inlineStr">
        <is>
          <t>-</t>
        </is>
      </c>
      <c r="S443" s="13" t="inlineStr">
        <is>
          <t>current</t>
        </is>
      </c>
      <c r="T443" s="13" t="inlineStr">
        <is>
          <t>Enumerates Egyptian partner supermarkets and minimarkets.</t>
        </is>
      </c>
      <c r="U443" s="13" t="inlineStr">
        <is>
          <t>-</t>
        </is>
      </c>
      <c r="V443" s="13" t="inlineStr">
        <is>
          <t>P7</t>
        </is>
      </c>
    </row>
    <row r="444">
      <c r="A444" s="13" t="inlineStr">
        <is>
          <t>menaap</t>
        </is>
      </c>
      <c r="B444" s="13" t="inlineStr">
        <is>
          <t>egypt</t>
        </is>
      </c>
      <c r="C444" s="13" t="inlineStr">
        <is>
          <t>EGY</t>
        </is>
      </c>
      <c r="D444" s="13" t="inlineStr">
        <is>
          <t>Egypt</t>
        </is>
      </c>
      <c r="E444" s="13" t="inlineStr">
        <is>
          <t>Seoudi Market</t>
        </is>
      </c>
      <c r="F444" s="13" t="inlineStr">
        <is>
          <t>https://seoudisupermarket.com/</t>
        </is>
      </c>
      <c r="G444" s="13" t="inlineStr">
        <is>
          <t>PROBED - VIABLE</t>
        </is>
      </c>
      <c r="H444" s="13" t="inlineStr">
        <is>
          <t>TIER_1B</t>
        </is>
      </c>
      <c r="I444" s="13" t="inlineStr">
        <is>
          <t>low</t>
        </is>
      </c>
      <c r="J444" s="13" t="n">
        <v>160</v>
      </c>
      <c r="K444" s="13" t="inlineStr">
        <is>
          <t>https://mcprod.seoudisupermarket.com/graphql (Magento GraphQL, POST, no auth)</t>
        </is>
      </c>
      <c r="L444" s="13" t="inlineStr">
        <is>
          <t>curl homepage -&gt; 200, Magento+Nuxt fingerprint. Page source contains apiURL 'https://mcprod.seoudisupermarket.com/graphql'. Direct curl POST (search:'rice') -&gt; 200 clean JSON: 'Al Doha Beyti Rice, Easy Rice Edition - 320g' EGP 25.75, 'Rehana Rice - 1kg' EGP 40.45.</t>
        </is>
      </c>
      <c r="M444" s="13" t="inlineStr">
        <is>
          <t>ACCEPT</t>
        </is>
      </c>
      <c r="N444" s="13" t="inlineStr">
        <is>
          <t>C - engineering required</t>
        </is>
      </c>
      <c r="O444" s="13" t="n">
        <v>3</v>
      </c>
      <c r="P444" s="13" t="inlineStr">
        <is>
          <t>Custom</t>
        </is>
      </c>
      <c r="Q444" s="13" t="inlineStr">
        <is>
          <t>EGP</t>
        </is>
      </c>
      <c r="R444" s="13" t="inlineStr">
        <is>
          <t>-</t>
        </is>
      </c>
      <c r="S444" s="13" t="inlineStr">
        <is>
          <t>current</t>
        </is>
      </c>
      <c r="T444" s="13" t="inlineStr">
        <is>
          <t>Established Cairo chain with online ordering.</t>
        </is>
      </c>
      <c r="U444" s="13" t="inlineStr">
        <is>
          <t>-</t>
        </is>
      </c>
      <c r="V444" s="13" t="inlineStr">
        <is>
          <t>P7</t>
        </is>
      </c>
    </row>
    <row r="445">
      <c r="A445" s="13" t="inlineStr">
        <is>
          <t>menaap</t>
        </is>
      </c>
      <c r="B445" s="13" t="inlineStr">
        <is>
          <t>egypt</t>
        </is>
      </c>
      <c r="C445" s="13" t="inlineStr">
        <is>
          <t>EGY</t>
        </is>
      </c>
      <c r="D445" s="13" t="inlineStr">
        <is>
          <t>Egypt</t>
        </is>
      </c>
      <c r="E445" s="13" t="inlineStr">
        <is>
          <t>Spinneys Egypt</t>
        </is>
      </c>
      <c r="F445" s="13" t="inlineStr">
        <is>
          <t>https://spinneys-egypt.com/</t>
        </is>
      </c>
      <c r="G445" s="13" t="inlineStr">
        <is>
          <t>PROBED - VIABLE</t>
        </is>
      </c>
      <c r="H445" s="13" t="inlineStr">
        <is>
          <t>TIER_1B</t>
        </is>
      </c>
      <c r="I445" s="13" t="inlineStr">
        <is>
          <t>low</t>
        </is>
      </c>
      <c r="J445" s="13" t="n">
        <v>165</v>
      </c>
      <c r="K445" s="13" t="inlineStr">
        <is>
          <t>https://mcprod.spinneys-egypt.com/graphql (Magento GraphQL, POST, no auth)</t>
        </is>
      </c>
      <c r="L445" s="13" t="inlineStr">
        <is>
          <t>curl homepage -&gt; 200, Nuxt fingerprint, config.apiURL 'https://spinneys-egypt.com/graphql' (direct proxy 400s on POST body, use mcprod subdomain instead). Direct curl POST to https://mcprod.spinneys-egypt.com/graphql (search:'rice') -&gt; 200 clean JSON: 'El Shorouk Rice - 5 Kg' EGP 163.95, 'Dayma Rice - 1K' EGP 45.25.</t>
        </is>
      </c>
      <c r="M445" s="13" t="inlineStr">
        <is>
          <t>ACCEPT</t>
        </is>
      </c>
      <c r="N445" s="13" t="inlineStr">
        <is>
          <t>C - engineering required</t>
        </is>
      </c>
      <c r="O445" s="13" t="n">
        <v>3</v>
      </c>
      <c r="P445" s="13" t="inlineStr">
        <is>
          <t>Custom</t>
        </is>
      </c>
      <c r="Q445" s="13" t="inlineStr">
        <is>
          <t>EGP</t>
        </is>
      </c>
      <c r="R445" s="13" t="inlineStr">
        <is>
          <t>-</t>
        </is>
      </c>
      <c r="S445" s="13" t="inlineStr">
        <is>
          <t>current</t>
        </is>
      </c>
      <c r="T445" s="13" t="inlineStr">
        <is>
          <t>Upper-mid supermarket chain.</t>
        </is>
      </c>
      <c r="U445" s="13" t="inlineStr">
        <is>
          <t>-</t>
        </is>
      </c>
      <c r="V445" s="13" t="inlineStr">
        <is>
          <t>P7</t>
        </is>
      </c>
    </row>
    <row r="446">
      <c r="A446" s="13" t="inlineStr">
        <is>
          <t>menaap</t>
        </is>
      </c>
      <c r="B446" s="13" t="inlineStr">
        <is>
          <t>egypt</t>
        </is>
      </c>
      <c r="C446" s="13" t="inlineStr">
        <is>
          <t>EGY</t>
        </is>
      </c>
      <c r="D446" s="13" t="inlineStr">
        <is>
          <t>Egypt</t>
        </is>
      </c>
      <c r="E446" s="13" t="inlineStr">
        <is>
          <t>Talabat Egypt</t>
        </is>
      </c>
      <c r="F446" s="13" t="inlineStr">
        <is>
          <t>https://www.talabat.com/egypt/groceries</t>
        </is>
      </c>
      <c r="G446" s="13" t="inlineStr">
        <is>
          <t>PROBED - VIABLE</t>
        </is>
      </c>
      <c r="H446" s="13" t="inlineStr">
        <is>
          <t>TIER_1A</t>
        </is>
      </c>
      <c r="I446" s="13" t="inlineStr">
        <is>
          <t>medium</t>
        </is>
      </c>
      <c r="J446" s="13" t="n">
        <v>0</v>
      </c>
      <c r="K446" s="13" t="inlineStr">
        <is>
          <t>/egypt/groceries/{areaId}/{slug} (SSR __NEXT_DATA__) + /nextLocationApi/location/country-areas/{countryId} for area enumeration</t>
        </is>
      </c>
      <c r="L446" s="13" t="inlineStr">
        <is>
          <t>curl on /egypt/groceries/&lt;areaId&gt;/&lt;slug&gt; server-renders a __NEXT_DATA__ blob with props.pageProps.vendors[] -- 20 vendors per area, no auth. First attempt with a guessed area id (59) accidentally returned Kuwaiti vendors (Talabat area IDs are NOT country-namespaced in the URL). Fixed by first calling https://www.talabat.com/nextLocationApi/location/country-areas/9 (curl, 200, 466KB JSON) which lists real Egypt area ids/slugs (country id 9 = Egypt, areas keyed by Arabic city/area names e.g. القاهرة=Cairo). Re-probed /egypt/groceries/10032/faisal-el-taawon-2 -&gt; 20 genuine Egyptian vendors: 'Souq El Aasr', 'Akher Sa'a Bakery', 'Elsuhagi For Poultry &amp; Butchery', 'Kheir Zaman', 'Carrefour', 'Metro Market', 'talabat mart', 'tKiosk by tMart'.</t>
        </is>
      </c>
      <c r="M446" s="13" t="inlineStr">
        <is>
          <t>ACCEPT</t>
        </is>
      </c>
      <c r="N446" s="13" t="inlineStr">
        <is>
          <t>C - engineering required</t>
        </is>
      </c>
      <c r="O446" s="13" t="n">
        <v>3</v>
      </c>
      <c r="P446" s="13" t="inlineStr">
        <is>
          <t>Custom</t>
        </is>
      </c>
      <c r="Q446" s="13" t="inlineStr">
        <is>
          <t>EGP</t>
        </is>
      </c>
      <c r="R446" s="13" t="inlineStr">
        <is>
          <t>Walk /egypt/groceries/&lt;id&gt;/&lt;area&gt; paths to enumerate, then crawl each store.</t>
        </is>
      </c>
      <c r="S446" s="13" t="inlineStr">
        <is>
          <t>current</t>
        </is>
      </c>
      <c r="T446" s="13" t="inlineStr">
        <is>
          <t>MAJOR ENUMERATION ASSET for Egypt. Its grocery directory names dozens of independent stores that have no web presence at all - Beit Elkhalil Market, 1st Market, Hegazy Dairy, Mango Market, Ganet Fawakeh Zananiry, Bassem Roastery, El Sawy Roastery, Freshco, Alban Falahy, Abdeen Bakery, On The Run, Circle K - plus its own talabat mart and tKiosk dark stores. Six pages of listings. This reaches TRADITIONAL and specialist retail (dairies, roasteries, fruit sellers) that no supermarket crawl would ever capture.</t>
        </is>
      </c>
      <c r="U446" s="13" t="inlineStr">
        <is>
          <t>Prices include platform margin. But for traditional-retail coverage there is often no alternative source at all, so record the channel and use it.</t>
        </is>
      </c>
      <c r="V446" s="13" t="inlineStr">
        <is>
          <t>P7</t>
        </is>
      </c>
    </row>
    <row r="447">
      <c r="A447" s="13" t="inlineStr">
        <is>
          <t>menaap</t>
        </is>
      </c>
      <c r="B447" s="13" t="inlineStr">
        <is>
          <t>egypt</t>
        </is>
      </c>
      <c r="C447" s="13" t="inlineStr">
        <is>
          <t>EGY</t>
        </is>
      </c>
      <c r="D447" s="13" t="inlineStr">
        <is>
          <t>Egypt</t>
        </is>
      </c>
      <c r="E447" s="13" t="inlineStr">
        <is>
          <t>talabat mart / tKiosk</t>
        </is>
      </c>
      <c r="F447" s="13" t="inlineStr">
        <is>
          <t>https://www.talabat.com/egypt/groceries</t>
        </is>
      </c>
      <c r="G447" s="13" t="inlineStr">
        <is>
          <t>PROBED - VIABLE</t>
        </is>
      </c>
      <c r="H447" s="13" t="inlineStr">
        <is>
          <t>TIER_1A</t>
        </is>
      </c>
      <c r="I447" s="13" t="inlineStr">
        <is>
          <t>medium</t>
        </is>
      </c>
      <c r="J447" s="13" t="n">
        <v>0</v>
      </c>
      <c r="K447" s="13" t="inlineStr">
        <is>
          <t>/egypt/groceries/{areaId}/{slug} (SSR __NEXT_DATA__) + /nextLocationApi/location/country-areas/{countryId} for area enumeration</t>
        </is>
      </c>
      <c r="L447" s="13" t="inlineStr">
        <is>
          <t>curl on /egypt/groceries/&lt;areaId&gt;/&lt;slug&gt; server-renders a __NEXT_DATA__ blob with props.pageProps.vendors[] -- 20 vendors per area, no auth. First attempt with a guessed area id (59) accidentally returned Kuwaiti vendors (Talabat area IDs are NOT country-namespaced in the URL). Fixed by first calling https://www.talabat.com/nextLocationApi/location/country-areas/9 (curl, 200, 466KB JSON) which lists real Egypt area ids/slugs (country id 9 = Egypt, areas keyed by Arabic city/area names e.g. القاهرة=Cairo). Re-probed /egypt/groceries/10032/faisal-el-taawon-2 -&gt; 20 genuine Egyptian vendors: 'Souq El Aasr', 'Akher Sa'a Bakery', 'Elsuhagi For Poultry &amp; Butchery', 'Kheir Zaman', 'Carrefour', 'Metro Market', 'talabat mart', 'tKiosk by tMart'.</t>
        </is>
      </c>
      <c r="M447" s="13" t="inlineStr">
        <is>
          <t>ACCEPT</t>
        </is>
      </c>
      <c r="N447" s="13" t="inlineStr">
        <is>
          <t>C - engineering required</t>
        </is>
      </c>
      <c r="O447" s="13" t="n">
        <v>3</v>
      </c>
      <c r="P447" s="13" t="inlineStr">
        <is>
          <t>Custom</t>
        </is>
      </c>
      <c r="Q447" s="13" t="inlineStr">
        <is>
          <t>EGP</t>
        </is>
      </c>
      <c r="R447" s="13" t="inlineStr">
        <is>
          <t>-</t>
        </is>
      </c>
      <c r="S447" s="13" t="inlineStr">
        <is>
          <t>current</t>
        </is>
      </c>
      <c r="T447" s="13" t="inlineStr">
        <is>
          <t>Talabat's OWN-INVENTORY dark stores (17-20 minute delivery) as distinct from its partner stores. Own-inventory pricing is set by the platform, partner pricing by the retailer - two different price-formation processes on one platform.</t>
        </is>
      </c>
      <c r="U447" s="13" t="inlineStr">
        <is>
          <t>Tag own-inventory versus partner; they are not the same series.</t>
        </is>
      </c>
      <c r="V447" s="13" t="inlineStr">
        <is>
          <t>P7</t>
        </is>
      </c>
    </row>
    <row r="448">
      <c r="A448" s="13" t="inlineStr">
        <is>
          <t>menaap</t>
        </is>
      </c>
      <c r="B448" s="13" t="inlineStr">
        <is>
          <t>libya</t>
        </is>
      </c>
      <c r="C448" s="13" t="inlineStr">
        <is>
          <t>LBY</t>
        </is>
      </c>
      <c r="D448" s="13" t="inlineStr">
        <is>
          <t>Libya</t>
        </is>
      </c>
      <c r="E448" s="13" t="inlineStr">
        <is>
          <t>Nawris</t>
        </is>
      </c>
      <c r="F448" s="13" t="inlineStr">
        <is>
          <t>https://nawris.net/</t>
        </is>
      </c>
      <c r="G448" s="13" t="inlineStr">
        <is>
          <t>PROBED - SKIP</t>
        </is>
      </c>
      <c r="H448" s="13" t="inlineStr">
        <is>
          <t>SKIP</t>
        </is>
      </c>
      <c r="I448" s="13" t="inlineStr">
        <is>
          <t>high</t>
        </is>
      </c>
      <c r="J448" s="13" t="n">
        <v>0</v>
      </c>
      <c r="K448" s="13" t="inlineStr"/>
      <c r="L448" s="13" t="inlineStr">
        <is>
          <t>curl -&gt; 200, but sitemap.xml lists only 8 static template pages (about.html, category.html, product.html, cart.html, tracking.html, dashboard-seller.html). category.html is a single static page hardcoded to show 'Electronics' (page &lt;title&gt; = 'إلكترونيات - النورس') regardless of any category param - a frontend demo/template, not a live per-category dynamic catalog.</t>
        </is>
      </c>
      <c r="M448" s="13" t="inlineStr">
        <is>
          <t>ACCEPT</t>
        </is>
      </c>
      <c r="N448" s="13" t="inlineStr">
        <is>
          <t>not scored</t>
        </is>
      </c>
      <c r="O448" s="13" t="inlineStr"/>
      <c r="P448" s="13" t="inlineStr">
        <is>
          <t>Custom</t>
        </is>
      </c>
      <c r="Q448" s="13" t="inlineStr">
        <is>
          <t>LYD</t>
        </is>
      </c>
      <c r="R448" s="13" t="inlineStr">
        <is>
          <t>-</t>
        </is>
      </c>
      <c r="S448" s="13" t="inlineStr">
        <is>
          <t>-</t>
        </is>
      </c>
      <c r="T448" s="13" t="inlineStr">
        <is>
          <t>Live marketplace, 17 branches, 17 cities, licensed by Libyan authorities, LYD prices.</t>
        </is>
      </c>
      <c r="U448" s="13" t="inlineStr">
        <is>
          <t>-</t>
        </is>
      </c>
      <c r="V448" s="13" t="inlineStr">
        <is>
          <t>P2</t>
        </is>
      </c>
    </row>
    <row r="449">
      <c r="A449" s="13" t="inlineStr">
        <is>
          <t>menaap</t>
        </is>
      </c>
      <c r="B449" s="13" t="inlineStr">
        <is>
          <t>libya</t>
        </is>
      </c>
      <c r="C449" s="13" t="inlineStr">
        <is>
          <t>LBY</t>
        </is>
      </c>
      <c r="D449" s="13" t="inlineStr">
        <is>
          <t>Libya</t>
        </is>
      </c>
      <c r="E449" s="13" t="inlineStr">
        <is>
          <t>Nesraf</t>
        </is>
      </c>
      <c r="F449" s="13" t="inlineStr">
        <is>
          <t>https://nesraf.com/</t>
        </is>
      </c>
      <c r="G449" s="13" t="inlineStr">
        <is>
          <t>PROBED - SKIP</t>
        </is>
      </c>
      <c r="H449" s="13" t="inlineStr">
        <is>
          <t>SKIP</t>
        </is>
      </c>
      <c r="I449" s="13" t="inlineStr">
        <is>
          <t>high</t>
        </is>
      </c>
      <c r="J449" s="13" t="n">
        <v>0</v>
      </c>
      <c r="K449" s="13" t="inlineStr"/>
      <c r="L449" s="13" t="inlineStr">
        <is>
          <t>curl -&gt; 403, 6KB, title 'Checking your browser before accessing. Just a moment...' - Cloudflare interactive JS challenge.</t>
        </is>
      </c>
      <c r="M449" s="13" t="inlineStr">
        <is>
          <t>ACCEPT</t>
        </is>
      </c>
      <c r="N449" s="13" t="inlineStr">
        <is>
          <t>not scored</t>
        </is>
      </c>
      <c r="O449" s="13" t="inlineStr"/>
      <c r="P449" s="13" t="inlineStr">
        <is>
          <t>Custom</t>
        </is>
      </c>
      <c r="Q449" s="13" t="inlineStr">
        <is>
          <t>LYD</t>
        </is>
      </c>
      <c r="R449" s="13" t="inlineStr">
        <is>
          <t>-</t>
        </is>
      </c>
      <c r="S449" s="13" t="inlineStr">
        <is>
          <t>-</t>
        </is>
      </c>
      <c r="T449" s="13" t="inlineStr">
        <is>
          <t>Live: LYD prices; broad marketplace with grocery-adjacent categories.</t>
        </is>
      </c>
      <c r="U449" s="13" t="inlineStr">
        <is>
          <t>-</t>
        </is>
      </c>
      <c r="V449" s="13" t="inlineStr">
        <is>
          <t>P1</t>
        </is>
      </c>
    </row>
    <row r="450">
      <c r="A450" s="13" t="inlineStr">
        <is>
          <t>menaap</t>
        </is>
      </c>
      <c r="B450" s="13" t="inlineStr">
        <is>
          <t>libya</t>
        </is>
      </c>
      <c r="C450" s="13" t="inlineStr">
        <is>
          <t>LBY</t>
        </is>
      </c>
      <c r="D450" s="13" t="inlineStr">
        <is>
          <t>Libya</t>
        </is>
      </c>
      <c r="E450" s="13" t="inlineStr">
        <is>
          <t>Souqly</t>
        </is>
      </c>
      <c r="F450" s="13" t="inlineStr">
        <is>
          <t>https://souqly.ly/</t>
        </is>
      </c>
      <c r="G450" s="13" t="inlineStr">
        <is>
          <t>PROBED - SKIP</t>
        </is>
      </c>
      <c r="H450" s="13" t="inlineStr">
        <is>
          <t>SKIP</t>
        </is>
      </c>
      <c r="I450" s="13" t="inlineStr">
        <is>
          <t>medium</t>
        </is>
      </c>
      <c r="J450" s="13" t="n">
        <v>0</v>
      </c>
      <c r="K450" s="13" t="inlineStr">
        <is>
          <t>N/A - no food category located</t>
        </is>
      </c>
      <c r="L450" s="13" t="inlineStr">
        <is>
          <t>curl -&gt; 200, 360KB. React/Next.js flight-data payload embedded (escaped JSON with schema.org Offer). Confirmed real: 'productName':'gamestick...','priceCurrency':'LYD','price':115. But product #1 and site framing is a general marketplace (toys/electronics), not grocery. /search?q=food(ar) -&gt; 404 (no search route at that path). No dedicated food/grocery category link found on the homepage nav.</t>
        </is>
      </c>
      <c r="M450" s="13" t="inlineStr">
        <is>
          <t>ACCEPT</t>
        </is>
      </c>
      <c r="N450" s="13" t="inlineStr">
        <is>
          <t>not scored</t>
        </is>
      </c>
      <c r="O450" s="13" t="inlineStr"/>
      <c r="P450" s="13" t="inlineStr">
        <is>
          <t>Custom</t>
        </is>
      </c>
      <c r="Q450" s="13" t="inlineStr">
        <is>
          <t>LYD</t>
        </is>
      </c>
      <c r="R450" s="13" t="inlineStr">
        <is>
          <t>-</t>
        </is>
      </c>
      <c r="S450" s="13" t="inlineStr">
        <is>
          <t>-</t>
        </is>
      </c>
      <c r="T450" s="13" t="inlineStr">
        <is>
          <t>Live: 3,800+ products, .ly domain, 'made in Libya', delivery to all cities.</t>
        </is>
      </c>
      <c r="U450" s="13" t="inlineStr">
        <is>
          <t>-</t>
        </is>
      </c>
      <c r="V450" s="13" t="inlineStr">
        <is>
          <t>P2</t>
        </is>
      </c>
    </row>
    <row r="451">
      <c r="A451" s="13" t="inlineStr">
        <is>
          <t>menaap</t>
        </is>
      </c>
      <c r="B451" s="13" t="inlineStr">
        <is>
          <t>libya</t>
        </is>
      </c>
      <c r="C451" s="13" t="inlineStr">
        <is>
          <t>LBY</t>
        </is>
      </c>
      <c r="D451" s="13" t="inlineStr">
        <is>
          <t>Libya</t>
        </is>
      </c>
      <c r="E451" s="13" t="inlineStr">
        <is>
          <t>Tripoli Market</t>
        </is>
      </c>
      <c r="F451" s="13" t="inlineStr">
        <is>
          <t>https://tripolimarket.com/</t>
        </is>
      </c>
      <c r="G451" s="13" t="inlineStr">
        <is>
          <t>PROBED - SKIP</t>
        </is>
      </c>
      <c r="H451" s="13" t="inlineStr">
        <is>
          <t>SKIP</t>
        </is>
      </c>
      <c r="I451" s="13" t="inlineStr">
        <is>
          <t>low</t>
        </is>
      </c>
      <c r="J451" s="13" t="n">
        <v>0</v>
      </c>
      <c r="K451" s="13" t="inlineStr"/>
      <c r="L451" s="13" t="inlineStr">
        <is>
          <t>Not re-probed - CSV AI_NOTES already carries confirmed evidence from a prior pass (LBP prices; this is Tripoli, LEBANON, wrong country entirely).</t>
        </is>
      </c>
      <c r="M451" s="13" t="inlineStr">
        <is>
          <t>REJECT</t>
        </is>
      </c>
      <c r="N451" s="13" t="inlineStr">
        <is>
          <t>not scored</t>
        </is>
      </c>
      <c r="O451" s="13" t="inlineStr"/>
      <c r="P451" s="13" t="inlineStr">
        <is>
          <t>WordPress/WooCommerce</t>
        </is>
      </c>
      <c r="Q451" s="13" t="inlineStr">
        <is>
          <t>LBP</t>
        </is>
      </c>
      <c r="R451" s="13" t="inlineStr">
        <is>
          <t>-</t>
        </is>
      </c>
      <c r="S451" s="13" t="inlineStr">
        <is>
          <t>-</t>
        </is>
      </c>
      <c r="T451" s="13" t="inlineStr">
        <is>
          <t>T1 FAIL: prices in Lebanese pounds. This is Tripoli, LEBANON - wrong country entirely.</t>
        </is>
      </c>
      <c r="U451" s="13" t="inlineStr">
        <is>
          <t>-</t>
        </is>
      </c>
      <c r="V451" s="13" t="inlineStr">
        <is>
          <t>P1</t>
        </is>
      </c>
    </row>
    <row r="452">
      <c r="A452" s="13" t="inlineStr">
        <is>
          <t>menaap</t>
        </is>
      </c>
      <c r="B452" s="13" t="inlineStr">
        <is>
          <t>libya</t>
        </is>
      </c>
      <c r="C452" s="13" t="inlineStr">
        <is>
          <t>LBY</t>
        </is>
      </c>
      <c r="D452" s="13" t="inlineStr">
        <is>
          <t>Libya</t>
        </is>
      </c>
      <c r="E452" s="13" t="inlineStr">
        <is>
          <t>Watti</t>
        </is>
      </c>
      <c r="F452" s="13" t="inlineStr">
        <is>
          <t>https://watti.ly/</t>
        </is>
      </c>
      <c r="G452" s="13" t="inlineStr">
        <is>
          <t>PROBED - SKIP</t>
        </is>
      </c>
      <c r="H452" s="13" t="inlineStr">
        <is>
          <t>SKIP</t>
        </is>
      </c>
      <c r="I452" s="13" t="inlineStr">
        <is>
          <t>high</t>
        </is>
      </c>
      <c r="J452" s="13" t="n">
        <v>0</v>
      </c>
      <c r="K452" s="13" t="inlineStr"/>
      <c r="L452" s="13" t="inlineStr">
        <is>
          <t>curl -&gt; 200, 56KB. Body is a landing/coming-soon page: menu items rendered are 'Lumpia with Suace', 'Fish and Veggie', 'Tofu Chili', 'Egg and Cucumber' each priced flat at '$12' with body text literally 'Lorem ipsum dolor sit, consectetur adipiscing elit, sed do eiusmod tempor' - demo/placeholder content, not a live catalog. No category or shop links found anywhere in the HTML.</t>
        </is>
      </c>
      <c r="M452" s="13" t="inlineStr">
        <is>
          <t>ACCEPT</t>
        </is>
      </c>
      <c r="N452" s="13" t="inlineStr">
        <is>
          <t>not scored</t>
        </is>
      </c>
      <c r="O452" s="13" t="inlineStr"/>
      <c r="P452" s="13" t="inlineStr">
        <is>
          <t>Custom</t>
        </is>
      </c>
      <c r="Q452" s="13" t="inlineStr">
        <is>
          <t>LYD</t>
        </is>
      </c>
      <c r="R452" s="13" t="inlineStr">
        <is>
          <t>-</t>
        </is>
      </c>
      <c r="S452" s="13" t="inlineStr">
        <is>
          <t>-</t>
        </is>
      </c>
      <c r="T452" s="13" t="inlineStr">
        <is>
          <t>Live: Libyan grocery/food delivery, .ly domain, driver and venue onboarding.</t>
        </is>
      </c>
      <c r="U452" s="13" t="inlineStr">
        <is>
          <t>-</t>
        </is>
      </c>
      <c r="V452" s="13" t="inlineStr">
        <is>
          <t>P1</t>
        </is>
      </c>
    </row>
    <row r="453">
      <c r="A453" s="13" t="inlineStr">
        <is>
          <t>menaap</t>
        </is>
      </c>
      <c r="B453" s="13" t="inlineStr">
        <is>
          <t>libya</t>
        </is>
      </c>
      <c r="C453" s="13" t="inlineStr">
        <is>
          <t>LBY</t>
        </is>
      </c>
      <c r="D453" s="13" t="inlineStr">
        <is>
          <t>Libya</t>
        </is>
      </c>
      <c r="E453" s="13" t="inlineStr">
        <is>
          <t>Al Mustawda (big.ly)</t>
        </is>
      </c>
      <c r="F453" s="13" t="inlineStr">
        <is>
          <t>https://big.ly/</t>
        </is>
      </c>
      <c r="G453" s="13" t="inlineStr">
        <is>
          <t>PROBED - VIABLE</t>
        </is>
      </c>
      <c r="H453" s="13" t="inlineStr">
        <is>
          <t>TIER_1A</t>
        </is>
      </c>
      <c r="I453" s="13" t="inlineStr">
        <is>
          <t>low</t>
        </is>
      </c>
      <c r="J453" s="13" t="n">
        <v>20</v>
      </c>
      <c r="K453" s="13" t="inlineStr">
        <is>
          <t>/food (OpenCart category route, SSR)</t>
        </is>
      </c>
      <c r="L453" s="13" t="inlineStr">
        <is>
          <t>curl GET https://big.ly/food -&gt; 200, 208KB HTML. OpenCart platform (theme 'renoxa'). Dedicated /food category (h2 title 'طعام'). Product cards parse cleanly: 'باذنجان' (Eggplant) 6.00 د.ل, 'بازلاء خضراء' (Green peas) 6.00 د.ل, 'بصل أحمر جاف' (Dry red onion) 3.50 د.ل.</t>
        </is>
      </c>
      <c r="M453" s="13" t="inlineStr">
        <is>
          <t>ACCEPT</t>
        </is>
      </c>
      <c r="N453" s="13" t="inlineStr">
        <is>
          <t>not scored</t>
        </is>
      </c>
      <c r="O453" s="13" t="inlineStr"/>
      <c r="P453" s="13" t="inlineStr">
        <is>
          <t>Custom</t>
        </is>
      </c>
      <c r="Q453" s="13" t="inlineStr">
        <is>
          <t>LYD</t>
        </is>
      </c>
      <c r="R453" s="13" t="inlineStr">
        <is>
          <t>-</t>
        </is>
      </c>
      <c r="S453" s="13" t="inlineStr">
        <is>
          <t>-</t>
        </is>
      </c>
      <c r="T453" s="13" t="inlineStr">
        <is>
          <t>Live: prices in LYD; 20,000+ completed orders; food and household categories.</t>
        </is>
      </c>
      <c r="U453" s="13" t="inlineStr">
        <is>
          <t>-</t>
        </is>
      </c>
      <c r="V453" s="13" t="inlineStr">
        <is>
          <t>P1</t>
        </is>
      </c>
    </row>
    <row r="454">
      <c r="A454" s="13" t="inlineStr">
        <is>
          <t>menaap</t>
        </is>
      </c>
      <c r="B454" s="13" t="inlineStr">
        <is>
          <t>libya</t>
        </is>
      </c>
      <c r="C454" s="13" t="inlineStr">
        <is>
          <t>LBY</t>
        </is>
      </c>
      <c r="D454" s="13" t="inlineStr">
        <is>
          <t>Libya</t>
        </is>
      </c>
      <c r="E454" s="13" t="inlineStr">
        <is>
          <t>Al Mustawda (big.ly)</t>
        </is>
      </c>
      <c r="F454" s="13" t="inlineStr">
        <is>
          <t>https://big.ly/</t>
        </is>
      </c>
      <c r="G454" s="13" t="inlineStr">
        <is>
          <t>PROBED - VIABLE</t>
        </is>
      </c>
      <c r="H454" s="13" t="inlineStr">
        <is>
          <t>TIER_1A</t>
        </is>
      </c>
      <c r="I454" s="13" t="inlineStr">
        <is>
          <t>low</t>
        </is>
      </c>
      <c r="J454" s="13" t="n">
        <v>20</v>
      </c>
      <c r="K454" s="13" t="inlineStr">
        <is>
          <t>/food (OpenCart category route, SSR)</t>
        </is>
      </c>
      <c r="L454" s="13" t="inlineStr">
        <is>
          <t>curl GET https://big.ly/food -&gt; 200, 208KB HTML. OpenCart platform (theme 'renoxa'). Dedicated /food category (h2 title 'طعام'). Product cards parse cleanly: 'باذنجان' (Eggplant) 6.00 د.ل, 'بازلاء خضراء' (Green peas) 6.00 د.ل, 'بصل أحمر جاف' (Dry red onion) 3.50 د.ل.</t>
        </is>
      </c>
      <c r="M454" s="13" t="inlineStr">
        <is>
          <t>ACCEPT</t>
        </is>
      </c>
      <c r="N454" s="13" t="inlineStr">
        <is>
          <t>not scored</t>
        </is>
      </c>
      <c r="O454" s="13" t="inlineStr"/>
      <c r="P454" s="13" t="inlineStr">
        <is>
          <t>Custom</t>
        </is>
      </c>
      <c r="Q454" s="13" t="inlineStr">
        <is>
          <t>LYD</t>
        </is>
      </c>
      <c r="R454" s="13" t="inlineStr">
        <is>
          <t>-</t>
        </is>
      </c>
      <c r="S454" s="13" t="inlineStr">
        <is>
          <t>-</t>
        </is>
      </c>
      <c r="T454" s="13" t="inlineStr">
        <is>
          <t>CONFIRMED: LYD prices, 20,273 completed orders, 4,827 users, 44 countries. Has a dedicated food category. Note it serves diaspora senders too - segregate domestic orders.</t>
        </is>
      </c>
      <c r="U454" s="13" t="inlineStr">
        <is>
          <t>-</t>
        </is>
      </c>
      <c r="V454" s="13" t="inlineStr">
        <is>
          <t>P2</t>
        </is>
      </c>
    </row>
    <row r="455">
      <c r="A455" s="13" t="inlineStr">
        <is>
          <t>menaap</t>
        </is>
      </c>
      <c r="B455" s="13" t="inlineStr">
        <is>
          <t>libya</t>
        </is>
      </c>
      <c r="C455" s="13" t="inlineStr">
        <is>
          <t>LBY</t>
        </is>
      </c>
      <c r="D455" s="13" t="inlineStr">
        <is>
          <t>Libya</t>
        </is>
      </c>
      <c r="E455" s="13" t="inlineStr">
        <is>
          <t>Matjar Libya</t>
        </is>
      </c>
      <c r="F455" s="13" t="inlineStr">
        <is>
          <t>https://www.matjar-libya.com/</t>
        </is>
      </c>
      <c r="G455" s="13" t="inlineStr">
        <is>
          <t>PROBED - VIABLE</t>
        </is>
      </c>
      <c r="H455" s="13" t="inlineStr">
        <is>
          <t>TIER_1A</t>
        </is>
      </c>
      <c r="I455" s="13" t="inlineStr">
        <is>
          <t>low</t>
        </is>
      </c>
      <c r="J455" s="13" t="n">
        <v>0</v>
      </c>
      <c r="K455" s="13" t="inlineStr">
        <is>
          <t>SSR HTML, /products</t>
        </is>
      </c>
      <c r="L455" s="13" t="inlineStr">
        <is>
          <t>curl -&gt; 200, 169KB. Real LYD prices ('179,00 د.ل', '531,00 د.ل'). Product URL slugs confirm catalogue: acm-depiwhite-advanced-creme-anti-taches (cream), aspirateur-pro-maison (vacuum cleaner), detecteur-cameras-cachees (hidden camera detector), extracteur-points-noirs (blackhead extractor) - anti-theft/cosmetics/gadget dropship, zero food SKUs.</t>
        </is>
      </c>
      <c r="M455" s="13" t="inlineStr">
        <is>
          <t>SUSPECT</t>
        </is>
      </c>
      <c r="N455" s="13" t="inlineStr">
        <is>
          <t>not scored</t>
        </is>
      </c>
      <c r="O455" s="13" t="inlineStr"/>
      <c r="P455" s="13" t="inlineStr">
        <is>
          <t>Custom</t>
        </is>
      </c>
      <c r="Q455" s="13" t="inlineStr">
        <is>
          <t>LYD</t>
        </is>
      </c>
      <c r="R455" s="13" t="inlineStr">
        <is>
          <t>-</t>
        </is>
      </c>
      <c r="S455" s="13" t="inlineStr">
        <is>
          <t>-</t>
        </is>
      </c>
      <c r="T455" s="13" t="inlineStr">
        <is>
          <t>LYD prices and COD, but catalogue is anti-theft bags, camera detectors, hair oil. Dropship-style general goods, minimal food. [RECLASSIFIED pass 3 -&gt; ACCEPT non-food]</t>
        </is>
      </c>
      <c r="U455" s="13" t="inlineStr">
        <is>
          <t>-</t>
        </is>
      </c>
      <c r="V455" s="13" t="inlineStr">
        <is>
          <t>P2</t>
        </is>
      </c>
    </row>
    <row r="456">
      <c r="A456" s="13" t="inlineStr">
        <is>
          <t>menaap</t>
        </is>
      </c>
      <c r="B456" s="13" t="inlineStr">
        <is>
          <t>libya</t>
        </is>
      </c>
      <c r="C456" s="13" t="inlineStr">
        <is>
          <t>LBY</t>
        </is>
      </c>
      <c r="D456" s="13" t="inlineStr">
        <is>
          <t>Libya</t>
        </is>
      </c>
      <c r="E456" s="13" t="inlineStr">
        <is>
          <t>Shobly</t>
        </is>
      </c>
      <c r="F456" s="13" t="inlineStr">
        <is>
          <t>https://shobly.shop/</t>
        </is>
      </c>
      <c r="G456" s="13" t="inlineStr">
        <is>
          <t>PROBED - VIABLE</t>
        </is>
      </c>
      <c r="H456" s="13" t="inlineStr">
        <is>
          <t>TIER_1A</t>
        </is>
      </c>
      <c r="I456" s="13" t="inlineStr">
        <is>
          <t>low</t>
        </is>
      </c>
      <c r="J456" s="13" t="n">
        <v>0</v>
      </c>
      <c r="K456" s="13" t="inlineStr">
        <is>
          <t>SSR HTML</t>
        </is>
      </c>
      <c r="L456" s="13" t="inlineStr">
        <is>
          <t>curl -&gt; 200, 371KB, LYD prices confirmed present. CSV pass-3 reclassification confirmed by browsing: catalogue is cosmetics/clothing/accessories, zero food/beverage SKUs.</t>
        </is>
      </c>
      <c r="M456" s="13" t="inlineStr">
        <is>
          <t>REJECT</t>
        </is>
      </c>
      <c r="N456" s="13" t="inlineStr">
        <is>
          <t>not scored</t>
        </is>
      </c>
      <c r="O456" s="13" t="inlineStr"/>
      <c r="P456" s="13" t="inlineStr">
        <is>
          <t>Custom</t>
        </is>
      </c>
      <c r="Q456" s="13" t="inlineStr">
        <is>
          <t>LYD</t>
        </is>
      </c>
      <c r="R456" s="13" t="inlineStr">
        <is>
          <t>-</t>
        </is>
      </c>
      <c r="S456" s="13" t="inlineStr">
        <is>
          <t>-</t>
        </is>
      </c>
      <c r="T456" s="13" t="inlineStr">
        <is>
          <t>LYD prices but catalogue is entirely cosmetics, clothing and accessories. No food or beverage. [RECLASSIFIED pass 3 -&gt; ACCEPT non-food, COICOP 3 and 12.1 - valuable given how thin Libyan price data is]</t>
        </is>
      </c>
      <c r="U456" s="13" t="inlineStr">
        <is>
          <t>-</t>
        </is>
      </c>
      <c r="V456" s="13" t="inlineStr">
        <is>
          <t>P2</t>
        </is>
      </c>
    </row>
    <row r="457">
      <c r="A457" s="13" t="inlineStr">
        <is>
          <t>menaap</t>
        </is>
      </c>
      <c r="B457" s="13" t="inlineStr">
        <is>
          <t>libya</t>
        </is>
      </c>
      <c r="C457" s="13" t="inlineStr">
        <is>
          <t>LBY</t>
        </is>
      </c>
      <c r="D457" s="13" t="inlineStr">
        <is>
          <t>Libya</t>
        </is>
      </c>
      <c r="E457" s="13" t="inlineStr">
        <is>
          <t>Wolt Tripoli</t>
        </is>
      </c>
      <c r="F457" s="13" t="inlineStr">
        <is>
          <t>https://wolt.com/en/grc/tripoli/category/supermarkets</t>
        </is>
      </c>
      <c r="G457" s="13" t="inlineStr">
        <is>
          <t>PROBED - VIABLE</t>
        </is>
      </c>
      <c r="H457" s="13" t="inlineStr">
        <is>
          <t>TIER_2</t>
        </is>
      </c>
      <c r="I457" s="13" t="inlineStr">
        <is>
          <t>medium</t>
        </is>
      </c>
      <c r="J457" s="13" t="n">
        <v>0</v>
      </c>
      <c r="K457" s="13" t="inlineStr">
        <is>
          <t>SPA - needs Playwright render</t>
        </is>
      </c>
      <c r="L457" s="13" t="inlineStr">
        <is>
          <t>curl 200, 1.79MB SPA shell; prices render as 'KZT0' placeholder pre-hydration - needs Playwright</t>
        </is>
      </c>
      <c r="M457" s="13" t="inlineStr">
        <is>
          <t>REJECT</t>
        </is>
      </c>
      <c r="N457" s="13" t="inlineStr">
        <is>
          <t>not scored</t>
        </is>
      </c>
      <c r="O457" s="13" t="inlineStr"/>
      <c r="P457" s="13" t="inlineStr">
        <is>
          <t>Custom</t>
        </is>
      </c>
      <c r="Q457" s="13" t="inlineStr">
        <is>
          <t>EUR</t>
        </is>
      </c>
      <c r="R457" s="13" t="inlineStr">
        <is>
          <t>-</t>
        </is>
      </c>
      <c r="S457" s="13" t="inlineStr">
        <is>
          <t>-</t>
        </is>
      </c>
      <c r="T457" s="13" t="inlineStr">
        <is>
          <t>T1 FAIL: /grc/ path and EUR prices - Tripoli, GREECE. Wrong country.</t>
        </is>
      </c>
      <c r="U457" s="13" t="inlineStr">
        <is>
          <t>-</t>
        </is>
      </c>
      <c r="V457" s="13" t="inlineStr">
        <is>
          <t>P1</t>
        </is>
      </c>
    </row>
    <row r="458">
      <c r="A458" s="13" t="inlineStr">
        <is>
          <t>menaap</t>
        </is>
      </c>
      <c r="B458" s="13" t="inlineStr">
        <is>
          <t>morocco</t>
        </is>
      </c>
      <c r="C458" s="13" t="inlineStr">
        <is>
          <t>MAR</t>
        </is>
      </c>
      <c r="D458" s="13" t="inlineStr">
        <is>
          <t>Morocco</t>
        </is>
      </c>
      <c r="E458" s="13" t="inlineStr">
        <is>
          <t>Acima</t>
        </is>
      </c>
      <c r="F458" s="13" t="inlineStr">
        <is>
          <t>https://www.acima.ma/</t>
        </is>
      </c>
      <c r="G458" s="13" t="inlineStr">
        <is>
          <t>PROBED - SKIP</t>
        </is>
      </c>
      <c r="H458" s="13" t="inlineStr">
        <is>
          <t>SKIP</t>
        </is>
      </c>
      <c r="I458" s="13" t="inlineStr">
        <is>
          <t>high</t>
        </is>
      </c>
      <c r="J458" s="13" t="n">
        <v>0</v>
      </c>
      <c r="K458" s="13" t="inlineStr"/>
      <c r="L458" s="13" t="inlineStr">
        <is>
          <t>GET / -&gt; HTTP 403 with __cf_bm cookie and cf-nel/report-to Cloudflare headers -- standard Cloudflare bot-management block.</t>
        </is>
      </c>
      <c r="M458" s="13" t="inlineStr">
        <is>
          <t>SUSPECT</t>
        </is>
      </c>
      <c r="N458" s="13" t="inlineStr">
        <is>
          <t>C - engineering required</t>
        </is>
      </c>
      <c r="O458" s="13" t="n">
        <v>3</v>
      </c>
      <c r="P458" s="13" t="inlineStr">
        <is>
          <t>Custom</t>
        </is>
      </c>
      <c r="Q458" s="13" t="inlineStr">
        <is>
          <t>MAD</t>
        </is>
      </c>
      <c r="R458" s="13" t="inlineStr">
        <is>
          <t>-</t>
        </is>
      </c>
      <c r="S458" s="13" t="inlineStr">
        <is>
          <t>current</t>
        </is>
      </c>
      <c r="T458" s="13" t="inlineStr">
        <is>
          <t>Marjane-group supermarket format - a within-group format comparison against Marjane hypermarkets.</t>
        </is>
      </c>
      <c r="U458" s="13" t="inlineStr">
        <is>
          <t>-</t>
        </is>
      </c>
      <c r="V458" s="13" t="inlineStr">
        <is>
          <t>P7</t>
        </is>
      </c>
    </row>
    <row r="459">
      <c r="A459" s="13" t="inlineStr">
        <is>
          <t>menaap</t>
        </is>
      </c>
      <c r="B459" s="13" t="inlineStr">
        <is>
          <t>morocco</t>
        </is>
      </c>
      <c r="C459" s="13" t="inlineStr">
        <is>
          <t>MAR</t>
        </is>
      </c>
      <c r="D459" s="13" t="inlineStr">
        <is>
          <t>Morocco</t>
        </is>
      </c>
      <c r="E459" s="13" t="inlineStr">
        <is>
          <t>BIM Maroc</t>
        </is>
      </c>
      <c r="F459" s="13" t="inlineStr">
        <is>
          <t>https://www.bim.ma/</t>
        </is>
      </c>
      <c r="G459" s="13" t="inlineStr">
        <is>
          <t>PROBED - SKIP</t>
        </is>
      </c>
      <c r="H459" s="13" t="inlineStr">
        <is>
          <t>SKIP</t>
        </is>
      </c>
      <c r="I459" s="13" t="inlineStr">
        <is>
          <t>high</t>
        </is>
      </c>
      <c r="J459" s="13" t="n">
        <v>0</v>
      </c>
      <c r="K459" s="13" t="inlineStr"/>
      <c r="L459" s="13" t="inlineStr">
        <is>
          <t>GET / -&gt; 200, 16KB. Custom 'KuramPortal' CMS (Turkish BIM's platform), no /shop, /catalog, /product links found in homepage HTML; only a static 'presentation-du-produit' info page. Matches the CSV's own note ('leaflet-led; the weekly catalogue may be the only priced artefact').</t>
        </is>
      </c>
      <c r="M459" s="13" t="inlineStr">
        <is>
          <t>ACCEPT</t>
        </is>
      </c>
      <c r="N459" s="13" t="inlineStr">
        <is>
          <t>C - engineering required</t>
        </is>
      </c>
      <c r="O459" s="13" t="n">
        <v>3</v>
      </c>
      <c r="P459" s="13" t="inlineStr">
        <is>
          <t>Custom</t>
        </is>
      </c>
      <c r="Q459" s="13" t="inlineStr">
        <is>
          <t>MAD</t>
        </is>
      </c>
      <c r="R459" s="13" t="inlineStr">
        <is>
          <t>-</t>
        </is>
      </c>
      <c r="S459" s="13" t="inlineStr">
        <is>
          <t>promo</t>
        </is>
      </c>
      <c r="T459" s="13" t="inlineStr">
        <is>
          <t>Turkish-owned hard discounter with very wide store coverage in smaller Moroccan towns - the best proxy available for non-metropolitan Moroccan prices.</t>
        </is>
      </c>
      <c r="U459" s="13" t="inlineStr">
        <is>
          <t>Leaflet-led; the weekly catalogue may be the only priced artefact.</t>
        </is>
      </c>
      <c r="V459" s="13" t="inlineStr">
        <is>
          <t>P7</t>
        </is>
      </c>
    </row>
    <row r="460">
      <c r="A460" s="13" t="inlineStr">
        <is>
          <t>menaap</t>
        </is>
      </c>
      <c r="B460" s="13" t="inlineStr">
        <is>
          <t>morocco</t>
        </is>
      </c>
      <c r="C460" s="13" t="inlineStr">
        <is>
          <t>MAR</t>
        </is>
      </c>
      <c r="D460" s="13" t="inlineStr">
        <is>
          <t>Morocco</t>
        </is>
      </c>
      <c r="E460" s="13" t="inlineStr">
        <is>
          <t>Chari.ma</t>
        </is>
      </c>
      <c r="F460" s="13" t="inlineStr">
        <is>
          <t>https://chari.ma/</t>
        </is>
      </c>
      <c r="G460" s="13" t="inlineStr">
        <is>
          <t>PROBED - SKIP</t>
        </is>
      </c>
      <c r="H460" s="13" t="inlineStr">
        <is>
          <t>SKIP</t>
        </is>
      </c>
      <c r="I460" s="13" t="inlineStr">
        <is>
          <t>medium</t>
        </is>
      </c>
      <c r="J460" s="13" t="n">
        <v>0</v>
      </c>
      <c r="K460" s="13" t="inlineStr"/>
      <c r="L460" s="13" t="inlineStr">
        <is>
          <t>GET / -&gt; 200, 338KB, but &lt;title&gt; reads 'Le portefeuille electronique pour tous les Marocains' (the e-wallet for all Moroccans) -- the live site is now a fintech/e-wallet product page, not the B2B wholesale epicerie marketplace described in the CSV's AI_NOTES.</t>
        </is>
      </c>
      <c r="M460" s="13" t="inlineStr">
        <is>
          <t>ACCEPT</t>
        </is>
      </c>
      <c r="N460" s="13" t="inlineStr">
        <is>
          <t>C - engineering required</t>
        </is>
      </c>
      <c r="O460" s="13" t="n">
        <v>3</v>
      </c>
      <c r="P460" s="13" t="inlineStr">
        <is>
          <t>Custom</t>
        </is>
      </c>
      <c r="Q460" s="13" t="inlineStr">
        <is>
          <t>MAD</t>
        </is>
      </c>
      <c r="R460" s="13" t="inlineStr">
        <is>
          <t>-</t>
        </is>
      </c>
      <c r="S460" s="13" t="inlineStr">
        <is>
          <t>wholesale_price</t>
        </is>
      </c>
      <c r="T460" s="13" t="inlineStr">
        <is>
          <t>B2B wholesale platform supplying Morocco's traditional epiceries. This is the INFORMAL-RETAIL SUPPLY CHAIN, which is where most Moroccan households actually shop. Pairing Chari wholesale with Marjane retail approximates the modern-versus-traditional price wedge.</t>
        </is>
      </c>
      <c r="U460" s="13" t="inlineStr">
        <is>
          <t>B2B pricing; do not treat as consumer prices.</t>
        </is>
      </c>
      <c r="V460" s="13" t="inlineStr">
        <is>
          <t>P7</t>
        </is>
      </c>
    </row>
    <row r="461">
      <c r="A461" s="13" t="inlineStr">
        <is>
          <t>menaap</t>
        </is>
      </c>
      <c r="B461" s="13" t="inlineStr">
        <is>
          <t>morocco</t>
        </is>
      </c>
      <c r="C461" s="13" t="inlineStr">
        <is>
          <t>MAR</t>
        </is>
      </c>
      <c r="D461" s="13" t="inlineStr">
        <is>
          <t>Morocco</t>
        </is>
      </c>
      <c r="E461" s="13" t="inlineStr">
        <is>
          <t>Glovo Morocco</t>
        </is>
      </c>
      <c r="F461" s="13" t="inlineStr">
        <is>
          <t>https://glovoapp.com/fr/ma/</t>
        </is>
      </c>
      <c r="G461" s="13" t="inlineStr">
        <is>
          <t>PROBED - SKIP</t>
        </is>
      </c>
      <c r="H461" s="13" t="inlineStr">
        <is>
          <t>SKIP</t>
        </is>
      </c>
      <c r="I461" s="13" t="inlineStr">
        <is>
          <t>medium</t>
        </is>
      </c>
      <c r="J461" s="13" t="n">
        <v>0</v>
      </c>
      <c r="K461" s="13" t="inlineStr"/>
      <c r="L461" s="13" t="inlineStr">
        <is>
          <t>Not independently re-probed this round; CSV notes catalogue is client-rendered (SPA).</t>
        </is>
      </c>
      <c r="M461" s="13" t="inlineStr">
        <is>
          <t>ACCEPT</t>
        </is>
      </c>
      <c r="N461" s="13" t="inlineStr">
        <is>
          <t>C - engineering required</t>
        </is>
      </c>
      <c r="O461" s="13" t="n">
        <v>3</v>
      </c>
      <c r="P461" s="13" t="inlineStr">
        <is>
          <t>Custom</t>
        </is>
      </c>
      <c r="Q461" s="13" t="inlineStr">
        <is>
          <t>MAD</t>
        </is>
      </c>
      <c r="R461" s="13" t="inlineStr">
        <is>
          <t>-</t>
        </is>
      </c>
      <c r="S461" s="13" t="inlineStr">
        <is>
          <t>current</t>
        </is>
      </c>
      <c r="T461" s="13" t="inlineStr">
        <is>
          <t>City-page enumeration across Moroccan cities.</t>
        </is>
      </c>
      <c r="U461" s="13" t="inlineStr">
        <is>
          <t>-</t>
        </is>
      </c>
      <c r="V461" s="13" t="inlineStr">
        <is>
          <t>P7</t>
        </is>
      </c>
    </row>
    <row r="462">
      <c r="A462" s="13" t="inlineStr">
        <is>
          <t>menaap</t>
        </is>
      </c>
      <c r="B462" s="13" t="inlineStr">
        <is>
          <t>morocco</t>
        </is>
      </c>
      <c r="C462" s="13" t="inlineStr">
        <is>
          <t>MAR</t>
        </is>
      </c>
      <c r="D462" s="13" t="inlineStr">
        <is>
          <t>Morocco</t>
        </is>
      </c>
      <c r="E462" s="13" t="inlineStr">
        <is>
          <t>Jumia Morocco</t>
        </is>
      </c>
      <c r="F462" s="13" t="inlineStr">
        <is>
          <t>https://www.jumia.ma/</t>
        </is>
      </c>
      <c r="G462" s="13" t="inlineStr">
        <is>
          <t>PROBED - SKIP</t>
        </is>
      </c>
      <c r="H462" s="13" t="inlineStr">
        <is>
          <t>SKIP</t>
        </is>
      </c>
      <c r="I462" s="13" t="inlineStr">
        <is>
          <t>high</t>
        </is>
      </c>
      <c r="J462" s="13" t="n">
        <v>0</v>
      </c>
      <c r="K462" s="13" t="inlineStr"/>
      <c r="L462" s="13" t="inlineStr">
        <is>
          <t>GET / -&gt; HTTP 403. GET /catalog/?q=riz -&gt; HTTP 403, small body (5.7-5.8KB), consistent Cloudflare-family block on both root and search.</t>
        </is>
      </c>
      <c r="M462" s="13" t="inlineStr">
        <is>
          <t>ACCEPT</t>
        </is>
      </c>
      <c r="N462" s="13" t="inlineStr">
        <is>
          <t>C - engineering required</t>
        </is>
      </c>
      <c r="O462" s="13" t="n">
        <v>3</v>
      </c>
      <c r="P462" s="13" t="inlineStr">
        <is>
          <t>Custom</t>
        </is>
      </c>
      <c r="Q462" s="13" t="inlineStr">
        <is>
          <t>MAD</t>
        </is>
      </c>
      <c r="R462" s="13" t="inlineStr">
        <is>
          <t>-</t>
        </is>
      </c>
      <c r="S462" s="13" t="inlineStr">
        <is>
          <t>current, discount_pct</t>
        </is>
      </c>
      <c r="T462" s="13" t="inlineStr">
        <is>
          <t>Shared Jumia adapter. Morocco is one of Jumia's retained core markets, unlike Tunisia and Algeria which it exited.</t>
        </is>
      </c>
      <c r="U462" s="13" t="inlineStr">
        <is>
          <t>Confirm trading status before each run - Jumia has exited neighbouring markets.</t>
        </is>
      </c>
      <c r="V462" s="13" t="inlineStr">
        <is>
          <t>P7</t>
        </is>
      </c>
    </row>
    <row r="463">
      <c r="A463" s="13" t="inlineStr">
        <is>
          <t>menaap</t>
        </is>
      </c>
      <c r="B463" s="13" t="inlineStr">
        <is>
          <t>morocco</t>
        </is>
      </c>
      <c r="C463" s="13" t="inlineStr">
        <is>
          <t>MAR</t>
        </is>
      </c>
      <c r="D463" s="13" t="inlineStr">
        <is>
          <t>Morocco</t>
        </is>
      </c>
      <c r="E463" s="13" t="inlineStr">
        <is>
          <t>Marjane</t>
        </is>
      </c>
      <c r="F463" s="13" t="inlineStr">
        <is>
          <t>https://www.marjane.ma/</t>
        </is>
      </c>
      <c r="G463" s="13" t="inlineStr">
        <is>
          <t>PROBED - SKIP</t>
        </is>
      </c>
      <c r="H463" s="13" t="inlineStr">
        <is>
          <t>SKIP</t>
        </is>
      </c>
      <c r="I463" s="13" t="inlineStr">
        <is>
          <t>high</t>
        </is>
      </c>
      <c r="J463" s="13" t="n">
        <v>0</v>
      </c>
      <c r="K463" s="13" t="inlineStr"/>
      <c r="L463" s="13" t="inlineStr">
        <is>
          <t>GET / -&gt; HTTP 403, 1457 bytes.</t>
        </is>
      </c>
      <c r="M463" s="13" t="inlineStr">
        <is>
          <t>ACCEPT</t>
        </is>
      </c>
      <c r="N463" s="13" t="inlineStr">
        <is>
          <t>C - engineering required</t>
        </is>
      </c>
      <c r="O463" s="13" t="n">
        <v>3</v>
      </c>
      <c r="P463" s="13" t="inlineStr">
        <is>
          <t>Custom</t>
        </is>
      </c>
      <c r="Q463" s="13" t="inlineStr">
        <is>
          <t>MAD</t>
        </is>
      </c>
      <c r="R463" s="13" t="inlineStr">
        <is>
          <t>Try done.ma/fr/store/marjane and the Glovo Casablanca store path first.</t>
        </is>
      </c>
      <c r="S463" s="13" t="inlineStr">
        <is>
          <t>current, promo, loyalty_balance</t>
        </is>
      </c>
      <c r="T463" s="13" t="inlineStr">
        <is>
          <t>Morocco's dominant hypermarket group, roughly 6,000 food and market products online. Explicitly positions itself as a major supporter of LOCAL Moroccan production, working with farmers and artisans - so its assortment should carry a higher share of domestic goods than an import-led chain, which matters for basket representativeness.</t>
        </is>
      </c>
      <c r="U463" s="13" t="inlineStr">
        <is>
          <t>The main site is largely a shell around the app; the deeper catalogue sits in the app or on the Done and Glovo platforms.</t>
        </is>
      </c>
      <c r="V463" s="13" t="inlineStr">
        <is>
          <t>P7</t>
        </is>
      </c>
    </row>
    <row r="464">
      <c r="A464" s="13" t="inlineStr">
        <is>
          <t>menaap</t>
        </is>
      </c>
      <c r="B464" s="13" t="inlineStr">
        <is>
          <t>morocco</t>
        </is>
      </c>
      <c r="C464" s="13" t="inlineStr">
        <is>
          <t>MAR</t>
        </is>
      </c>
      <c r="D464" s="13" t="inlineStr">
        <is>
          <t>Morocco</t>
        </is>
      </c>
      <c r="E464" s="13" t="inlineStr">
        <is>
          <t>Marjane Market via Glovo</t>
        </is>
      </c>
      <c r="F464" s="13" t="inlineStr">
        <is>
          <t>https://glovoapp.com/fr/ma/casablanca/stores/marjane</t>
        </is>
      </c>
      <c r="G464" s="13" t="inlineStr">
        <is>
          <t>PROBED - SKIP</t>
        </is>
      </c>
      <c r="H464" s="13" t="inlineStr">
        <is>
          <t>SKIP</t>
        </is>
      </c>
      <c r="I464" s="13" t="inlineStr">
        <is>
          <t>medium</t>
        </is>
      </c>
      <c r="J464" s="13" t="n">
        <v>0</v>
      </c>
      <c r="K464" s="13" t="inlineStr"/>
      <c r="L464" s="13" t="inlineStr">
        <is>
          <t>Not independently re-probed this round; CSV notes catalogue is client-rendered (SPA).</t>
        </is>
      </c>
      <c r="M464" s="13" t="inlineStr">
        <is>
          <t>ACCEPT</t>
        </is>
      </c>
      <c r="N464" s="13" t="inlineStr">
        <is>
          <t>C - engineering required</t>
        </is>
      </c>
      <c r="O464" s="13" t="n">
        <v>3</v>
      </c>
      <c r="P464" s="13" t="inlineStr">
        <is>
          <t>Custom</t>
        </is>
      </c>
      <c r="Q464" s="13" t="inlineStr">
        <is>
          <t>MAD</t>
        </is>
      </c>
      <c r="R464" s="13" t="inlineStr">
        <is>
          <t>-</t>
        </is>
      </c>
      <c r="S464" s="13" t="inlineStr">
        <is>
          <t>current</t>
        </is>
      </c>
      <c r="T464" s="13" t="inlineStr">
        <is>
          <t>Third route into Marjane assortment. Having three independent channels for one chain lets you measure CHANNEL price differences within a single retailer - own site, Done, Glovo.</t>
        </is>
      </c>
      <c r="U464" s="13" t="inlineStr">
        <is>
          <t>-</t>
        </is>
      </c>
      <c r="V464" s="13" t="inlineStr">
        <is>
          <t>P7</t>
        </is>
      </c>
    </row>
    <row r="465">
      <c r="A465" s="13" t="inlineStr">
        <is>
          <t>menaap</t>
        </is>
      </c>
      <c r="B465" s="13" t="inlineStr">
        <is>
          <t>morocco</t>
        </is>
      </c>
      <c r="C465" s="13" t="inlineStr">
        <is>
          <t>MAR</t>
        </is>
      </c>
      <c r="D465" s="13" t="inlineStr">
        <is>
          <t>Morocco</t>
        </is>
      </c>
      <c r="E465" s="13" t="inlineStr">
        <is>
          <t>Marjane via Done</t>
        </is>
      </c>
      <c r="F465" s="13" t="inlineStr">
        <is>
          <t>https://done.ma/fr/store/marjane/</t>
        </is>
      </c>
      <c r="G465" s="13" t="inlineStr">
        <is>
          <t>PROBED - SKIP</t>
        </is>
      </c>
      <c r="H465" s="13" t="inlineStr">
        <is>
          <t>SKIP</t>
        </is>
      </c>
      <c r="I465" s="13" t="inlineStr">
        <is>
          <t>high</t>
        </is>
      </c>
      <c r="J465" s="13" t="n">
        <v>0</v>
      </c>
      <c r="K465" s="13" t="inlineStr"/>
      <c r="L465" s="13" t="inlineStr">
        <is>
          <t>GET -&gt; 200, 102KB, WordPress (donepress theme). Only 8 product/prix/MAD mentions; page is an app-download landing page ('Telecharger l'app', App Store / Google Play links, wp-json oembed only) with category teaser cards, not a real catalog.</t>
        </is>
      </c>
      <c r="M465" s="13" t="inlineStr">
        <is>
          <t>ACCEPT</t>
        </is>
      </c>
      <c r="N465" s="13" t="inlineStr">
        <is>
          <t>C - engineering required</t>
        </is>
      </c>
      <c r="O465" s="13" t="n">
        <v>3</v>
      </c>
      <c r="P465" s="13" t="inlineStr">
        <is>
          <t>Custom</t>
        </is>
      </c>
      <c r="Q465" s="13" t="inlineStr">
        <is>
          <t>MAD</t>
        </is>
      </c>
      <c r="R465" s="13" t="inlineStr">
        <is>
          <t>Walk the Done store paths per city.</t>
        </is>
      </c>
      <c r="S465" s="13" t="inlineStr">
        <is>
          <t>current</t>
        </is>
      </c>
      <c r="T465" s="13" t="inlineStr">
        <is>
          <t>Done is a Moroccan delivery platform carrying Marjane across NINE cities - Agadir, Fes, Casablanca, Kenitra, Marrakech, Rabat, Sale, Tanger, Temara - with 15-20 minute delivery from 7 MAD. Nine-city coverage from one adapter is strong spatial value for Morocco.</t>
        </is>
      </c>
      <c r="U465" s="13" t="inlineStr">
        <is>
          <t>-</t>
        </is>
      </c>
      <c r="V465" s="13" t="inlineStr">
        <is>
          <t>P7</t>
        </is>
      </c>
    </row>
    <row r="466">
      <c r="A466" s="13" t="inlineStr">
        <is>
          <t>menaap</t>
        </is>
      </c>
      <c r="B466" s="13" t="inlineStr">
        <is>
          <t>morocco</t>
        </is>
      </c>
      <c r="C466" s="13" t="inlineStr">
        <is>
          <t>MAR</t>
        </is>
      </c>
      <c r="D466" s="13" t="inlineStr">
        <is>
          <t>Morocco</t>
        </is>
      </c>
      <c r="E466" s="13" t="inlineStr">
        <is>
          <t>Aswak Assalam</t>
        </is>
      </c>
      <c r="F466" s="13" t="inlineStr">
        <is>
          <t>https://www.aswakassalam.com/</t>
        </is>
      </c>
      <c r="G466" s="13" t="inlineStr">
        <is>
          <t>PROBED - VIABLE</t>
        </is>
      </c>
      <c r="H466" s="13" t="inlineStr">
        <is>
          <t>TIER_1B</t>
        </is>
      </c>
      <c r="I466" s="13" t="inlineStr">
        <is>
          <t>low</t>
        </is>
      </c>
      <c r="J466" s="13" t="n">
        <v>150</v>
      </c>
      <c r="K466" s="13" t="inlineStr">
        <is>
          <t>/wp-json/wc/store/v1/products?per_page=100&amp;page=N</t>
        </is>
      </c>
      <c r="L466" s="13" t="inlineStr">
        <is>
          <t>GET /wp-json/wc/store/v1/products?per_page=20 -&gt; 200, 61KB JSON. Sample: 'PATE A TARTINER 350G NUTELLA', price 4550 (minor_unit=2) = 45.50 MAD, currency_code MAD. x-wp-total = 5260 products. /wp-json/wc/store/v1/products/categories?per_page=100 -&gt; 100 categories including BOUCHERIE 11, BOUCHERIE &amp; VOLAILLE 24, BOULANGERIE 72, CHARCUTERIE &amp; TRAITEUR 105, CHARCUTERIE A BASE DE VIANDE 14, CHARCUTERIE A BASE DE VOLAILLE 57, CREMERIE 343, CONSERVES 208, BOISSONS 311, EAU 86, BISCUITERIE &amp; CONFISERIE 827.</t>
        </is>
      </c>
      <c r="M466" s="13" t="inlineStr">
        <is>
          <t>ACCEPT</t>
        </is>
      </c>
      <c r="N466" s="13" t="inlineStr">
        <is>
          <t>C - engineering required</t>
        </is>
      </c>
      <c r="O466" s="13" t="n">
        <v>3</v>
      </c>
      <c r="P466" s="13" t="inlineStr">
        <is>
          <t>Custom</t>
        </is>
      </c>
      <c r="Q466" s="13" t="inlineStr">
        <is>
          <t>MAD</t>
        </is>
      </c>
      <c r="R466" s="13" t="inlineStr">
        <is>
          <t>-</t>
        </is>
      </c>
      <c r="S466" s="13" t="inlineStr">
        <is>
          <t>current, promo</t>
        </is>
      </c>
      <c r="T466" s="13" t="inlineStr">
        <is>
          <t>Ynna-group hypermarket chain, third national player.</t>
        </is>
      </c>
      <c r="U466" s="13" t="inlineStr">
        <is>
          <t>-</t>
        </is>
      </c>
      <c r="V466" s="13" t="inlineStr">
        <is>
          <t>P7</t>
        </is>
      </c>
    </row>
    <row r="467">
      <c r="A467" s="13" t="inlineStr">
        <is>
          <t>menaap</t>
        </is>
      </c>
      <c r="B467" s="13" t="inlineStr">
        <is>
          <t>morocco</t>
        </is>
      </c>
      <c r="C467" s="13" t="inlineStr">
        <is>
          <t>MAR</t>
        </is>
      </c>
      <c r="D467" s="13" t="inlineStr">
        <is>
          <t>Morocco</t>
        </is>
      </c>
      <c r="E467" s="13" t="inlineStr">
        <is>
          <t>Carrefour Maroc (Label'Vie)</t>
        </is>
      </c>
      <c r="F467" s="13" t="inlineStr">
        <is>
          <t>https://www.carrefour.ma/</t>
        </is>
      </c>
      <c r="G467" s="13" t="inlineStr">
        <is>
          <t>PROBED - VIABLE</t>
        </is>
      </c>
      <c r="H467" s="13" t="inlineStr">
        <is>
          <t>TIER_2</t>
        </is>
      </c>
      <c r="I467" s="13" t="inlineStr">
        <is>
          <t>medium</t>
        </is>
      </c>
      <c r="J467" s="13" t="n">
        <v>0</v>
      </c>
      <c r="K467" s="13" t="inlineStr">
        <is>
          <t>unknown -- needs Playwright network trace</t>
        </is>
      </c>
      <c r="L467" s="13" t="inlineStr">
        <is>
          <t>www.carrefour.ma does not resolve (no A/CNAME for www); apex carrefour.ma -&gt; 200, 55KB, but is a Next.js app-router SPA shell with zero product/price mentions in SSR HTML (grep for product|prix|MAD = 0 hits). Guessed API paths (/api/catalog_system/pub/products/search, /api/products) all 404 to the identical 55KB shell -- Next.js client-side catch-all, not real 404s. Did not run Playwright network capture (budget); the real API is not discoverable from static HTML alone.</t>
        </is>
      </c>
      <c r="M467" s="13" t="inlineStr">
        <is>
          <t>ACCEPT</t>
        </is>
      </c>
      <c r="N467" s="13" t="inlineStr">
        <is>
          <t>C - engineering required</t>
        </is>
      </c>
      <c r="O467" s="13" t="n">
        <v>3</v>
      </c>
      <c r="P467" s="13" t="inlineStr">
        <is>
          <t>Custom</t>
        </is>
      </c>
      <c r="Q467" s="13" t="inlineStr">
        <is>
          <t>MAD</t>
        </is>
      </c>
      <c r="R467" s="13" t="inlineStr">
        <is>
          <t>-</t>
        </is>
      </c>
      <c r="S467" s="13" t="inlineStr">
        <is>
          <t>current, promo</t>
        </is>
      </c>
      <c r="T467" s="13" t="inlineStr">
        <is>
          <t>Operated by Label'Vie, not MAF, so it does NOT share the MAF/Algolia stack used elsewhere in MENA. Build a separate adapter.</t>
        </is>
      </c>
      <c r="U467" s="13" t="inlineStr">
        <is>
          <t>Do not assume the MAF Carrefour recipe works here - different operator, different platform.</t>
        </is>
      </c>
      <c r="V467" s="13" t="inlineStr">
        <is>
          <t>P7</t>
        </is>
      </c>
    </row>
    <row r="468">
      <c r="A468" s="13" t="inlineStr">
        <is>
          <t>menaap</t>
        </is>
      </c>
      <c r="B468" s="13" t="inlineStr">
        <is>
          <t>yemen</t>
        </is>
      </c>
      <c r="C468" s="13" t="inlineStr">
        <is>
          <t>YEM</t>
        </is>
      </c>
      <c r="D468" s="13" t="inlineStr">
        <is>
          <t>Yemen</t>
        </is>
      </c>
      <c r="E468" s="13" t="inlineStr">
        <is>
          <t>Bazzarry Sanaa</t>
        </is>
      </c>
      <c r="F468" s="13" t="inlineStr">
        <is>
          <t>https://sanaa.bazzarry.com/</t>
        </is>
      </c>
      <c r="G468" s="13" t="inlineStr">
        <is>
          <t>PROBED - SKIP</t>
        </is>
      </c>
      <c r="H468" s="13" t="inlineStr">
        <is>
          <t>SKIP</t>
        </is>
      </c>
      <c r="I468" s="13" t="inlineStr">
        <is>
          <t>medium</t>
        </is>
      </c>
      <c r="J468" s="13" t="n">
        <v>0</v>
      </c>
      <c r="K468" s="13" t="inlineStr"/>
      <c r="L468" s="13" t="inlineStr">
        <is>
          <t>curl -&gt; HTTP 503 twice, several minutes apart, both times a New Relic-monitored 'Error 503: Service Unavailable' error page (not a WAF challenge page).</t>
        </is>
      </c>
      <c r="M468" s="13" t="inlineStr">
        <is>
          <t>ACCEPT</t>
        </is>
      </c>
      <c r="N468" s="13" t="inlineStr">
        <is>
          <t>not scored</t>
        </is>
      </c>
      <c r="O468" s="13" t="inlineStr"/>
      <c r="P468" s="13" t="inlineStr">
        <is>
          <t>Custom</t>
        </is>
      </c>
      <c r="Q468" s="13" t="inlineStr">
        <is>
          <t>YER</t>
        </is>
      </c>
      <c r="R468" s="13" t="inlineStr">
        <is>
          <t>-</t>
        </is>
      </c>
      <c r="S468" s="13" t="inlineStr">
        <is>
          <t>-</t>
        </is>
      </c>
      <c r="T468" s="13" t="inlineStr">
        <is>
          <t>Live: described as first and largest Yemeni e-commerce platform, Sanaa-scoped.</t>
        </is>
      </c>
      <c r="U468" s="13" t="inlineStr">
        <is>
          <t>-</t>
        </is>
      </c>
      <c r="V468" s="13" t="inlineStr">
        <is>
          <t>P1</t>
        </is>
      </c>
    </row>
    <row r="469">
      <c r="A469" s="13" t="inlineStr">
        <is>
          <t>menaap</t>
        </is>
      </c>
      <c r="B469" s="13" t="inlineStr">
        <is>
          <t>yemen</t>
        </is>
      </c>
      <c r="C469" s="13" t="inlineStr">
        <is>
          <t>YEM</t>
        </is>
      </c>
      <c r="D469" s="13" t="inlineStr">
        <is>
          <t>Yemen</t>
        </is>
      </c>
      <c r="E469" s="13" t="inlineStr">
        <is>
          <t>Bazzarry Sanaa - supermarket</t>
        </is>
      </c>
      <c r="F469" s="13" t="inlineStr">
        <is>
          <t>https://sanaa.bazzarry.com/aden-store-super-market</t>
        </is>
      </c>
      <c r="G469" s="13" t="inlineStr">
        <is>
          <t>PROBED - SKIP</t>
        </is>
      </c>
      <c r="H469" s="13" t="inlineStr">
        <is>
          <t>SKIP</t>
        </is>
      </c>
      <c r="I469" s="13" t="inlineStr">
        <is>
          <t>medium</t>
        </is>
      </c>
      <c r="J469" s="13" t="n">
        <v>0</v>
      </c>
      <c r="K469" s="13" t="inlineStr"/>
      <c r="L469" s="13" t="inlineStr">
        <is>
          <t>curl -&gt; HTTP 503 twice, several minutes apart, both times a New Relic-monitored 'Error 503: Service Unavailable' error page (not a WAF challenge page).</t>
        </is>
      </c>
      <c r="M469" s="13" t="inlineStr">
        <is>
          <t>ACCEPT</t>
        </is>
      </c>
      <c r="N469" s="13" t="inlineStr">
        <is>
          <t>not scored</t>
        </is>
      </c>
      <c r="O469" s="13" t="inlineStr"/>
      <c r="P469" s="13" t="inlineStr">
        <is>
          <t>Custom</t>
        </is>
      </c>
      <c r="Q469" s="13" t="inlineStr">
        <is>
          <t>YER</t>
        </is>
      </c>
      <c r="R469" s="13" t="inlineStr">
        <is>
          <t>-</t>
        </is>
      </c>
      <c r="S469" s="13" t="inlineStr">
        <is>
          <t>-</t>
        </is>
      </c>
      <c r="T469" s="13" t="inlineStr">
        <is>
          <t>CONFIRMED: dedicated supermarket vertical for Aden, currency selector (old rial, SAR, USD). Set to old rial for domestic pricing.</t>
        </is>
      </c>
      <c r="U469" s="13" t="inlineStr">
        <is>
          <t>-</t>
        </is>
      </c>
      <c r="V469" s="13" t="inlineStr">
        <is>
          <t>P2</t>
        </is>
      </c>
    </row>
    <row r="470">
      <c r="A470" s="13" t="inlineStr">
        <is>
          <t>menaap</t>
        </is>
      </c>
      <c r="B470" s="13" t="inlineStr">
        <is>
          <t>yemen</t>
        </is>
      </c>
      <c r="C470" s="13" t="inlineStr">
        <is>
          <t>YEM</t>
        </is>
      </c>
      <c r="D470" s="13" t="inlineStr">
        <is>
          <t>Yemen</t>
        </is>
      </c>
      <c r="E470" s="13" t="inlineStr">
        <is>
          <t>Grocerjy Yemen filter</t>
        </is>
      </c>
      <c r="F470" s="13" t="inlineStr">
        <is>
          <t>https://www.grocerjy.com/en/products/?country=ye</t>
        </is>
      </c>
      <c r="G470" s="13" t="inlineStr">
        <is>
          <t>PROBED - SKIP</t>
        </is>
      </c>
      <c r="H470" s="13" t="inlineStr">
        <is>
          <t>SKIP</t>
        </is>
      </c>
      <c r="I470" s="13" t="inlineStr">
        <is>
          <t>low</t>
        </is>
      </c>
      <c r="J470" s="13" t="n">
        <v>0</v>
      </c>
      <c r="K470" s="13" t="inlineStr"/>
      <c r="L470" s="13" t="inlineStr">
        <is>
          <t>Not re-probed - CSV AI_NOTES already confirms this is a Saudi platform filtered by country param; prices are not Yemeni.</t>
        </is>
      </c>
      <c r="M470" s="13" t="inlineStr">
        <is>
          <t>REJECT</t>
        </is>
      </c>
      <c r="N470" s="13" t="inlineStr">
        <is>
          <t>not scored</t>
        </is>
      </c>
      <c r="O470" s="13" t="inlineStr"/>
      <c r="P470" s="13" t="inlineStr">
        <is>
          <t>Custom</t>
        </is>
      </c>
      <c r="Q470" s="13" t="inlineStr">
        <is>
          <t>SAR</t>
        </is>
      </c>
      <c r="R470" s="13" t="inlineStr">
        <is>
          <t>-</t>
        </is>
      </c>
      <c r="S470" s="13" t="inlineStr">
        <is>
          <t>-</t>
        </is>
      </c>
      <c r="T470" s="13" t="inlineStr">
        <is>
          <t>Same Saudi platform as above, filtered by country. Prices are not Yemeni.</t>
        </is>
      </c>
      <c r="U470" s="13" t="inlineStr">
        <is>
          <t>-</t>
        </is>
      </c>
      <c r="V470" s="13" t="inlineStr">
        <is>
          <t>P1</t>
        </is>
      </c>
    </row>
    <row r="471">
      <c r="A471" s="13" t="inlineStr">
        <is>
          <t>menaap</t>
        </is>
      </c>
      <c r="B471" s="13" t="inlineStr">
        <is>
          <t>yemen</t>
        </is>
      </c>
      <c r="C471" s="13" t="inlineStr">
        <is>
          <t>YEM</t>
        </is>
      </c>
      <c r="D471" s="13" t="inlineStr">
        <is>
          <t>Yemen</t>
        </is>
      </c>
      <c r="E471" s="13" t="inlineStr">
        <is>
          <t>Sindbad (alsindibad)</t>
        </is>
      </c>
      <c r="F471" s="13" t="inlineStr">
        <is>
          <t>https://play.google.com/store/apps/details?id=online.alsindibadye.userapp</t>
        </is>
      </c>
      <c r="G471" s="13" t="inlineStr">
        <is>
          <t>PROBED - SKIP</t>
        </is>
      </c>
      <c r="H471" s="13" t="inlineStr">
        <is>
          <t>SKIP</t>
        </is>
      </c>
      <c r="I471" s="13" t="inlineStr">
        <is>
          <t>high</t>
        </is>
      </c>
      <c r="J471" s="13" t="n">
        <v>0</v>
      </c>
      <c r="K471" s="13" t="inlineStr"/>
      <c r="L471" s="13" t="inlineStr">
        <is>
          <t>Not re-probed - app-only per CSV note, no web catalogue exists to probe.</t>
        </is>
      </c>
      <c r="M471" s="13" t="inlineStr">
        <is>
          <t>REJECT</t>
        </is>
      </c>
      <c r="N471" s="13" t="inlineStr">
        <is>
          <t>not scored</t>
        </is>
      </c>
      <c r="O471" s="13" t="inlineStr"/>
      <c r="P471" s="13" t="inlineStr">
        <is>
          <t>App-only</t>
        </is>
      </c>
      <c r="Q471" s="13" t="inlineStr">
        <is>
          <t>YER</t>
        </is>
      </c>
      <c r="R471" s="13" t="inlineStr">
        <is>
          <t>-</t>
        </is>
      </c>
      <c r="S471" s="13" t="inlineStr">
        <is>
          <t>-</t>
        </is>
      </c>
      <c r="T471" s="13" t="inlineStr">
        <is>
          <t>App-only; no web catalogue.</t>
        </is>
      </c>
      <c r="U471" s="13" t="inlineStr">
        <is>
          <t>-</t>
        </is>
      </c>
      <c r="V471" s="13" t="inlineStr">
        <is>
          <t>P1</t>
        </is>
      </c>
    </row>
    <row r="472">
      <c r="A472" s="13" t="inlineStr">
        <is>
          <t>menaap</t>
        </is>
      </c>
      <c r="B472" s="13" t="inlineStr">
        <is>
          <t>yemen</t>
        </is>
      </c>
      <c r="C472" s="13" t="inlineStr">
        <is>
          <t>YEM</t>
        </is>
      </c>
      <c r="D472" s="13" t="inlineStr">
        <is>
          <t>Yemen</t>
        </is>
      </c>
      <c r="E472" s="13" t="inlineStr">
        <is>
          <t>SouqMy</t>
        </is>
      </c>
      <c r="F472" s="13" t="inlineStr">
        <is>
          <t>https://www.souqmy.com/</t>
        </is>
      </c>
      <c r="G472" s="13" t="inlineStr">
        <is>
          <t>PROBED - SKIP</t>
        </is>
      </c>
      <c r="H472" s="13" t="inlineStr">
        <is>
          <t>SKIP</t>
        </is>
      </c>
      <c r="I472" s="13" t="inlineStr">
        <is>
          <t>medium</t>
        </is>
      </c>
      <c r="J472" s="13" t="n">
        <v>0</v>
      </c>
      <c r="K472" s="13" t="inlineStr"/>
      <c r="L472" s="13" t="inlineStr">
        <is>
          <t>curl (both HTTP/2 and forced HTTP/1.1) -&gt; exit code 35, 'SSL routines:ST_CONNECT:sslv3 alert handshake failure' before any HTTP response. TLS-layer rejection, not an HTTP-layer block.</t>
        </is>
      </c>
      <c r="M472" s="13" t="inlineStr">
        <is>
          <t>ACCEPT</t>
        </is>
      </c>
      <c r="N472" s="13" t="inlineStr">
        <is>
          <t>not scored</t>
        </is>
      </c>
      <c r="O472" s="13" t="inlineStr"/>
      <c r="P472" s="13" t="inlineStr">
        <is>
          <t>Custom</t>
        </is>
      </c>
      <c r="Q472" s="13" t="inlineStr">
        <is>
          <t>YER</t>
        </is>
      </c>
      <c r="R472" s="13" t="inlineStr">
        <is>
          <t>-</t>
        </is>
      </c>
      <c r="S472" s="13" t="inlineStr">
        <is>
          <t>-</t>
        </is>
      </c>
      <c r="T472" s="13" t="inlineStr">
        <is>
          <t>Live: YER prices with an explicit old-rial / new-rial currency switch - important, Yemen has two circulating rial values. Capture which is quoted.</t>
        </is>
      </c>
      <c r="U472" s="13" t="inlineStr">
        <is>
          <t>-</t>
        </is>
      </c>
      <c r="V472" s="13" t="inlineStr">
        <is>
          <t>P2</t>
        </is>
      </c>
    </row>
    <row r="473">
      <c r="A473" s="13" t="inlineStr">
        <is>
          <t>menaap</t>
        </is>
      </c>
      <c r="B473" s="13" t="inlineStr">
        <is>
          <t>yemen</t>
        </is>
      </c>
      <c r="C473" s="13" t="inlineStr">
        <is>
          <t>YEM</t>
        </is>
      </c>
      <c r="D473" s="13" t="inlineStr">
        <is>
          <t>Yemen</t>
        </is>
      </c>
      <c r="E473" s="13" t="inlineStr">
        <is>
          <t>Wselli</t>
        </is>
      </c>
      <c r="F473" s="13" t="inlineStr">
        <is>
          <t>https://wselli.com/ar/</t>
        </is>
      </c>
      <c r="G473" s="13" t="inlineStr">
        <is>
          <t>PROBED - SKIP</t>
        </is>
      </c>
      <c r="H473" s="13" t="inlineStr">
        <is>
          <t>SKIP</t>
        </is>
      </c>
      <c r="I473" s="13" t="inlineStr">
        <is>
          <t>low</t>
        </is>
      </c>
      <c r="J473" s="13" t="n">
        <v>0</v>
      </c>
      <c r="K473" s="13" t="inlineStr"/>
      <c r="L473" s="13" t="inlineStr">
        <is>
          <t>Not re-probed - CSV AI_NOTES already confirms JOD prices, not a Yemeni price source.</t>
        </is>
      </c>
      <c r="M473" s="13" t="inlineStr">
        <is>
          <t>REJECT</t>
        </is>
      </c>
      <c r="N473" s="13" t="inlineStr">
        <is>
          <t>not scored</t>
        </is>
      </c>
      <c r="O473" s="13" t="inlineStr"/>
      <c r="P473" s="13" t="inlineStr">
        <is>
          <t>Custom</t>
        </is>
      </c>
      <c r="Q473" s="13" t="inlineStr">
        <is>
          <t>JOD</t>
        </is>
      </c>
      <c r="R473" s="13" t="inlineStr">
        <is>
          <t>-</t>
        </is>
      </c>
      <c r="S473" s="13" t="inlineStr">
        <is>
          <t>-</t>
        </is>
      </c>
      <c r="T473" s="13" t="inlineStr">
        <is>
          <t>T1 FAIL: prices in Jordanian dinars. Not a Yemeni price source.</t>
        </is>
      </c>
      <c r="U473" s="13" t="inlineStr">
        <is>
          <t>-</t>
        </is>
      </c>
      <c r="V473" s="13" t="inlineStr">
        <is>
          <t>P1</t>
        </is>
      </c>
    </row>
    <row r="474">
      <c r="A474" s="13" t="inlineStr">
        <is>
          <t>menaap</t>
        </is>
      </c>
      <c r="B474" s="13" t="inlineStr">
        <is>
          <t>yemen</t>
        </is>
      </c>
      <c r="C474" s="13" t="inlineStr">
        <is>
          <t>YEM</t>
        </is>
      </c>
      <c r="D474" s="13" t="inlineStr">
        <is>
          <t>Yemen</t>
        </is>
      </c>
      <c r="E474" s="13" t="inlineStr">
        <is>
          <t>Yemen Storez</t>
        </is>
      </c>
      <c r="F474" s="13" t="inlineStr">
        <is>
          <t>https://yemenstorez.com/</t>
        </is>
      </c>
      <c r="G474" s="13" t="inlineStr">
        <is>
          <t>PROBED - SKIP</t>
        </is>
      </c>
      <c r="H474" s="13" t="inlineStr">
        <is>
          <t>SKIP</t>
        </is>
      </c>
      <c r="I474" s="13" t="inlineStr">
        <is>
          <t>medium</t>
        </is>
      </c>
      <c r="J474" s="13" t="n">
        <v>0</v>
      </c>
      <c r="K474" s="13" t="inlineStr">
        <is>
          <t>N/A - category listing did not render server-side</t>
        </is>
      </c>
      <c r="L474" s="13" t="inlineStr">
        <is>
          <t>curl homepage -&gt; 200, 334KB, confirmed a genuine 'طعام-ومشروبات' (Food &amp; Beverages) category exists among 33 categories. But curl on that category URL -&gt; 200/606KB with zero product hrefs, zero price/currency tokens, zero JSON in the raw HTML - listing is client-rendered. Homepage's directly-linked 'first products' sampled were electronics (earbuds, USB chargers), not food.</t>
        </is>
      </c>
      <c r="M474" s="13" t="inlineStr">
        <is>
          <t>ACCEPT</t>
        </is>
      </c>
      <c r="N474" s="13" t="inlineStr">
        <is>
          <t>not scored</t>
        </is>
      </c>
      <c r="O474" s="13" t="inlineStr"/>
      <c r="P474" s="13" t="inlineStr">
        <is>
          <t>Custom</t>
        </is>
      </c>
      <c r="Q474" s="13" t="inlineStr">
        <is>
          <t>YER</t>
        </is>
      </c>
      <c r="R474" s="13" t="inlineStr">
        <is>
          <t>-</t>
        </is>
      </c>
      <c r="S474" s="13" t="inlineStr">
        <is>
          <t>-</t>
        </is>
      </c>
      <c r="T474" s="13" t="inlineStr">
        <is>
          <t>STRONG: prices in Yemeni rial, explicit 'food and drink' category, multi-vendor with brands.</t>
        </is>
      </c>
      <c r="U474" s="13" t="inlineStr">
        <is>
          <t>-</t>
        </is>
      </c>
      <c r="V474" s="13" t="inlineStr">
        <is>
          <t>P2</t>
        </is>
      </c>
    </row>
    <row r="475">
      <c r="A475" s="13" t="inlineStr">
        <is>
          <t>menaap</t>
        </is>
      </c>
      <c r="B475" s="13" t="inlineStr">
        <is>
          <t>yemen</t>
        </is>
      </c>
      <c r="C475" s="13" t="inlineStr">
        <is>
          <t>YEM</t>
        </is>
      </c>
      <c r="D475" s="13" t="inlineStr">
        <is>
          <t>Yemen</t>
        </is>
      </c>
      <c r="E475" s="13" t="inlineStr">
        <is>
          <t>Yemen Box</t>
        </is>
      </c>
      <c r="F475" s="13" t="inlineStr">
        <is>
          <t>https://yemenbox.com/collections/grocery</t>
        </is>
      </c>
      <c r="G475" s="13" t="inlineStr">
        <is>
          <t>PROBED - VIABLE</t>
        </is>
      </c>
      <c r="H475" s="13" t="inlineStr">
        <is>
          <t>TIER_1B</t>
        </is>
      </c>
      <c r="I475" s="13" t="inlineStr">
        <is>
          <t>low</t>
        </is>
      </c>
      <c r="J475" s="13" t="n">
        <v>12</v>
      </c>
      <c r="K475" s="13" t="inlineStr">
        <is>
          <t>/collections/grocery/products.json</t>
        </is>
      </c>
      <c r="L475" s="13" t="inlineStr">
        <is>
          <t>curl GET https://yemenbox.com/collections/grocery/products.json?limit=5 -&gt; 200, clean Shopify JSON. Real SKUs: 'Kraft Cheddar Cheese (190 g)' price 3.99, tags:['GROCERY']; '(Mawassem) Creme Caramel' also under the grocery collection. Standard Shopify /products.json?limit=250&amp;page=N paginates the rest.</t>
        </is>
      </c>
      <c r="M475" s="13" t="inlineStr">
        <is>
          <t>SUSPECT</t>
        </is>
      </c>
      <c r="N475" s="13" t="inlineStr">
        <is>
          <t>not scored</t>
        </is>
      </c>
      <c r="O475" s="13" t="inlineStr"/>
      <c r="P475" s="13" t="inlineStr">
        <is>
          <t>Shopify</t>
        </is>
      </c>
      <c r="Q475" s="13" t="inlineStr">
        <is>
          <t>USD</t>
        </is>
      </c>
      <c r="R475" s="13" t="inlineStr">
        <is>
          <t>-</t>
        </is>
      </c>
      <c r="S475" s="13" t="inlineStr">
        <is>
          <t>-</t>
        </is>
      </c>
      <c r="T475" s="13" t="inlineStr">
        <is>
          <t>Shopify (/collections/ = easy scrape) but USD prices and diaspora framing. Useful only if USD basis is acceptable and documented.</t>
        </is>
      </c>
      <c r="U475" s="13" t="inlineStr">
        <is>
          <t>-</t>
        </is>
      </c>
      <c r="V475" s="13" t="inlineStr">
        <is>
          <t>P1</t>
        </is>
      </c>
    </row>
    <row r="476">
      <c r="A476" s="13" t="inlineStr">
        <is>
          <t>sar</t>
        </is>
      </c>
      <c r="B476" s="13" t="inlineStr">
        <is>
          <t>sri_lanka</t>
        </is>
      </c>
      <c r="C476" s="13" t="inlineStr">
        <is>
          <t>LKA</t>
        </is>
      </c>
      <c r="D476" s="13" t="inlineStr">
        <is>
          <t>Sri Lanka</t>
        </is>
      </c>
      <c r="E476" s="13" t="inlineStr">
        <is>
          <t>Cargills Online</t>
        </is>
      </c>
      <c r="F476" s="13" t="inlineStr">
        <is>
          <t>https://cargillsonline.com/</t>
        </is>
      </c>
      <c r="G476" s="13" t="inlineStr">
        <is>
          <t>PROBED - SKIP</t>
        </is>
      </c>
      <c r="H476" s="13" t="inlineStr">
        <is>
          <t>SKIP</t>
        </is>
      </c>
      <c r="I476" s="13" t="inlineStr">
        <is>
          <t>high</t>
        </is>
      </c>
      <c r="J476" s="13" t="n">
        <v>0</v>
      </c>
      <c r="K476" s="13" t="inlineStr"/>
      <c r="L476" s="13" t="inlineStr">
        <is>
          <t>curl 200/173KB but body is an Angular SPA shell: `{{ban.WebUrl}}`/`{{ban.BannerName}}` template placeholders visible unrendered in raw HTML, only `/Product/&lt;cat&gt;` category links present, `/ProductDetails/&lt;sku&gt;` never hydrates over plain HTTP. Matches the pre-existing known_blockers.md entry for cargillsonline.com verbatim (Angular SPA, PDP placeholders don't hydrate). Did not re-run Playwright since this exact SPA signature is already documented as a structural blocker.</t>
        </is>
      </c>
      <c r="M476" s="13" t="inlineStr">
        <is>
          <t>ACCEPT</t>
        </is>
      </c>
      <c r="N476" s="13" t="inlineStr">
        <is>
          <t>not scored</t>
        </is>
      </c>
      <c r="O476" s="13" t="inlineStr"/>
      <c r="P476" s="13" t="inlineStr">
        <is>
          <t>Custom</t>
        </is>
      </c>
      <c r="Q476" s="13" t="inlineStr">
        <is>
          <t>LKR</t>
        </is>
      </c>
      <c r="R476" s="13" t="inlineStr">
        <is>
          <t>-</t>
        </is>
      </c>
      <c r="S476" s="13" t="inlineStr">
        <is>
          <t>-</t>
        </is>
      </c>
      <c r="T476" s="13" t="inlineStr">
        <is>
          <t>STRONG: 20+ categories, same-day/next-day/saver slots, and explicitly 'the same lowest prices as your local Cargills Food City' - direct shelf-price fidelity.</t>
        </is>
      </c>
      <c r="U476" s="13" t="inlineStr">
        <is>
          <t>-</t>
        </is>
      </c>
      <c r="V476" s="13" t="inlineStr">
        <is>
          <t>P4</t>
        </is>
      </c>
    </row>
    <row r="477">
      <c r="A477" s="13" t="inlineStr">
        <is>
          <t>sar</t>
        </is>
      </c>
      <c r="B477" s="13" t="inlineStr">
        <is>
          <t>sri_lanka</t>
        </is>
      </c>
      <c r="C477" s="13" t="inlineStr">
        <is>
          <t>LKA</t>
        </is>
      </c>
      <c r="D477" s="13" t="inlineStr">
        <is>
          <t>Sri Lanka</t>
        </is>
      </c>
      <c r="E477" s="13" t="inlineStr">
        <is>
          <t>Celeste</t>
        </is>
      </c>
      <c r="F477" s="13" t="inlineStr">
        <is>
          <t>https://www.celeste.lk/</t>
        </is>
      </c>
      <c r="G477" s="13" t="inlineStr">
        <is>
          <t>PROBED - SKIP</t>
        </is>
      </c>
      <c r="H477" s="13" t="inlineStr">
        <is>
          <t>SKIP</t>
        </is>
      </c>
      <c r="I477" s="13" t="inlineStr"/>
      <c r="J477" s="13" t="n">
        <v>0</v>
      </c>
      <c r="K477" s="13" t="inlineStr"/>
      <c r="L477" s="13" t="inlineStr">
        <is>
          <t>curl 200/27KB (Vercel-hosted). Site is NOT an on-demand supermarket as the shard's AI_NOTES claimed -- it is 'Celeste Daily', a corporate brand-showcase site for a bottled-water/private-label FMCG manufacturer. /range page JSON-LD confirms: '{"@type":"CollectionPage","name":"Celeste Product Range"...}' listing categories (Wathura, Everyday Essentials, Desserts &amp; Frozen, Household, Spices &amp; Condiments, Fresh Produce) as marketing copy only -- zero prices, zero cart, zero SKU-level PDPs anywhere in the site (About/Careers/Contact/Locations/Range/Services/Updates nav, no Shop/Cart route). No product_name+price pair exists to extract.</t>
        </is>
      </c>
      <c r="M477" s="13" t="inlineStr">
        <is>
          <t>ACCEPT</t>
        </is>
      </c>
      <c r="N477" s="13" t="inlineStr">
        <is>
          <t>not scored</t>
        </is>
      </c>
      <c r="O477" s="13" t="inlineStr"/>
      <c r="P477" s="13" t="inlineStr">
        <is>
          <t>Custom</t>
        </is>
      </c>
      <c r="Q477" s="13" t="inlineStr">
        <is>
          <t>LKR</t>
        </is>
      </c>
      <c r="R477" s="13" t="inlineStr">
        <is>
          <t>-</t>
        </is>
      </c>
      <c r="S477" s="13" t="inlineStr">
        <is>
          <t>-</t>
        </is>
      </c>
      <c r="T477" s="13" t="inlineStr">
        <is>
          <t>Largest on-demand online supermarket in Sri Lanka, 11+ locations, 3M+ orders, 24/7. Also distributes via Uber Eats and PickMe Market.</t>
        </is>
      </c>
      <c r="U477" s="13" t="inlineStr">
        <is>
          <t>-</t>
        </is>
      </c>
      <c r="V477" s="13" t="inlineStr">
        <is>
          <t>P4</t>
        </is>
      </c>
    </row>
    <row r="478">
      <c r="A478" s="13" t="inlineStr">
        <is>
          <t>sar</t>
        </is>
      </c>
      <c r="B478" s="13" t="inlineStr">
        <is>
          <t>sri_lanka</t>
        </is>
      </c>
      <c r="C478" s="13" t="inlineStr">
        <is>
          <t>LKA</t>
        </is>
      </c>
      <c r="D478" s="13" t="inlineStr">
        <is>
          <t>Sri Lanka</t>
        </is>
      </c>
      <c r="E478" s="13" t="inlineStr">
        <is>
          <t>Keells Super</t>
        </is>
      </c>
      <c r="F478" s="13" t="inlineStr">
        <is>
          <t>https://www.keellssuper.com/</t>
        </is>
      </c>
      <c r="G478" s="13" t="inlineStr">
        <is>
          <t>PROBED - SKIP</t>
        </is>
      </c>
      <c r="H478" s="13" t="inlineStr">
        <is>
          <t>SKIP</t>
        </is>
      </c>
      <c r="I478" s="13" t="inlineStr">
        <is>
          <t>high</t>
        </is>
      </c>
      <c r="J478" s="13" t="n">
        <v>0</v>
      </c>
      <c r="K478" s="13" t="inlineStr"/>
      <c r="L478" s="13" t="inlineStr">
        <is>
          <t>curl homepage 200/10KB but body is a bare React SPA shell (`react-scripts` chunk filenames `main.df3b8cda.chunk.js`), reCAPTCHA present, served behind Cloudflare (server: cloudflare, cf-ray present). Guessed API paths all 404 or returned the SPA shell verbatim (/api/v1/products 404, /graphql 200 but identical React-shell HTML not JSON, /services/frontend-service/products same). Ran a Playwright network-trace (networkidle, 4s settle, then navigated to a category URL) capturing every response matching product/api/graphql/catalog/category -- zero hits; only Google/TikTok ad-tracking and analytics beacons fired, no internal catalog XHR observed.</t>
        </is>
      </c>
      <c r="M478" s="13" t="inlineStr">
        <is>
          <t>ACCEPT</t>
        </is>
      </c>
      <c r="N478" s="13" t="inlineStr">
        <is>
          <t>not scored</t>
        </is>
      </c>
      <c r="O478" s="13" t="inlineStr"/>
      <c r="P478" s="13" t="inlineStr">
        <is>
          <t>Custom</t>
        </is>
      </c>
      <c r="Q478" s="13" t="inlineStr">
        <is>
          <t>LKR</t>
        </is>
      </c>
      <c r="R478" s="13" t="inlineStr">
        <is>
          <t>-</t>
        </is>
      </c>
      <c r="S478" s="13" t="inlineStr">
        <is>
          <t>-</t>
        </is>
      </c>
      <c r="T478" s="13" t="inlineStr">
        <is>
          <t>Major national chain; worth confirming as a second anchor to Cargills.</t>
        </is>
      </c>
      <c r="U478" s="13" t="inlineStr">
        <is>
          <t>-</t>
        </is>
      </c>
      <c r="V478" s="13" t="inlineStr">
        <is>
          <t>P4</t>
        </is>
      </c>
    </row>
    <row r="479">
      <c r="A479" s="13" t="inlineStr">
        <is>
          <t>sar</t>
        </is>
      </c>
      <c r="B479" s="13" t="inlineStr">
        <is>
          <t>sri_lanka</t>
        </is>
      </c>
      <c r="C479" s="13" t="inlineStr">
        <is>
          <t>LKA</t>
        </is>
      </c>
      <c r="D479" s="13" t="inlineStr">
        <is>
          <t>Sri Lanka</t>
        </is>
      </c>
      <c r="E479" s="13" t="inlineStr">
        <is>
          <t>Carkeells</t>
        </is>
      </c>
      <c r="F479" s="13" t="inlineStr">
        <is>
          <t>https://carkeells.lk/en-gb/catalog/grocery</t>
        </is>
      </c>
      <c r="G479" s="13" t="inlineStr">
        <is>
          <t>PROBED - VIABLE</t>
        </is>
      </c>
      <c r="H479" s="13" t="inlineStr">
        <is>
          <t>TIER_1A</t>
        </is>
      </c>
      <c r="I479" s="13" t="inlineStr">
        <is>
          <t>low</t>
        </is>
      </c>
      <c r="J479" s="13" t="n">
        <v>15</v>
      </c>
      <c r="K479" s="13" t="inlineStr"/>
      <c r="L479" s="13" t="inlineStr">
        <is>
          <t>curl 200/21-64KB, plain OpenCart SSR HTML, `opencart` string present in body. GET /en-gb/catalog/grocery/food-products -&gt; 200/64KB with real prices: Rs.525.00, Rs.375.00, Rs.595.00, Rs.160.00 etc (excluding a Rs.0.00 placeholder row). Confirmed as shard's own AI_NOTES suggested: a small grocery/beverages tail (2 subcategories) bolted onto a cosmetics/health/haircare-dominant OpenCart store.</t>
        </is>
      </c>
      <c r="M479" s="13" t="inlineStr">
        <is>
          <t>SUSPECT</t>
        </is>
      </c>
      <c r="N479" s="13" t="inlineStr">
        <is>
          <t>not scored</t>
        </is>
      </c>
      <c r="O479" s="13" t="inlineStr"/>
      <c r="P479" s="13" t="inlineStr">
        <is>
          <t>Custom (OpenCart)</t>
        </is>
      </c>
      <c r="Q479" s="13" t="inlineStr">
        <is>
          <t>LKR</t>
        </is>
      </c>
      <c r="R479" s="13" t="inlineStr">
        <is>
          <t>-</t>
        </is>
      </c>
      <c r="S479" s="13" t="inlineStr">
        <is>
          <t>-</t>
        </is>
      </c>
      <c r="T479" s="13" t="inlineStr">
        <is>
          <t>OpenCart storefront with a groceries catalogue (45 food, 10 beverage lines). Small.</t>
        </is>
      </c>
      <c r="U479" s="13" t="inlineStr">
        <is>
          <t>-</t>
        </is>
      </c>
      <c r="V479" s="13" t="inlineStr">
        <is>
          <t>P4</t>
        </is>
      </c>
    </row>
    <row r="480">
      <c r="A480" s="13" t="inlineStr">
        <is>
          <t>sar</t>
        </is>
      </c>
      <c r="B480" s="13" t="inlineStr">
        <is>
          <t>sri_lanka</t>
        </is>
      </c>
      <c r="C480" s="13" t="inlineStr">
        <is>
          <t>LKA</t>
        </is>
      </c>
      <c r="D480" s="13" t="inlineStr">
        <is>
          <t>Sri Lanka</t>
        </is>
      </c>
      <c r="E480" s="13" t="inlineStr">
        <is>
          <t>ColomboSuper</t>
        </is>
      </c>
      <c r="F480" s="13" t="inlineStr">
        <is>
          <t>https://colombosuper.lk/</t>
        </is>
      </c>
      <c r="G480" s="13" t="inlineStr">
        <is>
          <t>PROBED - VIABLE</t>
        </is>
      </c>
      <c r="H480" s="13" t="inlineStr">
        <is>
          <t>TIER_1B</t>
        </is>
      </c>
      <c r="I480" s="13" t="inlineStr">
        <is>
          <t>low</t>
        </is>
      </c>
      <c r="J480" s="13" t="n">
        <v>90</v>
      </c>
      <c r="K480" s="13" t="inlineStr">
        <is>
          <t>/wp-json/wc/store/v1/products</t>
        </is>
      </c>
      <c r="L480" s="13" t="inlineStr">
        <is>
          <t>GET /wp-json/wc/store/v1/products?per_page=10 -&gt; 200, 25KB JSON, 10 products. Sample: 'Maliban Full Cream Milk Powder Pouch 400.00 g' price 120000 minor units / currency_minor_unit=2 -&gt; LKR 1200.00. GET /wp-json/wc/store/v1/products/categories?per_page=50 -&gt; 200, 41KB, categories include Fresh Fruits(24), Fresh Vegetables(36), Dairy(41), Milk &amp; Cream(20), Beverages(75), Biscuits &amp; Cookies(17), Chocolates(27), Leafies &amp; Herbs(9), Snacks &amp; Confectionery(60), plus thin fresh-meat singles (Beef 1, Chicken 1, Bacon 1, Deli Meat 1).</t>
        </is>
      </c>
      <c r="M480" s="13" t="inlineStr">
        <is>
          <t>ACCEPT</t>
        </is>
      </c>
      <c r="N480" s="13" t="inlineStr">
        <is>
          <t>not scored</t>
        </is>
      </c>
      <c r="O480" s="13" t="inlineStr"/>
      <c r="P480" s="13" t="inlineStr">
        <is>
          <t>WordPress/WooCommerce</t>
        </is>
      </c>
      <c r="Q480" s="13" t="inlineStr">
        <is>
          <t>LKR</t>
        </is>
      </c>
      <c r="R480" s="13" t="inlineStr">
        <is>
          <t>-</t>
        </is>
      </c>
      <c r="S480" s="13" t="inlineStr">
        <is>
          <t>-</t>
        </is>
      </c>
      <c r="T480" s="13" t="inlineStr">
        <is>
          <t>WooCommerce with Rs prices, per-500g produce pricing and percentage discounts. CAUTION: some marketing copy mentions a GBP threshold - verify the checkout currency.</t>
        </is>
      </c>
      <c r="U480" s="13" t="inlineStr">
        <is>
          <t>-</t>
        </is>
      </c>
      <c r="V480" s="13" t="inlineStr">
        <is>
          <t>P4</t>
        </is>
      </c>
    </row>
    <row r="481">
      <c r="A481" s="13" t="inlineStr">
        <is>
          <t>sar</t>
        </is>
      </c>
      <c r="B481" s="13" t="inlineStr">
        <is>
          <t>sri_lanka</t>
        </is>
      </c>
      <c r="C481" s="13" t="inlineStr">
        <is>
          <t>LKA</t>
        </is>
      </c>
      <c r="D481" s="13" t="inlineStr">
        <is>
          <t>Sri Lanka</t>
        </is>
      </c>
      <c r="E481" s="13" t="inlineStr">
        <is>
          <t>OnlineKade</t>
        </is>
      </c>
      <c r="F481" s="13" t="inlineStr">
        <is>
          <t>https://onlinekade.lk/</t>
        </is>
      </c>
      <c r="G481" s="13" t="inlineStr">
        <is>
          <t>PROBED - VIABLE</t>
        </is>
      </c>
      <c r="H481" s="13" t="inlineStr">
        <is>
          <t>TIER_1B</t>
        </is>
      </c>
      <c r="I481" s="13" t="inlineStr">
        <is>
          <t>low</t>
        </is>
      </c>
      <c r="J481" s="13" t="n">
        <v>100</v>
      </c>
      <c r="K481" s="13" t="inlineStr">
        <is>
          <t>/wp-json/wc/store/v1/products</t>
        </is>
      </c>
      <c r="L481" s="13" t="inlineStr">
        <is>
          <t>GET /wp-json/wc/store/v1/products?per_page=10 -&gt; 200, 47KB JSON. Sample: 'Himalaya Purifying Neem Facewash 100Ml' price 170000/currency_minor_unit=2 -&gt; LKR 1700.00 (confirms same WooCommerce minor-unit convention). GET /wp-json/wc/store/v1/products/categories?per_page=50 -&gt; 200, 126KB, 50 categories, very large FMCG catalog (Chocolates 2180, Candies &amp; Sweets 1731, Beverages 1611, Biscuits &amp; Cookies 1213, Coffee/Tea/Malts 685, Dairy Products 413, Cereals 528) but thin genuine fresh: Fresh Produce only 20, Eggs only 3, no dedicated fresh meat/fish category (only 'Dry Fish And Soya Meat' 108, 'Frozen' 786 undifferentiated).</t>
        </is>
      </c>
      <c r="M481" s="13" t="inlineStr">
        <is>
          <t>ACCEPT</t>
        </is>
      </c>
      <c r="N481" s="13" t="inlineStr">
        <is>
          <t>not scored</t>
        </is>
      </c>
      <c r="O481" s="13" t="inlineStr"/>
      <c r="P481" s="13" t="inlineStr">
        <is>
          <t>Custom</t>
        </is>
      </c>
      <c r="Q481" s="13" t="inlineStr">
        <is>
          <t>LKR</t>
        </is>
      </c>
      <c r="R481" s="13" t="inlineStr">
        <is>
          <t>-</t>
        </is>
      </c>
      <c r="S481" s="13" t="inlineStr">
        <is>
          <t>-</t>
        </is>
      </c>
      <c r="T481" s="13" t="inlineStr">
        <is>
          <t>Rs prices with strike-through pairs and discount percentages across 24 categories.</t>
        </is>
      </c>
      <c r="U481" s="13" t="inlineStr">
        <is>
          <t>-</t>
        </is>
      </c>
      <c r="V481" s="13" t="inlineStr">
        <is>
          <t>P4</t>
        </is>
      </c>
    </row>
    <row r="482">
      <c r="A482" s="13" t="inlineStr">
        <is>
          <t>sar</t>
        </is>
      </c>
      <c r="B482" s="13" t="inlineStr">
        <is>
          <t>sri_lanka</t>
        </is>
      </c>
      <c r="C482" s="13" t="inlineStr">
        <is>
          <t>LKA</t>
        </is>
      </c>
      <c r="D482" s="13" t="inlineStr">
        <is>
          <t>Sri Lanka</t>
        </is>
      </c>
      <c r="E482" s="13" t="inlineStr">
        <is>
          <t>SPAR2U Sri Lanka</t>
        </is>
      </c>
      <c r="F482" s="13" t="inlineStr">
        <is>
          <t>https://spar2u.lk/</t>
        </is>
      </c>
      <c r="G482" s="13" t="inlineStr">
        <is>
          <t>PROBED - VIABLE</t>
        </is>
      </c>
      <c r="H482" s="13" t="inlineStr">
        <is>
          <t>TIER_1B</t>
        </is>
      </c>
      <c r="I482" s="13" t="inlineStr">
        <is>
          <t>low</t>
        </is>
      </c>
      <c r="J482" s="13" t="n">
        <v>110</v>
      </c>
      <c r="K482" s="13" t="inlineStr">
        <is>
          <t>/products.json?limit=250</t>
        </is>
      </c>
      <c r="L482" s="13" t="inlineStr">
        <is>
          <t>GET /products.json?limit=250 -&gt; 200, 2.08MB JSON, 250 products (page 2 confirmed another full 250, catalog is larger). Sample: 'PORK Curry (Bone In)' Meat, LKR 5850.00; 'JF Whole Chicken, 1Kg' Meat, LKR 1250.00. product_type breakdown on page 1: Meat 68, Vegetables 44, Beverages 38, Fruits 25, Grocery 30, Chilled 6, Frozens 9, Health &amp; Beauty 12, Household 6. Confirmed via header (server: Shopify) and shopify markers in body.</t>
        </is>
      </c>
      <c r="M482" s="13" t="inlineStr">
        <is>
          <t>ACCEPT</t>
        </is>
      </c>
      <c r="N482" s="13" t="inlineStr">
        <is>
          <t>not scored</t>
        </is>
      </c>
      <c r="O482" s="13" t="inlineStr"/>
      <c r="P482" s="13" t="inlineStr">
        <is>
          <t>Custom</t>
        </is>
      </c>
      <c r="Q482" s="13" t="inlineStr">
        <is>
          <t>LKR</t>
        </is>
      </c>
      <c r="R482" s="13" t="inlineStr">
        <is>
          <t>-</t>
        </is>
      </c>
      <c r="S482" s="13" t="inlineStr">
        <is>
          <t>-</t>
        </is>
      </c>
      <c r="T482" s="13" t="inlineStr">
        <is>
          <t>SPAR franchise with branch selector, fresh/grocery/chilled/frozen verticals.</t>
        </is>
      </c>
      <c r="U482" s="13" t="inlineStr">
        <is>
          <t>-</t>
        </is>
      </c>
      <c r="V482" s="13" t="inlineStr">
        <is>
          <t>P4</t>
        </is>
      </c>
    </row>
    <row r="483">
      <c r="A483" s="13" t="inlineStr">
        <is>
          <t>sar</t>
        </is>
      </c>
      <c r="B483" s="13" t="inlineStr">
        <is>
          <t>nepal</t>
        </is>
      </c>
      <c r="C483" s="13" t="inlineStr">
        <is>
          <t>NPL</t>
        </is>
      </c>
      <c r="D483" s="13" t="inlineStr">
        <is>
          <t>Nepal</t>
        </is>
      </c>
      <c r="E483" s="13" t="inlineStr">
        <is>
          <t>Bhat-Bhateni (BBSM)</t>
        </is>
      </c>
      <c r="F483" s="13" t="inlineStr">
        <is>
          <t>https://www.bbsm.com.np/</t>
        </is>
      </c>
      <c r="G483" s="13" t="inlineStr">
        <is>
          <t>NOT PROBED - deduped, already onboarded, or time-boxed</t>
        </is>
      </c>
      <c r="H483" s="13" t="inlineStr"/>
      <c r="I483" s="13" t="inlineStr"/>
      <c r="J483" s="13" t="inlineStr"/>
      <c r="K483" s="13" t="inlineStr"/>
      <c r="L483" s="13" t="inlineStr"/>
      <c r="M483" s="13" t="inlineStr">
        <is>
          <t>ACCEPT</t>
        </is>
      </c>
      <c r="N483" s="13" t="inlineStr">
        <is>
          <t>not scored</t>
        </is>
      </c>
      <c r="O483" s="13" t="inlineStr"/>
      <c r="P483" s="13" t="inlineStr">
        <is>
          <t>Custom</t>
        </is>
      </c>
      <c r="Q483" s="13" t="inlineStr">
        <is>
          <t>NPR</t>
        </is>
      </c>
      <c r="R483" s="13" t="inlineStr">
        <is>
          <t>-</t>
        </is>
      </c>
      <c r="S483" s="13" t="inlineStr">
        <is>
          <t>-</t>
        </is>
      </c>
      <c r="T483" s="13" t="inlineStr">
        <is>
          <t>Nepal's largest supermarket chain. NOTE the corrected domain - bhatbhateni.com.np is an unrelated demo store.</t>
        </is>
      </c>
      <c r="U483" s="13" t="inlineStr">
        <is>
          <t>-</t>
        </is>
      </c>
      <c r="V483" s="13" t="inlineStr">
        <is>
          <t>P4</t>
        </is>
      </c>
    </row>
    <row r="484">
      <c r="A484" s="13" t="inlineStr">
        <is>
          <t>sar</t>
        </is>
      </c>
      <c r="B484" s="13" t="inlineStr">
        <is>
          <t>nepal</t>
        </is>
      </c>
      <c r="C484" s="13" t="inlineStr">
        <is>
          <t>NPL</t>
        </is>
      </c>
      <c r="D484" s="13" t="inlineStr">
        <is>
          <t>Nepal</t>
        </is>
      </c>
      <c r="E484" s="13" t="inlineStr">
        <is>
          <t>Bhat-Bhateni (BBSM)</t>
        </is>
      </c>
      <c r="F484" s="13" t="inlineStr">
        <is>
          <t>https://www.bbsm.com.np/</t>
        </is>
      </c>
      <c r="G484" s="13" t="inlineStr">
        <is>
          <t>NOT PROBED - deduped, already onboarded, or time-boxed</t>
        </is>
      </c>
      <c r="H484" s="13" t="inlineStr"/>
      <c r="I484" s="13" t="inlineStr"/>
      <c r="J484" s="13" t="inlineStr"/>
      <c r="K484" s="13" t="inlineStr"/>
      <c r="L484" s="13" t="inlineStr"/>
      <c r="M484" s="13" t="inlineStr">
        <is>
          <t>ACCEPT</t>
        </is>
      </c>
      <c r="N484" s="13" t="inlineStr">
        <is>
          <t>C - engineering required</t>
        </is>
      </c>
      <c r="O484" s="13" t="n">
        <v>3</v>
      </c>
      <c r="P484" s="13" t="inlineStr">
        <is>
          <t>Custom</t>
        </is>
      </c>
      <c r="Q484" s="13" t="inlineStr">
        <is>
          <t>NPR</t>
        </is>
      </c>
      <c r="R484" s="13" t="inlineStr">
        <is>
          <t>-</t>
        </is>
      </c>
      <c r="S484" s="13" t="inlineStr">
        <is>
          <t>current</t>
        </is>
      </c>
      <c r="T484" s="13" t="inlineStr">
        <is>
          <t>Nepal's largest supermarket chain.</t>
        </is>
      </c>
      <c r="U484" s="13" t="inlineStr">
        <is>
          <t>CORRECTED DOMAIN. bhatbhateni.com.np is an unrelated demo store using a generic eShop theme with Gujarat addresses. Do not use it.</t>
        </is>
      </c>
      <c r="V484" s="13" t="inlineStr">
        <is>
          <t>P6</t>
        </is>
      </c>
    </row>
    <row r="485">
      <c r="A485" s="13" t="inlineStr">
        <is>
          <t>sar</t>
        </is>
      </c>
      <c r="B485" s="13" t="inlineStr">
        <is>
          <t>nepal</t>
        </is>
      </c>
      <c r="C485" s="13" t="inlineStr">
        <is>
          <t>NPL</t>
        </is>
      </c>
      <c r="D485" s="13" t="inlineStr">
        <is>
          <t>Nepal</t>
        </is>
      </c>
      <c r="E485" s="13" t="inlineStr">
        <is>
          <t>Karayo</t>
        </is>
      </c>
      <c r="F485" s="13" t="inlineStr">
        <is>
          <t>https://www.karayo.com/</t>
        </is>
      </c>
      <c r="G485" s="13" t="inlineStr">
        <is>
          <t>NOT PROBED - deduped, already onboarded, or time-boxed</t>
        </is>
      </c>
      <c r="H485" s="13" t="inlineStr"/>
      <c r="I485" s="13" t="inlineStr"/>
      <c r="J485" s="13" t="inlineStr"/>
      <c r="K485" s="13" t="inlineStr"/>
      <c r="L485" s="13" t="inlineStr"/>
      <c r="M485" s="13" t="inlineStr">
        <is>
          <t>ACCEPT</t>
        </is>
      </c>
      <c r="N485" s="13" t="inlineStr">
        <is>
          <t>C - engineering required</t>
        </is>
      </c>
      <c r="O485" s="13" t="n">
        <v>3</v>
      </c>
      <c r="P485" s="13" t="inlineStr">
        <is>
          <t>Custom</t>
        </is>
      </c>
      <c r="Q485" s="13" t="inlineStr">
        <is>
          <t>NPR</t>
        </is>
      </c>
      <c r="R485" s="13" t="inlineStr">
        <is>
          <t>-</t>
        </is>
      </c>
      <c r="S485" s="13" t="inlineStr">
        <is>
          <t>current</t>
        </is>
      </c>
      <c r="T485" s="13" t="inlineStr">
        <is>
          <t>35-minute delivery across Kathmandu Valley, explicitly positioned as 'mero kirana pasal' - the traditional neighbourhood shop model digitised. That framing suggests pricing closer to informal retail than to modern supermarkets, which is analytically distinct.</t>
        </is>
      </c>
      <c r="U485" s="13" t="inlineStr">
        <is>
          <t>Location must be set before products render.</t>
        </is>
      </c>
      <c r="V485" s="13" t="inlineStr">
        <is>
          <t>P6</t>
        </is>
      </c>
    </row>
    <row r="486">
      <c r="A486" s="13" t="inlineStr">
        <is>
          <t>sar</t>
        </is>
      </c>
      <c r="B486" s="13" t="inlineStr">
        <is>
          <t>nepal</t>
        </is>
      </c>
      <c r="C486" s="13" t="inlineStr">
        <is>
          <t>NPL</t>
        </is>
      </c>
      <c r="D486" s="13" t="inlineStr">
        <is>
          <t>Nepal</t>
        </is>
      </c>
      <c r="E486" s="13" t="inlineStr">
        <is>
          <t>Khetifood</t>
        </is>
      </c>
      <c r="F486" s="13" t="inlineStr">
        <is>
          <t>https://khetifood.com/index.php?route=product/category&amp;path=215</t>
        </is>
      </c>
      <c r="G486" s="13" t="inlineStr">
        <is>
          <t>NOT PROBED - deduped, already onboarded, or time-boxed</t>
        </is>
      </c>
      <c r="H486" s="13" t="inlineStr"/>
      <c r="I486" s="13" t="inlineStr"/>
      <c r="J486" s="13" t="inlineStr"/>
      <c r="K486" s="13" t="inlineStr"/>
      <c r="L486" s="13" t="inlineStr"/>
      <c r="M486" s="13" t="inlineStr">
        <is>
          <t>ACCEPT</t>
        </is>
      </c>
      <c r="N486" s="13" t="inlineStr">
        <is>
          <t>B - moderate effort</t>
        </is>
      </c>
      <c r="O486" s="13" t="n">
        <v>4</v>
      </c>
      <c r="P486" s="13" t="inlineStr">
        <is>
          <t>Custom (OpenCart)</t>
        </is>
      </c>
      <c r="Q486" s="13" t="inlineStr">
        <is>
          <t>NPR</t>
        </is>
      </c>
      <c r="R486" s="13" t="inlineStr">
        <is>
          <t>index.php?route=product/category&amp;path=NNN, paginated.</t>
        </is>
      </c>
      <c r="S486" s="13" t="inlineStr">
        <is>
          <t>price, explicit_unit</t>
        </is>
      </c>
      <c r="T486" s="13" t="inlineStr">
        <is>
          <t>OpenCart with clean route-based category URLs. Every line carries an EXPLICIT unit ('per 1kg', 'per 15 Pcs', 'per Crate'), which removes unit-parsing ambiguity. Also carries city tags (ktm, pkr = Kathmandu, Pokhara), giving a built-in spatial dimension. Strong local items: dhungri, quail eggs, cow pure ghee, Khumal-4 rice.</t>
        </is>
      </c>
      <c r="U486" s="13" t="inlineStr">
        <is>
          <t>Small catalogue (23 items in groceries at time of check).</t>
        </is>
      </c>
      <c r="V486" s="13" t="inlineStr">
        <is>
          <t>P6</t>
        </is>
      </c>
    </row>
    <row r="487">
      <c r="A487" s="13" t="inlineStr">
        <is>
          <t>sar</t>
        </is>
      </c>
      <c r="B487" s="13" t="inlineStr">
        <is>
          <t>nepal</t>
        </is>
      </c>
      <c r="C487" s="13" t="inlineStr">
        <is>
          <t>NPL</t>
        </is>
      </c>
      <c r="D487" s="13" t="inlineStr">
        <is>
          <t>Nepal</t>
        </is>
      </c>
      <c r="E487" s="13" t="inlineStr">
        <is>
          <t>SastoDeal</t>
        </is>
      </c>
      <c r="F487" s="13" t="inlineStr">
        <is>
          <t>https://www.sastodeal.com/</t>
        </is>
      </c>
      <c r="G487" s="13" t="inlineStr">
        <is>
          <t>NOT PROBED - deduped, already onboarded, or time-boxed</t>
        </is>
      </c>
      <c r="H487" s="13" t="inlineStr"/>
      <c r="I487" s="13" t="inlineStr"/>
      <c r="J487" s="13" t="inlineStr"/>
      <c r="K487" s="13" t="inlineStr"/>
      <c r="L487" s="13" t="inlineStr"/>
      <c r="M487" s="13" t="inlineStr">
        <is>
          <t>ACCEPT</t>
        </is>
      </c>
      <c r="N487" s="13" t="inlineStr">
        <is>
          <t>B - moderate effort</t>
        </is>
      </c>
      <c r="O487" s="13" t="n">
        <v>4</v>
      </c>
      <c r="P487" s="13" t="inlineStr">
        <is>
          <t>Magento</t>
        </is>
      </c>
      <c r="Q487" s="13" t="inlineStr">
        <is>
          <t>NPR</t>
        </is>
      </c>
      <c r="R487" s="13" t="inlineStr">
        <is>
          <t>Magento GraphQL products query, else paginated category HTML.</t>
        </is>
      </c>
      <c r="S487" s="13" t="inlineStr">
        <is>
          <t>current</t>
        </is>
      </c>
      <c r="T487" s="13" t="inlineStr">
        <is>
          <t>Magento marketplace, partnered with Salesberry for fresh grocery (50,000+ products claimed).</t>
        </is>
      </c>
      <c r="U487" s="13" t="inlineStr">
        <is>
          <t>-</t>
        </is>
      </c>
      <c r="V487" s="13" t="inlineStr">
        <is>
          <t>P6</t>
        </is>
      </c>
    </row>
    <row r="488">
      <c r="A488" s="13" t="inlineStr">
        <is>
          <t>sar</t>
        </is>
      </c>
      <c r="B488" s="13" t="inlineStr">
        <is>
          <t>nepal</t>
        </is>
      </c>
      <c r="C488" s="13" t="inlineStr">
        <is>
          <t>NPL</t>
        </is>
      </c>
      <c r="D488" s="13" t="inlineStr">
        <is>
          <t>Nepal</t>
        </is>
      </c>
      <c r="E488" s="13" t="inlineStr">
        <is>
          <t>Daraz Nepal</t>
        </is>
      </c>
      <c r="F488" s="13" t="inlineStr">
        <is>
          <t>https://www.daraz.com.np/</t>
        </is>
      </c>
      <c r="G488" s="13" t="inlineStr">
        <is>
          <t>PROBED - VIABLE</t>
        </is>
      </c>
      <c r="H488" s="13" t="inlineStr">
        <is>
          <t>TIER_1B</t>
        </is>
      </c>
      <c r="I488" s="13" t="inlineStr">
        <is>
          <t>medium</t>
        </is>
      </c>
      <c r="J488" s="13" t="n">
        <v>20</v>
      </c>
      <c r="K488" s="13" t="inlineStr">
        <is>
          <t>GET /catalog/?ajax=true&amp;isFirstRequest=true&amp;page=N&amp;q=&lt;keyword&gt;</t>
        </is>
      </c>
      <c r="L488" s="13" t="inlineStr">
        <is>
          <t>GET https://www.daraz.com.np/catalog/?ajax=true&amp;isFirstRequest=true&amp;page=1&amp;q=rice -&gt; 200, 131488 bytes JSON, plain curl with browser UA, no auth/session needed. mods.listItems = 40 products/page with name, price, originalPrice, discount, sellerName, categories. Sample: 'Hilife Pulao Basmati Rice 1 Kg' price=264 originalPrice=270 discount='2% Off'.</t>
        </is>
      </c>
      <c r="M488" s="13" t="inlineStr">
        <is>
          <t>ACCEPT</t>
        </is>
      </c>
      <c r="N488" s="13" t="inlineStr">
        <is>
          <t>C - engineering required</t>
        </is>
      </c>
      <c r="O488" s="13" t="n">
        <v>3</v>
      </c>
      <c r="P488" s="13" t="inlineStr">
        <is>
          <t>Custom/Enterprise</t>
        </is>
      </c>
      <c r="Q488" s="13" t="inlineStr">
        <is>
          <t>NPR</t>
        </is>
      </c>
      <c r="R488" s="13" t="inlineStr">
        <is>
          <t>-</t>
        </is>
      </c>
      <c r="S488" s="13" t="inlineStr">
        <is>
          <t>current, was_price, discount_pct</t>
        </is>
      </c>
      <c r="T488" s="13" t="inlineStr">
        <is>
          <t>Alibaba-owned marketplace with a dMart pantry vertical. One Daraz adapter also covers Pakistan, Bangladesh and Sri Lanka.</t>
        </is>
      </c>
      <c r="U488" s="13" t="inlineStr">
        <is>
          <t>Heavy flash-sale discounting (-63%, -92%) makes headline prices unrepresentative. Capture was_price and treat flash-sale rows separately.</t>
        </is>
      </c>
      <c r="V488" s="13" t="inlineStr">
        <is>
          <t>P6</t>
        </is>
      </c>
    </row>
    <row r="489">
      <c r="A489" s="13" t="inlineStr">
        <is>
          <t>sar</t>
        </is>
      </c>
      <c r="B489" s="13" t="inlineStr">
        <is>
          <t>nepal</t>
        </is>
      </c>
      <c r="C489" s="13" t="inlineStr">
        <is>
          <t>NPL</t>
        </is>
      </c>
      <c r="D489" s="13" t="inlineStr">
        <is>
          <t>Nepal</t>
        </is>
      </c>
      <c r="E489" s="13" t="inlineStr">
        <is>
          <t>Goket Groceries</t>
        </is>
      </c>
      <c r="F489" s="13" t="inlineStr">
        <is>
          <t>https://www.goket.com.np/</t>
        </is>
      </c>
      <c r="G489" s="13" t="inlineStr">
        <is>
          <t>PROBED - VIABLE</t>
        </is>
      </c>
      <c r="H489" s="13" t="inlineStr">
        <is>
          <t>TIER_1A</t>
        </is>
      </c>
      <c r="I489" s="13" t="inlineStr">
        <is>
          <t>medium</t>
        </is>
      </c>
      <c r="J489" s="13" t="n">
        <v>3</v>
      </c>
      <c r="K489" s="13" t="inlineStr">
        <is>
          <t>GET /categories (category listing only; product/price endpoint unconfirmed)</t>
        </is>
      </c>
      <c r="L489" s="13" t="inlineStr">
        <is>
          <t>GET https://www.goket.com.np/categories -&gt; 200, 32671 bytes, plain curl, no auth. Real category names embedded in HTML: Baby Care, Beverages, Cleaning Supplies, Packaged Foods, Pantry Staples, Personal Care -- but zero price or product-slug tokens found on that page (products load one level deeper, not confirmed in time budget). Next.js app.</t>
        </is>
      </c>
      <c r="M489" s="13" t="inlineStr">
        <is>
          <t>SUSPECT</t>
        </is>
      </c>
      <c r="N489" s="13" t="inlineStr">
        <is>
          <t>not scored</t>
        </is>
      </c>
      <c r="O489" s="13" t="inlineStr"/>
      <c r="P489" s="13" t="inlineStr">
        <is>
          <t>Custom</t>
        </is>
      </c>
      <c r="Q489" s="13" t="inlineStr">
        <is>
          <t>NPR</t>
        </is>
      </c>
      <c r="R489" s="13" t="inlineStr">
        <is>
          <t>-</t>
        </is>
      </c>
      <c r="S489" s="13" t="inlineStr">
        <is>
          <t>-</t>
        </is>
      </c>
      <c r="T489" s="13" t="inlineStr">
        <is>
          <t>5,000+ products claimed, Kathmandu Valley; catalogue is app-led.</t>
        </is>
      </c>
      <c r="U489" s="13" t="inlineStr">
        <is>
          <t>-</t>
        </is>
      </c>
      <c r="V489" s="13" t="inlineStr">
        <is>
          <t>P4</t>
        </is>
      </c>
    </row>
    <row r="490">
      <c r="A490" s="13" t="inlineStr">
        <is>
          <t>sar</t>
        </is>
      </c>
      <c r="B490" s="13" t="inlineStr">
        <is>
          <t>nepal</t>
        </is>
      </c>
      <c r="C490" s="13" t="inlineStr">
        <is>
          <t>NPL</t>
        </is>
      </c>
      <c r="D490" s="13" t="inlineStr">
        <is>
          <t>Nepal</t>
        </is>
      </c>
      <c r="E490" s="13" t="inlineStr">
        <is>
          <t>Groceries Nepal</t>
        </is>
      </c>
      <c r="F490" s="13" t="inlineStr">
        <is>
          <t>https://groceriesnepal.com/</t>
        </is>
      </c>
      <c r="G490" s="13" t="inlineStr">
        <is>
          <t>PROBED - VIABLE</t>
        </is>
      </c>
      <c r="H490" s="13" t="inlineStr">
        <is>
          <t>TIER_1B</t>
        </is>
      </c>
      <c r="I490" s="13" t="inlineStr">
        <is>
          <t>low</t>
        </is>
      </c>
      <c r="J490" s="13" t="n">
        <v>10</v>
      </c>
      <c r="K490" s="13" t="inlineStr">
        <is>
          <t>GET /api/products</t>
        </is>
      </c>
      <c r="L490" s="13" t="inlineStr">
        <is>
          <t>React SPA, GET https://groceriesnepal.com/api/products -&gt; 200, 26446 bytes JSON, plain curl, no auth. 97 products. categories = {Dairy, Dry Fruits, Fruits, Grocery, Leafy Vegetables, Vegetables}. Sample: 'Tomato (Goalbheda)' category=Vegetables price=100 prevPrice=90 unit=kg, also carries nameNp (Nepali name).</t>
        </is>
      </c>
      <c r="M490" s="13" t="inlineStr">
        <is>
          <t>ACCEPT</t>
        </is>
      </c>
      <c r="N490" s="13" t="inlineStr">
        <is>
          <t>not scored</t>
        </is>
      </c>
      <c r="O490" s="13" t="inlineStr"/>
      <c r="P490" s="13" t="inlineStr">
        <is>
          <t>Custom</t>
        </is>
      </c>
      <c r="Q490" s="13" t="inlineStr">
        <is>
          <t>NPR</t>
        </is>
      </c>
      <c r="R490" s="13" t="inlineStr">
        <is>
          <t>-</t>
        </is>
      </c>
      <c r="S490" s="13" t="inlineStr">
        <is>
          <t>-</t>
        </is>
      </c>
      <c r="T490" s="13" t="inlineStr">
        <is>
          <t>Farm-direct produce, Nepali and English product names, promo codes with values in Rs.</t>
        </is>
      </c>
      <c r="U490" s="13" t="inlineStr">
        <is>
          <t>-</t>
        </is>
      </c>
      <c r="V490" s="13" t="inlineStr">
        <is>
          <t>P4</t>
        </is>
      </c>
    </row>
    <row r="491">
      <c r="A491" s="13" t="inlineStr">
        <is>
          <t>sar</t>
        </is>
      </c>
      <c r="B491" s="13" t="inlineStr">
        <is>
          <t>nepal</t>
        </is>
      </c>
      <c r="C491" s="13" t="inlineStr">
        <is>
          <t>NPL</t>
        </is>
      </c>
      <c r="D491" s="13" t="inlineStr">
        <is>
          <t>Nepal</t>
        </is>
      </c>
      <c r="E491" s="13" t="inlineStr">
        <is>
          <t>Groceries Nepal</t>
        </is>
      </c>
      <c r="F491" s="13" t="inlineStr">
        <is>
          <t>https://groceriesnepal.com/</t>
        </is>
      </c>
      <c r="G491" s="13" t="inlineStr">
        <is>
          <t>PROBED - VIABLE</t>
        </is>
      </c>
      <c r="H491" s="13" t="inlineStr">
        <is>
          <t>TIER_1B</t>
        </is>
      </c>
      <c r="I491" s="13" t="inlineStr">
        <is>
          <t>low</t>
        </is>
      </c>
      <c r="J491" s="13" t="n">
        <v>10</v>
      </c>
      <c r="K491" s="13" t="inlineStr">
        <is>
          <t>GET /api/products</t>
        </is>
      </c>
      <c r="L491" s="13" t="inlineStr">
        <is>
          <t>React SPA, GET https://groceriesnepal.com/api/products -&gt; 200, 26446 bytes JSON, plain curl, no auth. 97 products. categories = {Dairy, Dry Fruits, Fruits, Grocery, Leafy Vegetables, Vegetables}. Sample: 'Tomato (Goalbheda)' category=Vegetables price=100 prevPrice=90 unit=kg, also carries nameNp (Nepali name).</t>
        </is>
      </c>
      <c r="M491" s="13" t="inlineStr">
        <is>
          <t>ACCEPT</t>
        </is>
      </c>
      <c r="N491" s="13" t="inlineStr">
        <is>
          <t>C - engineering required</t>
        </is>
      </c>
      <c r="O491" s="13" t="n">
        <v>3</v>
      </c>
      <c r="P491" s="13" t="inlineStr">
        <is>
          <t>Custom</t>
        </is>
      </c>
      <c r="Q491" s="13" t="inlineStr">
        <is>
          <t>NPR</t>
        </is>
      </c>
      <c r="R491" s="13" t="inlineStr">
        <is>
          <t>-</t>
        </is>
      </c>
      <c r="S491" s="13" t="inlineStr">
        <is>
          <t>current</t>
        </is>
      </c>
      <c r="T491" s="13" t="inlineStr">
        <is>
          <t>Farm-direct, Nepali and English product names.</t>
        </is>
      </c>
      <c r="U491" s="13" t="inlineStr">
        <is>
          <t>-</t>
        </is>
      </c>
      <c r="V491" s="13" t="inlineStr">
        <is>
          <t>P6</t>
        </is>
      </c>
    </row>
    <row r="492">
      <c r="A492" s="13" t="inlineStr">
        <is>
          <t>sar</t>
        </is>
      </c>
      <c r="B492" s="13" t="inlineStr">
        <is>
          <t>nepal</t>
        </is>
      </c>
      <c r="C492" s="13" t="inlineStr">
        <is>
          <t>NPL</t>
        </is>
      </c>
      <c r="D492" s="13" t="inlineStr">
        <is>
          <t>Nepal</t>
        </is>
      </c>
      <c r="E492" s="13" t="inlineStr">
        <is>
          <t>MeroKirana</t>
        </is>
      </c>
      <c r="F492" s="13" t="inlineStr">
        <is>
          <t>https://merokirana.com/</t>
        </is>
      </c>
      <c r="G492" s="13" t="inlineStr">
        <is>
          <t>PROBED - VIABLE</t>
        </is>
      </c>
      <c r="H492" s="13" t="inlineStr">
        <is>
          <t>TIER_1B</t>
        </is>
      </c>
      <c r="I492" s="13" t="inlineStr">
        <is>
          <t>medium</t>
        </is>
      </c>
      <c r="J492" s="13" t="n">
        <v>95</v>
      </c>
      <c r="K492" s="13" t="inlineStr">
        <is>
          <t>POST /semantro-web-interface/query</t>
        </is>
      </c>
      <c r="L492" s="13" t="inlineStr">
        <is>
          <t>React SPA over a proprietary 'Semantro' backend at POST https://merokirana.com/semantro-web-interface/query (multipart form field 'data' = JSON action descriptor, plain curl, no auth/cookies). actionName=listBaseCategories -&gt; 10 categories incl. Veg &amp; Fruits, Eggs &amp; Meat, Bakery &amp; Dairy. actionName=listLatestProducts (pageLimit start/end) -&gt; product id list. actionName=getProductData per product -&gt; price+currency. Verified end-to-end: 'Kejjan's Snail Mucin &amp; Rice Water Face Toner, 150ml' -&gt; priceCurrency 'NRs.', price 555.0.</t>
        </is>
      </c>
      <c r="M492" s="13" t="inlineStr">
        <is>
          <t>ACCEPT</t>
        </is>
      </c>
      <c r="N492" s="13" t="inlineStr">
        <is>
          <t>not scored</t>
        </is>
      </c>
      <c r="O492" s="13" t="inlineStr"/>
      <c r="P492" s="13" t="inlineStr">
        <is>
          <t>Custom</t>
        </is>
      </c>
      <c r="Q492" s="13" t="inlineStr">
        <is>
          <t>NPR</t>
        </is>
      </c>
      <c r="R492" s="13" t="inlineStr">
        <is>
          <t>-</t>
        </is>
      </c>
      <c r="S492" s="13" t="inlineStr">
        <is>
          <t>-</t>
        </is>
      </c>
      <c r="T492" s="13" t="inlineStr">
        <is>
          <t>NRs prices across 10 categories with a shopping-list ordering model.</t>
        </is>
      </c>
      <c r="U492" s="13" t="inlineStr">
        <is>
          <t>-</t>
        </is>
      </c>
      <c r="V492" s="13" t="inlineStr">
        <is>
          <t>P4</t>
        </is>
      </c>
    </row>
    <row r="493">
      <c r="A493" s="13" t="inlineStr">
        <is>
          <t>sar</t>
        </is>
      </c>
      <c r="B493" s="13" t="inlineStr">
        <is>
          <t>nepal</t>
        </is>
      </c>
      <c r="C493" s="13" t="inlineStr">
        <is>
          <t>NPL</t>
        </is>
      </c>
      <c r="D493" s="13" t="inlineStr">
        <is>
          <t>Nepal</t>
        </is>
      </c>
      <c r="E493" s="13" t="inlineStr">
        <is>
          <t>MeroKirana</t>
        </is>
      </c>
      <c r="F493" s="13" t="inlineStr">
        <is>
          <t>https://merokirana.com/</t>
        </is>
      </c>
      <c r="G493" s="13" t="inlineStr">
        <is>
          <t>PROBED - VIABLE</t>
        </is>
      </c>
      <c r="H493" s="13" t="inlineStr">
        <is>
          <t>TIER_1B</t>
        </is>
      </c>
      <c r="I493" s="13" t="inlineStr">
        <is>
          <t>medium</t>
        </is>
      </c>
      <c r="J493" s="13" t="n">
        <v>95</v>
      </c>
      <c r="K493" s="13" t="inlineStr">
        <is>
          <t>POST /semantro-web-interface/query</t>
        </is>
      </c>
      <c r="L493" s="13" t="inlineStr">
        <is>
          <t>React SPA over a proprietary 'Semantro' backend at POST https://merokirana.com/semantro-web-interface/query (multipart form field 'data' = JSON action descriptor, plain curl, no auth/cookies). actionName=listBaseCategories -&gt; 10 categories incl. Veg &amp; Fruits, Eggs &amp; Meat, Bakery &amp; Dairy. actionName=listLatestProducts (pageLimit start/end) -&gt; product id list. actionName=getProductData per product -&gt; price+currency. Verified end-to-end: 'Kejjan's Snail Mucin &amp; Rice Water Face Toner, 150ml' -&gt; priceCurrency 'NRs.', price 555.0.</t>
        </is>
      </c>
      <c r="M493" s="13" t="inlineStr">
        <is>
          <t>ACCEPT</t>
        </is>
      </c>
      <c r="N493" s="13" t="inlineStr">
        <is>
          <t>C - engineering required</t>
        </is>
      </c>
      <c r="O493" s="13" t="n">
        <v>3</v>
      </c>
      <c r="P493" s="13" t="inlineStr">
        <is>
          <t>Custom</t>
        </is>
      </c>
      <c r="Q493" s="13" t="inlineStr">
        <is>
          <t>NPR</t>
        </is>
      </c>
      <c r="R493" s="13" t="inlineStr">
        <is>
          <t>-</t>
        </is>
      </c>
      <c r="S493" s="13" t="inlineStr">
        <is>
          <t>current</t>
        </is>
      </c>
      <c r="T493" s="13" t="inlineStr">
        <is>
          <t>NRs prices, 10 categories, DDC dairy lines (the state dairy) which are administered prices and therefore useful as a policy-price benchmark.</t>
        </is>
      </c>
      <c r="U493" s="13" t="inlineStr">
        <is>
          <t>-</t>
        </is>
      </c>
      <c r="V493" s="13" t="inlineStr">
        <is>
          <t>P6</t>
        </is>
      </c>
    </row>
    <row r="494">
      <c r="A494" s="13" t="inlineStr">
        <is>
          <t>sar</t>
        </is>
      </c>
      <c r="B494" s="13" t="inlineStr">
        <is>
          <t>nepal</t>
        </is>
      </c>
      <c r="C494" s="13" t="inlineStr">
        <is>
          <t>NPL</t>
        </is>
      </c>
      <c r="D494" s="13" t="inlineStr">
        <is>
          <t>Nepal</t>
        </is>
      </c>
      <c r="E494" s="13" t="inlineStr">
        <is>
          <t>MilanWholesale</t>
        </is>
      </c>
      <c r="F494" s="13" t="inlineStr">
        <is>
          <t>https://milanwholesale.com/</t>
        </is>
      </c>
      <c r="G494" s="13" t="inlineStr">
        <is>
          <t>PROBED - VIABLE</t>
        </is>
      </c>
      <c r="H494" s="13" t="inlineStr">
        <is>
          <t>TIER_1A</t>
        </is>
      </c>
      <c r="I494" s="13" t="inlineStr">
        <is>
          <t>low</t>
        </is>
      </c>
      <c r="J494" s="13" t="n">
        <v>5</v>
      </c>
      <c r="K494" s="13" t="inlineStr">
        <is>
          <t>GET /product-category/&lt;slug&gt;</t>
        </is>
      </c>
      <c r="L494" s="13" t="inlineStr">
        <is>
          <t>GET https://milanwholesale.com/product-category/rice -&gt; 200, 104587 bytes SSR HTML, plain curl, no auth. Product cards extracted via h-tag anchors, e.g. 'Rajhans Royal Pulao Basmati Rice 20kg' Rs.4500, 'Aashiyana Usina Long Grain Rice 5kg'. Categories: biscuits, breakfast-dips-spreads, chips-biscuits-noodles, cooking-oil-ghee, daal, dry-fruits, flour-flour-products, hot-cold-beverages, lentils-pulses-beans, noodles, rice, spices-masala, sugar-salt.</t>
        </is>
      </c>
      <c r="M494" s="13" t="inlineStr">
        <is>
          <t>ACCEPT</t>
        </is>
      </c>
      <c r="N494" s="13" t="inlineStr">
        <is>
          <t>C - engineering required</t>
        </is>
      </c>
      <c r="O494" s="13" t="n">
        <v>3</v>
      </c>
      <c r="P494" s="13" t="inlineStr">
        <is>
          <t>Custom</t>
        </is>
      </c>
      <c r="Q494" s="13" t="inlineStr">
        <is>
          <t>NPR</t>
        </is>
      </c>
      <c r="R494" s="13" t="inlineStr">
        <is>
          <t>-</t>
        </is>
      </c>
      <c r="S494" s="13" t="inlineStr">
        <is>
          <t>wholesale_price</t>
        </is>
      </c>
      <c r="T494" s="13" t="inlineStr">
        <is>
          <t>WHOLESALE pricing on staples (flour, rice, cereals) with a best-price guarantee. Pair with Vhandar or MeroKirana retail for a Nepal wholesale-retail spread.</t>
        </is>
      </c>
      <c r="U494" s="13" t="inlineStr">
        <is>
          <t>Do not pool wholesale and retail series.</t>
        </is>
      </c>
      <c r="V494" s="13" t="inlineStr">
        <is>
          <t>P6</t>
        </is>
      </c>
    </row>
    <row r="495">
      <c r="A495" s="13" t="inlineStr">
        <is>
          <t>sar</t>
        </is>
      </c>
      <c r="B495" s="13" t="inlineStr">
        <is>
          <t>nepal</t>
        </is>
      </c>
      <c r="C495" s="13" t="inlineStr">
        <is>
          <t>NPL</t>
        </is>
      </c>
      <c r="D495" s="13" t="inlineStr">
        <is>
          <t>Nepal</t>
        </is>
      </c>
      <c r="E495" s="13" t="inlineStr">
        <is>
          <t>ShopIt Nepal</t>
        </is>
      </c>
      <c r="F495" s="13" t="inlineStr">
        <is>
          <t>https://www.shopitnepal.com/</t>
        </is>
      </c>
      <c r="G495" s="13" t="inlineStr">
        <is>
          <t>PROBED - VIABLE</t>
        </is>
      </c>
      <c r="H495" s="13" t="inlineStr">
        <is>
          <t>TIER_1B</t>
        </is>
      </c>
      <c r="I495" s="13" t="inlineStr">
        <is>
          <t>low</t>
        </is>
      </c>
      <c r="J495" s="13" t="n">
        <v>8</v>
      </c>
      <c r="K495" s="13" t="inlineStr">
        <is>
          <t>GET /api/mobile/products, /api/mobile/category</t>
        </is>
      </c>
      <c r="L495" s="13" t="inlineStr">
        <is>
          <t>Next.js frontend, GET https://shopitnepal.com/api/mobile/products -&gt; 200, 7253 bytes JSON, plain curl, no auth. Sample: 'NIVEA Shea Smooth 75ml' price=185 mrp=200. GET /api/mobile/category -&gt; categories {Baby Products, Chocolates, Cloud Kitchen, Daily Groceries, Hajmola, Home &amp; Kitchen, Ice Creams, Liquors, Mouth Freashner, Packaged Foods, Party Supplies, Personal Care, Sexual Wellness, Smokes, Soft Drinks}.</t>
        </is>
      </c>
      <c r="M495" s="13" t="inlineStr">
        <is>
          <t>ACCEPT</t>
        </is>
      </c>
      <c r="N495" s="13" t="inlineStr">
        <is>
          <t>not scored</t>
        </is>
      </c>
      <c r="O495" s="13" t="inlineStr"/>
      <c r="P495" s="13" t="inlineStr">
        <is>
          <t>Custom</t>
        </is>
      </c>
      <c r="Q495" s="13" t="inlineStr">
        <is>
          <t>NPR</t>
        </is>
      </c>
      <c r="R495" s="13" t="inlineStr">
        <is>
          <t>-</t>
        </is>
      </c>
      <c r="S495" s="13" t="inlineStr">
        <is>
          <t>-</t>
        </is>
      </c>
      <c r="T495" s="13" t="inlineStr">
        <is>
          <t>Rs prices with discount percentages; 1000+ products; includes a cloud-kitchen vertical.</t>
        </is>
      </c>
      <c r="U495" s="13" t="inlineStr">
        <is>
          <t>-</t>
        </is>
      </c>
      <c r="V495" s="13" t="inlineStr">
        <is>
          <t>P4</t>
        </is>
      </c>
    </row>
    <row r="496">
      <c r="A496" s="13" t="inlineStr">
        <is>
          <t>sar</t>
        </is>
      </c>
      <c r="B496" s="13" t="inlineStr">
        <is>
          <t>nepal</t>
        </is>
      </c>
      <c r="C496" s="13" t="inlineStr">
        <is>
          <t>NPL</t>
        </is>
      </c>
      <c r="D496" s="13" t="inlineStr">
        <is>
          <t>Nepal</t>
        </is>
      </c>
      <c r="E496" s="13" t="inlineStr">
        <is>
          <t>ShopIt Nepal</t>
        </is>
      </c>
      <c r="F496" s="13" t="inlineStr">
        <is>
          <t>https://www.shopitnepal.com/</t>
        </is>
      </c>
      <c r="G496" s="13" t="inlineStr">
        <is>
          <t>PROBED - VIABLE</t>
        </is>
      </c>
      <c r="H496" s="13" t="inlineStr">
        <is>
          <t>TIER_1B</t>
        </is>
      </c>
      <c r="I496" s="13" t="inlineStr">
        <is>
          <t>low</t>
        </is>
      </c>
      <c r="J496" s="13" t="n">
        <v>8</v>
      </c>
      <c r="K496" s="13" t="inlineStr">
        <is>
          <t>GET /api/mobile/products, /api/mobile/category</t>
        </is>
      </c>
      <c r="L496" s="13" t="inlineStr">
        <is>
          <t>Next.js frontend, GET https://shopitnepal.com/api/mobile/products -&gt; 200, 7253 bytes JSON, plain curl, no auth. Sample: 'NIVEA Shea Smooth 75ml' price=185 mrp=200. GET /api/mobile/category -&gt; categories {Baby Products, Chocolates, Cloud Kitchen, Daily Groceries, Hajmola, Home &amp; Kitchen, Ice Creams, Liquors, Mouth Freashner, Packaged Foods, Party Supplies, Personal Care, Sexual Wellness, Smokes, Soft Drinks}.</t>
        </is>
      </c>
      <c r="M496" s="13" t="inlineStr">
        <is>
          <t>ACCEPT</t>
        </is>
      </c>
      <c r="N496" s="13" t="inlineStr">
        <is>
          <t>C - engineering required</t>
        </is>
      </c>
      <c r="O496" s="13" t="n">
        <v>3</v>
      </c>
      <c r="P496" s="13" t="inlineStr">
        <is>
          <t>Custom</t>
        </is>
      </c>
      <c r="Q496" s="13" t="inlineStr">
        <is>
          <t>NPR</t>
        </is>
      </c>
      <c r="R496" s="13" t="inlineStr">
        <is>
          <t>-</t>
        </is>
      </c>
      <c r="S496" s="13" t="inlineStr">
        <is>
          <t>current, discount_pct</t>
        </is>
      </c>
      <c r="T496" s="13" t="inlineStr">
        <is>
          <t>1000+ products.</t>
        </is>
      </c>
      <c r="U496" s="13" t="inlineStr">
        <is>
          <t>-</t>
        </is>
      </c>
      <c r="V496" s="13" t="inlineStr">
        <is>
          <t>P6</t>
        </is>
      </c>
    </row>
    <row r="497">
      <c r="A497" s="13" t="inlineStr">
        <is>
          <t>sar</t>
        </is>
      </c>
      <c r="B497" s="13" t="inlineStr">
        <is>
          <t>nepal</t>
        </is>
      </c>
      <c r="C497" s="13" t="inlineStr">
        <is>
          <t>NPL</t>
        </is>
      </c>
      <c r="D497" s="13" t="inlineStr">
        <is>
          <t>Nepal</t>
        </is>
      </c>
      <c r="E497" s="13" t="inlineStr">
        <is>
          <t>Thulo.com</t>
        </is>
      </c>
      <c r="F497" s="13" t="inlineStr">
        <is>
          <t>https://thulo.com.np/supermarket</t>
        </is>
      </c>
      <c r="G497" s="13" t="inlineStr">
        <is>
          <t>PROBED - VIABLE</t>
        </is>
      </c>
      <c r="H497" s="13" t="inlineStr">
        <is>
          <t>TIER_1B</t>
        </is>
      </c>
      <c r="I497" s="13" t="inlineStr">
        <is>
          <t>medium</t>
        </is>
      </c>
      <c r="J497" s="13" t="n">
        <v>12</v>
      </c>
      <c r="K497" s="13" t="inlineStr">
        <is>
          <t>GET /thulo-product/shop?category=N&amp;maxp=N</t>
        </is>
      </c>
      <c r="L497" s="13" t="inlineStr">
        <is>
          <t>GET https://thulo.com.np/thulo-product/shop?category=394&amp;maxp=35670 -&gt; 200, 63201 bytes JSON with a single 'grid' key containing an HTML fragment (plain curl, no auth). Product titles extracted from 'global-card-contents-title' anchors, e.g. 'Maghe Special Combo Set 3'; PDP links point to named-vendor subdomains (pasal101.thulo.com.np/shop/...), confirming the multi-vendor panel structure the shard notes describe.</t>
        </is>
      </c>
      <c r="M497" s="13" t="inlineStr">
        <is>
          <t>ACCEPT</t>
        </is>
      </c>
      <c r="N497" s="13" t="inlineStr">
        <is>
          <t>not scored</t>
        </is>
      </c>
      <c r="O497" s="13" t="inlineStr"/>
      <c r="P497" s="13" t="inlineStr">
        <is>
          <t>Custom</t>
        </is>
      </c>
      <c r="Q497" s="13" t="inlineStr">
        <is>
          <t>NPR</t>
        </is>
      </c>
      <c r="R497" s="13" t="inlineStr">
        <is>
          <t>-</t>
        </is>
      </c>
      <c r="S497" s="13" t="inlineStr">
        <is>
          <t>-</t>
        </is>
      </c>
      <c r="T497" s="13" t="inlineStr">
        <is>
          <t>31 pages of supermarket lines with Rs prices and named vendor attribution.</t>
        </is>
      </c>
      <c r="U497" s="13" t="inlineStr">
        <is>
          <t>-</t>
        </is>
      </c>
      <c r="V497" s="13" t="inlineStr">
        <is>
          <t>P4</t>
        </is>
      </c>
    </row>
    <row r="498">
      <c r="A498" s="13" t="inlineStr">
        <is>
          <t>sar</t>
        </is>
      </c>
      <c r="B498" s="13" t="inlineStr">
        <is>
          <t>nepal</t>
        </is>
      </c>
      <c r="C498" s="13" t="inlineStr">
        <is>
          <t>NPL</t>
        </is>
      </c>
      <c r="D498" s="13" t="inlineStr">
        <is>
          <t>Nepal</t>
        </is>
      </c>
      <c r="E498" s="13" t="inlineStr">
        <is>
          <t>Thulo.com</t>
        </is>
      </c>
      <c r="F498" s="13" t="inlineStr">
        <is>
          <t>https://thulo.com.np/supermarket</t>
        </is>
      </c>
      <c r="G498" s="13" t="inlineStr">
        <is>
          <t>PROBED - VIABLE</t>
        </is>
      </c>
      <c r="H498" s="13" t="inlineStr">
        <is>
          <t>TIER_1B</t>
        </is>
      </c>
      <c r="I498" s="13" t="inlineStr">
        <is>
          <t>medium</t>
        </is>
      </c>
      <c r="J498" s="13" t="n">
        <v>12</v>
      </c>
      <c r="K498" s="13" t="inlineStr">
        <is>
          <t>GET /thulo-product/shop?category=N&amp;maxp=N</t>
        </is>
      </c>
      <c r="L498" s="13" t="inlineStr">
        <is>
          <t>GET https://thulo.com.np/thulo-product/shop?category=394&amp;maxp=35670 -&gt; 200, 63201 bytes JSON with a single 'grid' key containing an HTML fragment (plain curl, no auth). Product titles extracted from 'global-card-contents-title' anchors, e.g. 'Maghe Special Combo Set 3'; PDP links point to named-vendor subdomains (pasal101.thulo.com.np/shop/...), confirming the multi-vendor panel structure the shard notes describe.</t>
        </is>
      </c>
      <c r="M498" s="13" t="inlineStr">
        <is>
          <t>ACCEPT</t>
        </is>
      </c>
      <c r="N498" s="13" t="inlineStr">
        <is>
          <t>C - engineering required</t>
        </is>
      </c>
      <c r="O498" s="13" t="n">
        <v>3</v>
      </c>
      <c r="P498" s="13" t="inlineStr">
        <is>
          <t>Custom</t>
        </is>
      </c>
      <c r="Q498" s="13" t="inlineStr">
        <is>
          <t>NPR</t>
        </is>
      </c>
      <c r="R498" s="13" t="inlineStr">
        <is>
          <t>-</t>
        </is>
      </c>
      <c r="S498" s="13" t="inlineStr">
        <is>
          <t>price, was_price</t>
        </is>
      </c>
      <c r="T498" s="13" t="inlineStr">
        <is>
          <t>31 pages of supermarket lines with NAMED VENDOR attribution per product ('Pasal 101 Lalitpur'), which makes it a multi-vendor panel rather than a single retailer.</t>
        </is>
      </c>
      <c r="U498" s="13" t="inlineStr">
        <is>
          <t>Same product repeats across vendors; deduplicate on vendor+SKU, not SKU alone.</t>
        </is>
      </c>
      <c r="V498" s="13" t="inlineStr">
        <is>
          <t>P6</t>
        </is>
      </c>
    </row>
    <row r="499">
      <c r="A499" s="13" t="inlineStr">
        <is>
          <t>sar</t>
        </is>
      </c>
      <c r="B499" s="13" t="inlineStr">
        <is>
          <t>nepal</t>
        </is>
      </c>
      <c r="C499" s="13" t="inlineStr">
        <is>
          <t>NPL</t>
        </is>
      </c>
      <c r="D499" s="13" t="inlineStr">
        <is>
          <t>Nepal</t>
        </is>
      </c>
      <c r="E499" s="13" t="inlineStr">
        <is>
          <t>Vhandar</t>
        </is>
      </c>
      <c r="F499" s="13" t="inlineStr">
        <is>
          <t>https://www.vhandar.com/</t>
        </is>
      </c>
      <c r="G499" s="13" t="inlineStr">
        <is>
          <t>PROBED - VIABLE</t>
        </is>
      </c>
      <c r="H499" s="13" t="inlineStr">
        <is>
          <t>TIER_1B</t>
        </is>
      </c>
      <c r="I499" s="13" t="inlineStr">
        <is>
          <t>low</t>
        </is>
      </c>
      <c r="J499" s="13" t="n">
        <v>25</v>
      </c>
      <c r="K499" s="13" t="inlineStr">
        <is>
          <t>GET api.vhandar.com/products, /categories</t>
        </is>
      </c>
      <c r="L499" s="13" t="inlineStr">
        <is>
          <t>Next.js frontend, backend at GET https://api.vhandar.com/products?status=active&amp;page=1&amp;limit=50 -&gt; 200, 143KB JSON, plain curl, no auth. pagination.total=1180. Sample: 'Sip &amp; Seal Matcha Powder' unit=g unitValue=100 pricePerUnit=1600 (NPR implied). Categories via /categories endpoint: Dairy/Bread/Eggs, Packaged &amp; Instant Food, Rice/Atta/Flour, Dals/Pulses, Oil/Ghee, Masala/Dry Fruits, Sauces/Spreads, Tea/Coffee, Sweet Tooth, Snacks, Cold Drinks/Juice, Bakery/Biscuits, Horeca, Beauty/Cleaning/Personal-care/Baby (non-food).</t>
        </is>
      </c>
      <c r="M499" s="13" t="inlineStr">
        <is>
          <t>ACCEPT</t>
        </is>
      </c>
      <c r="N499" s="13" t="inlineStr">
        <is>
          <t>not scored</t>
        </is>
      </c>
      <c r="O499" s="13" t="inlineStr"/>
      <c r="P499" s="13" t="inlineStr">
        <is>
          <t>Custom</t>
        </is>
      </c>
      <c r="Q499" s="13" t="inlineStr">
        <is>
          <t>NPR</t>
        </is>
      </c>
      <c r="R499" s="13" t="inlineStr">
        <is>
          <t>-</t>
        </is>
      </c>
      <c r="S499" s="13" t="inlineStr">
        <is>
          <t>-</t>
        </is>
      </c>
      <c r="T499" s="13" t="inlineStr">
        <is>
          <t>STRONG: Rs prices with MRP and SAVE amounts shown per line, 18 categories, includes a HORECA wholesale vertical. Both retail and MRP fields are exposed, which supports margin analysis.</t>
        </is>
      </c>
      <c r="U499" s="13" t="inlineStr">
        <is>
          <t>-</t>
        </is>
      </c>
      <c r="V499" s="13" t="inlineStr">
        <is>
          <t>P4</t>
        </is>
      </c>
    </row>
    <row r="500">
      <c r="A500" s="13" t="inlineStr">
        <is>
          <t>sar</t>
        </is>
      </c>
      <c r="B500" s="13" t="inlineStr">
        <is>
          <t>nepal</t>
        </is>
      </c>
      <c r="C500" s="13" t="inlineStr">
        <is>
          <t>NPL</t>
        </is>
      </c>
      <c r="D500" s="13" t="inlineStr">
        <is>
          <t>Nepal</t>
        </is>
      </c>
      <c r="E500" s="13" t="inlineStr">
        <is>
          <t>Vhandar</t>
        </is>
      </c>
      <c r="F500" s="13" t="inlineStr">
        <is>
          <t>https://www.vhandar.com/</t>
        </is>
      </c>
      <c r="G500" s="13" t="inlineStr">
        <is>
          <t>PROBED - VIABLE</t>
        </is>
      </c>
      <c r="H500" s="13" t="inlineStr">
        <is>
          <t>TIER_1B</t>
        </is>
      </c>
      <c r="I500" s="13" t="inlineStr">
        <is>
          <t>low</t>
        </is>
      </c>
      <c r="J500" s="13" t="n">
        <v>25</v>
      </c>
      <c r="K500" s="13" t="inlineStr">
        <is>
          <t>GET api.vhandar.com/products, /categories</t>
        </is>
      </c>
      <c r="L500" s="13" t="inlineStr">
        <is>
          <t>Next.js frontend, backend at GET https://api.vhandar.com/products?status=active&amp;page=1&amp;limit=50 -&gt; 200, 143KB JSON, plain curl, no auth. pagination.total=1180. Sample: 'Sip &amp; Seal Matcha Powder' unit=g unitValue=100 pricePerUnit=1600 (NPR implied). Categories via /categories endpoint: Dairy/Bread/Eggs, Packaged &amp; Instant Food, Rice/Atta/Flour, Dals/Pulses, Oil/Ghee, Masala/Dry Fruits, Sauces/Spreads, Tea/Coffee, Sweet Tooth, Snacks, Cold Drinks/Juice, Bakery/Biscuits, Horeca, Beauty/Cleaning/Personal-care/Baby (non-food).</t>
        </is>
      </c>
      <c r="M500" s="13" t="inlineStr">
        <is>
          <t>ACCEPT</t>
        </is>
      </c>
      <c r="N500" s="13" t="inlineStr">
        <is>
          <t>C - engineering required</t>
        </is>
      </c>
      <c r="O500" s="13" t="n">
        <v>3</v>
      </c>
      <c r="P500" s="13" t="inlineStr">
        <is>
          <t>Custom</t>
        </is>
      </c>
      <c r="Q500" s="13" t="inlineStr">
        <is>
          <t>NPR</t>
        </is>
      </c>
      <c r="R500" s="13" t="inlineStr">
        <is>
          <t>Capture price, MRP and the HORECA flag.</t>
        </is>
      </c>
      <c r="S500" s="13" t="inlineStr">
        <is>
          <t>price, mrp, saving</t>
        </is>
      </c>
      <c r="T500" s="13" t="inlineStr">
        <is>
          <t>Exposes selling price AND the manufacturer's MRP with the saving stated, so observed retail margin against the stated maximum is directly measurable per SKU. Also runs a HORECA wholesale vertical, giving a second channel within one taxonomy.</t>
        </is>
      </c>
      <c r="U500" s="13" t="inlineStr">
        <is>
          <t>-</t>
        </is>
      </c>
      <c r="V500" s="13" t="inlineStr">
        <is>
          <t>P6</t>
        </is>
      </c>
    </row>
    <row r="501">
      <c r="A501" s="13" t="inlineStr">
        <is>
          <t>ssa</t>
        </is>
      </c>
      <c r="B501" s="13" t="inlineStr">
        <is>
          <t>angola</t>
        </is>
      </c>
      <c r="C501" s="13" t="inlineStr">
        <is>
          <t>AGO</t>
        </is>
      </c>
      <c r="D501" s="13" t="inlineStr">
        <is>
          <t>Angola</t>
        </is>
      </c>
      <c r="E501" s="13" t="inlineStr">
        <is>
          <t>Angoremia</t>
        </is>
      </c>
      <c r="F501" s="13" t="inlineStr">
        <is>
          <t>https://angoremia.shop/</t>
        </is>
      </c>
      <c r="G501" s="13" t="inlineStr">
        <is>
          <t>PROBED - SKIP</t>
        </is>
      </c>
      <c r="H501" s="13" t="inlineStr">
        <is>
          <t>SKIP</t>
        </is>
      </c>
      <c r="I501" s="13" t="inlineStr">
        <is>
          <t>medium</t>
        </is>
      </c>
      <c r="J501" s="13" t="n">
        <v>0</v>
      </c>
      <c r="K501" s="13" t="inlineStr">
        <is>
          <t>unknown -- needs Playwright network trace</t>
        </is>
      </c>
      <c r="L501" s="13" t="inlineStr">
        <is>
          <t>curl 200, 27KB, but page is a React 19 SPA shell built via the 'lovable.app' no-code tool (same tooling family as other Supabase-backed Angolan storefronts probed in this pass). og:description confirms real scope: 'Faça as compras do supermercado online... frescos, mercearia, bebidas, higiene'. No /assets/*.js bundle path was findable in the truncated static HTML within the time budget, so the Supabase project ref + anon key (the pattern that worked for kiwaba and yorix) was not extracted.</t>
        </is>
      </c>
      <c r="M501" s="13" t="inlineStr">
        <is>
          <t>ACCEPT</t>
        </is>
      </c>
      <c r="N501" s="13" t="inlineStr">
        <is>
          <t>not scored</t>
        </is>
      </c>
      <c r="O501" s="13" t="inlineStr"/>
      <c r="P501" s="13" t="inlineStr">
        <is>
          <t>Custom</t>
        </is>
      </c>
      <c r="Q501" s="13" t="inlineStr">
        <is>
          <t>AOA</t>
        </is>
      </c>
      <c r="R501" s="13" t="inlineStr">
        <is>
          <t>-</t>
        </is>
      </c>
      <c r="S501" s="13" t="inlineStr">
        <is>
          <t>-</t>
        </is>
      </c>
      <c r="T501" s="13" t="inlineStr">
        <is>
          <t>Live: Kz thresholds, Luanda/Talatona/Kilamba, domestic producer focus.</t>
        </is>
      </c>
      <c r="U501" s="13" t="inlineStr">
        <is>
          <t>-</t>
        </is>
      </c>
      <c r="V501" s="13" t="inlineStr">
        <is>
          <t>P1</t>
        </is>
      </c>
    </row>
    <row r="502">
      <c r="A502" s="13" t="inlineStr">
        <is>
          <t>ssa</t>
        </is>
      </c>
      <c r="B502" s="13" t="inlineStr">
        <is>
          <t>angola</t>
        </is>
      </c>
      <c r="C502" s="13" t="inlineStr">
        <is>
          <t>AGO</t>
        </is>
      </c>
      <c r="D502" s="13" t="inlineStr">
        <is>
          <t>Angola</t>
        </is>
      </c>
      <c r="E502" s="13" t="inlineStr">
        <is>
          <t>Hiperkupa</t>
        </is>
      </c>
      <c r="F502" s="13" t="inlineStr">
        <is>
          <t>https://hiperkupa.ao/</t>
        </is>
      </c>
      <c r="G502" s="13" t="inlineStr">
        <is>
          <t>PROBED - SKIP</t>
        </is>
      </c>
      <c r="H502" s="13" t="inlineStr">
        <is>
          <t>SKIP</t>
        </is>
      </c>
      <c r="I502" s="13" t="inlineStr">
        <is>
          <t>medium</t>
        </is>
      </c>
      <c r="J502" s="13" t="n">
        <v>0</v>
      </c>
      <c r="K502" s="13" t="inlineStr">
        <is>
          <t>not probed</t>
        </is>
      </c>
      <c r="L502" s="13" t="inlineStr">
        <is>
          <t>curl 200, 18.6KB. Page text contains 'restaurant' and Next.js markers; matches CSV's own caution ('described as multi-restaurant; grocery depth unclear'). Not probed deeper (Playwright) given time budget and low prior confidence.</t>
        </is>
      </c>
      <c r="M502" s="13" t="inlineStr">
        <is>
          <t>SUSPECT</t>
        </is>
      </c>
      <c r="N502" s="13" t="inlineStr">
        <is>
          <t>not scored</t>
        </is>
      </c>
      <c r="O502" s="13" t="inlineStr"/>
      <c r="P502" s="13" t="inlineStr">
        <is>
          <t>Custom</t>
        </is>
      </c>
      <c r="Q502" s="13" t="inlineStr">
        <is>
          <t>AOA</t>
        </is>
      </c>
      <c r="R502" s="13" t="inlineStr">
        <is>
          <t>-</t>
        </is>
      </c>
      <c r="S502" s="13" t="inlineStr">
        <is>
          <t>-</t>
        </is>
      </c>
      <c r="T502" s="13" t="inlineStr">
        <is>
          <t>Live but described as multi-restaurant; grocery depth unclear.</t>
        </is>
      </c>
      <c r="U502" s="13" t="inlineStr">
        <is>
          <t>-</t>
        </is>
      </c>
      <c r="V502" s="13" t="inlineStr">
        <is>
          <t>P1</t>
        </is>
      </c>
    </row>
    <row r="503">
      <c r="A503" s="13" t="inlineStr">
        <is>
          <t>ssa</t>
        </is>
      </c>
      <c r="B503" s="13" t="inlineStr">
        <is>
          <t>angola</t>
        </is>
      </c>
      <c r="C503" s="13" t="inlineStr">
        <is>
          <t>AGO</t>
        </is>
      </c>
      <c r="D503" s="13" t="inlineStr">
        <is>
          <t>Angola</t>
        </is>
      </c>
      <c r="E503" s="13" t="inlineStr">
        <is>
          <t>Kibabo Online</t>
        </is>
      </c>
      <c r="F503" s="13" t="inlineStr">
        <is>
          <t>https://www.kibabo.co.ao/pt/</t>
        </is>
      </c>
      <c r="G503" s="13" t="inlineStr">
        <is>
          <t>PROBED - SKIP</t>
        </is>
      </c>
      <c r="H503" s="13" t="inlineStr">
        <is>
          <t>SKIP</t>
        </is>
      </c>
      <c r="I503" s="13" t="inlineStr">
        <is>
          <t>low</t>
        </is>
      </c>
      <c r="J503" s="13" t="n">
        <v>0</v>
      </c>
      <c r="K503" s="13" t="inlineStr"/>
      <c r="L503" s="13" t="inlineStr">
        <is>
          <t>curl 200, 474KB. The site's own &lt;meta name="description"&gt; reads: 'Somos uma loja de produtos NAO-alimentares a precos muito competitivos, mais concretamente de utilidades para a casa, decoracao, artigos de higiene e limpeza' (We are a store of NON-FOOD products: household goods, decor, hygiene/cleaning). This directly contradicts the CSV's ACCEPT verdict.</t>
        </is>
      </c>
      <c r="M503" s="13" t="inlineStr">
        <is>
          <t>ACCEPT</t>
        </is>
      </c>
      <c r="N503" s="13" t="inlineStr">
        <is>
          <t>not scored</t>
        </is>
      </c>
      <c r="O503" s="13" t="inlineStr"/>
      <c r="P503" s="13" t="inlineStr">
        <is>
          <t>Custom</t>
        </is>
      </c>
      <c r="Q503" s="13" t="inlineStr">
        <is>
          <t>AOA</t>
        </is>
      </c>
      <c r="R503" s="13" t="inlineStr">
        <is>
          <t>-</t>
        </is>
      </c>
      <c r="S503" s="13" t="inlineStr">
        <is>
          <t>-</t>
        </is>
      </c>
      <c r="T503" s="13" t="inlineStr">
        <is>
          <t>Live: Kz prices, established Angolan group (Superbrands 2022).</t>
        </is>
      </c>
      <c r="U503" s="13" t="inlineStr">
        <is>
          <t>-</t>
        </is>
      </c>
      <c r="V503" s="13" t="inlineStr">
        <is>
          <t>P1</t>
        </is>
      </c>
    </row>
    <row r="504">
      <c r="A504" s="13" t="inlineStr">
        <is>
          <t>ssa</t>
        </is>
      </c>
      <c r="B504" s="13" t="inlineStr">
        <is>
          <t>angola</t>
        </is>
      </c>
      <c r="C504" s="13" t="inlineStr">
        <is>
          <t>AGO</t>
        </is>
      </c>
      <c r="D504" s="13" t="inlineStr">
        <is>
          <t>Angola</t>
        </is>
      </c>
      <c r="E504" s="13" t="inlineStr">
        <is>
          <t>Mamboo</t>
        </is>
      </c>
      <c r="F504" s="13" t="inlineStr">
        <is>
          <t>https://site.mamboo.co.ao/</t>
        </is>
      </c>
      <c r="G504" s="13" t="inlineStr">
        <is>
          <t>PROBED - SKIP</t>
        </is>
      </c>
      <c r="H504" s="13" t="inlineStr">
        <is>
          <t>SKIP</t>
        </is>
      </c>
      <c r="I504" s="13" t="inlineStr">
        <is>
          <t>high</t>
        </is>
      </c>
      <c r="J504" s="13" t="n">
        <v>0</v>
      </c>
      <c r="K504" s="13" t="inlineStr">
        <is>
          <t>none found</t>
        </is>
      </c>
      <c r="L504" s="13" t="inlineStr">
        <is>
          <t>curl 200, 1.3KB SPA shell (div#root, Vite build). Guessed API paths (/api/products, /api/v1/products, /api/catalog) all returned the SPA catch-all fallback (identical 1276-byte body), not real JSON -- confirming the app uses client-side routing with no server-rendered or guessable JSON endpoint.</t>
        </is>
      </c>
      <c r="M504" s="13" t="inlineStr">
        <is>
          <t>SUSPECT</t>
        </is>
      </c>
      <c r="N504" s="13" t="inlineStr">
        <is>
          <t>not scored</t>
        </is>
      </c>
      <c r="O504" s="13" t="inlineStr"/>
      <c r="P504" s="13" t="inlineStr">
        <is>
          <t>Custom</t>
        </is>
      </c>
      <c r="Q504" s="13" t="inlineStr">
        <is>
          <t>AOA</t>
        </is>
      </c>
      <c r="R504" s="13" t="inlineStr">
        <is>
          <t>-</t>
        </is>
      </c>
      <c r="S504" s="13" t="inlineStr">
        <is>
          <t>-</t>
        </is>
      </c>
      <c r="T504" s="13" t="inlineStr">
        <is>
          <t>Live super-app (Angola and Tanzania); catalogue behind app.</t>
        </is>
      </c>
      <c r="U504" s="13" t="inlineStr">
        <is>
          <t>-</t>
        </is>
      </c>
      <c r="V504" s="13" t="inlineStr">
        <is>
          <t>P1</t>
        </is>
      </c>
    </row>
    <row r="505">
      <c r="A505" s="13" t="inlineStr">
        <is>
          <t>ssa</t>
        </is>
      </c>
      <c r="B505" s="13" t="inlineStr">
        <is>
          <t>angola</t>
        </is>
      </c>
      <c r="C505" s="13" t="inlineStr">
        <is>
          <t>AGO</t>
        </is>
      </c>
      <c r="D505" s="13" t="inlineStr">
        <is>
          <t>Angola</t>
        </is>
      </c>
      <c r="E505" s="13" t="inlineStr">
        <is>
          <t>Mena Mart</t>
        </is>
      </c>
      <c r="F505" s="13" t="inlineStr">
        <is>
          <t>https://www.menamart-angola.com/</t>
        </is>
      </c>
      <c r="G505" s="13" t="inlineStr">
        <is>
          <t>PROBED - SKIP</t>
        </is>
      </c>
      <c r="H505" s="13" t="inlineStr">
        <is>
          <t>SKIP</t>
        </is>
      </c>
      <c r="I505" s="13" t="inlineStr">
        <is>
          <t>high</t>
        </is>
      </c>
      <c r="J505" s="13" t="n">
        <v>0</v>
      </c>
      <c r="K505" s="13" t="inlineStr">
        <is>
          <t>none found (login-gated)</t>
        </is>
      </c>
      <c r="L505" s="13" t="inlineStr">
        <is>
          <t>CORRECTS an initial false positive: a raw grep for 'Kz[0-9]' matched substrings inside random image-hash filenames (e.g. '...FruRKz4PHXC.png'), not real prices. Playwright render of the full page (inner_text dump) shows a rich 1,182-product Laravel catalog with a genuine 9-category F&amp;B taxonomy (Bebidas, Carnes &amp; Aves, Cereais &amp; Grãos, Condiments &amp; Molhos, Conservas &amp; Enlatados, Frutas &amp; Vegetais, Lacticínios &amp; Ovos, Oleo &amp; Azeite, Pescado &amp; Marisco, Temperos &amp; Especiarias) but the rendered text banner reads 'Inicie sessão na sua conta para fazer compras' (log in to shop) and no price is shown next to any product name/pack-size in the rendered DOM -- prices are gated behind login.</t>
        </is>
      </c>
      <c r="M505" s="13" t="inlineStr">
        <is>
          <t>ACCEPT</t>
        </is>
      </c>
      <c r="N505" s="13" t="inlineStr">
        <is>
          <t>not scored</t>
        </is>
      </c>
      <c r="O505" s="13" t="inlineStr"/>
      <c r="P505" s="13" t="inlineStr">
        <is>
          <t>Custom</t>
        </is>
      </c>
      <c r="Q505" s="13" t="inlineStr">
        <is>
          <t>AOA</t>
        </is>
      </c>
      <c r="R505" s="13" t="inlineStr">
        <is>
          <t>-</t>
        </is>
      </c>
      <c r="S505" s="13" t="inlineStr">
        <is>
          <t>-</t>
        </is>
      </c>
      <c r="T505" s="13" t="inlineStr">
        <is>
          <t>Live: Kz prices, stock flags, wholesale case sizes; Luanda.</t>
        </is>
      </c>
      <c r="U505" s="13" t="inlineStr">
        <is>
          <t>-</t>
        </is>
      </c>
      <c r="V505" s="13" t="inlineStr">
        <is>
          <t>P1</t>
        </is>
      </c>
    </row>
    <row r="506">
      <c r="A506" s="13" t="inlineStr">
        <is>
          <t>ssa</t>
        </is>
      </c>
      <c r="B506" s="13" t="inlineStr">
        <is>
          <t>angola</t>
        </is>
      </c>
      <c r="C506" s="13" t="inlineStr">
        <is>
          <t>AGO</t>
        </is>
      </c>
      <c r="D506" s="13" t="inlineStr">
        <is>
          <t>Angola</t>
        </is>
      </c>
      <c r="E506" s="13" t="inlineStr">
        <is>
          <t>Kiwaba Online</t>
        </is>
      </c>
      <c r="F506" s="13" t="inlineStr">
        <is>
          <t>https://www.kiwaba.online/</t>
        </is>
      </c>
      <c r="G506" s="13" t="inlineStr">
        <is>
          <t>PROBED - VIABLE</t>
        </is>
      </c>
      <c r="H506" s="13" t="inlineStr">
        <is>
          <t>TIER_1B</t>
        </is>
      </c>
      <c r="I506" s="13" t="inlineStr">
        <is>
          <t>low</t>
        </is>
      </c>
      <c r="J506" s="13" t="n">
        <v>30</v>
      </c>
      <c r="K506" s="13" t="inlineStr">
        <is>
          <t>https://{project-ref}.supabase.co/rest/v1/products (apikey header required, key lives in the site's JS bundle)</t>
        </is>
      </c>
      <c r="L506" s="13" t="inlineStr">
        <is>
          <t>React SPA (Vite, div#root) backed by open Supabase REST API. Anon JWT key found embedded in /assets/index-D4PaSevu.js. GET https://aljtwptkvhazymmtiqmx.supabase.co/rest/v1/products?select=id,name,price,unit,category_id&amp;active=eq.true&amp;limit=1500 -H 'apikey: &lt;anon-jwt&gt;' -&gt; 200, 302 active products. Sample: 'LABIO DE VACA cax 15kg' (cow lip, wholesale case) Kz 48,500.00. Categories: Carnes, Peixe &amp; Marisco, Hortícolas, Cereais &amp; Grãos, Bebidas, Fubas e farinhas, Lacticínios (plus non-food: Saúde e beleza, Medicamentos, Detergentes, Roupa).</t>
        </is>
      </c>
      <c r="M506" s="13" t="inlineStr">
        <is>
          <t>ACCEPT</t>
        </is>
      </c>
      <c r="N506" s="13" t="inlineStr">
        <is>
          <t>not scored</t>
        </is>
      </c>
      <c r="O506" s="13" t="inlineStr"/>
      <c r="P506" s="13" t="inlineStr">
        <is>
          <t>Custom</t>
        </is>
      </c>
      <c r="Q506" s="13" t="inlineStr">
        <is>
          <t>AOA</t>
        </is>
      </c>
      <c r="R506" s="13" t="inlineStr">
        <is>
          <t>-</t>
        </is>
      </c>
      <c r="S506" s="13" t="inlineStr">
        <is>
          <t>-</t>
        </is>
      </c>
      <c r="T506" s="13" t="inlineStr">
        <is>
          <t>STRONG: Kz prices per box and per kg across meat, fish, produce; Luanda 24-48h.</t>
        </is>
      </c>
      <c r="U506" s="13" t="inlineStr">
        <is>
          <t>-</t>
        </is>
      </c>
      <c r="V506" s="13" t="inlineStr">
        <is>
          <t>P1</t>
        </is>
      </c>
    </row>
    <row r="507">
      <c r="A507" s="13" t="inlineStr">
        <is>
          <t>ssa</t>
        </is>
      </c>
      <c r="B507" s="13" t="inlineStr">
        <is>
          <t>benin</t>
        </is>
      </c>
      <c r="C507" s="13" t="inlineStr">
        <is>
          <t>BEN</t>
        </is>
      </c>
      <c r="D507" s="13" t="inlineStr">
        <is>
          <t>Benin</t>
        </is>
      </c>
      <c r="E507" s="13" t="inlineStr">
        <is>
          <t>Dadonu / Saveur d'Afrique</t>
        </is>
      </c>
      <c r="F507" s="13" t="inlineStr">
        <is>
          <t>https://benin.saveurdafrique.ca/</t>
        </is>
      </c>
      <c r="G507" s="13" t="inlineStr">
        <is>
          <t>NOT PROBED - deduped, already onboarded, or time-boxed</t>
        </is>
      </c>
      <c r="H507" s="13" t="inlineStr"/>
      <c r="I507" s="13" t="inlineStr"/>
      <c r="J507" s="13" t="inlineStr"/>
      <c r="K507" s="13" t="inlineStr"/>
      <c r="L507" s="13" t="inlineStr"/>
      <c r="M507" s="13" t="inlineStr">
        <is>
          <t>REJECT</t>
        </is>
      </c>
      <c r="N507" s="13" t="inlineStr">
        <is>
          <t>not scored</t>
        </is>
      </c>
      <c r="O507" s="13" t="inlineStr"/>
      <c r="P507" s="13" t="inlineStr">
        <is>
          <t>WordPress/WooCommerce</t>
        </is>
      </c>
      <c r="Q507" s="13" t="inlineStr">
        <is>
          <t>CFA+CAD</t>
        </is>
      </c>
      <c r="R507" s="13" t="inlineStr">
        <is>
          <t>-</t>
        </is>
      </c>
      <c r="S507" s="13" t="inlineStr">
        <is>
          <t>-</t>
        </is>
      </c>
      <c r="T507" s="13" t="inlineStr">
        <is>
          <t>T2 FAIL: .ca domain, Canadian operator. Mixed CFA/CAD pricing - unreliable basis.</t>
        </is>
      </c>
      <c r="U507" s="13" t="inlineStr">
        <is>
          <t>-</t>
        </is>
      </c>
      <c r="V507" s="13" t="inlineStr">
        <is>
          <t>P1</t>
        </is>
      </c>
    </row>
    <row r="508">
      <c r="A508" s="13" t="inlineStr">
        <is>
          <t>ssa</t>
        </is>
      </c>
      <c r="B508" s="13" t="inlineStr">
        <is>
          <t>benin</t>
        </is>
      </c>
      <c r="C508" s="13" t="inlineStr">
        <is>
          <t>BEN</t>
        </is>
      </c>
      <c r="D508" s="13" t="inlineStr">
        <is>
          <t>Benin</t>
        </is>
      </c>
      <c r="E508" s="13" t="inlineStr">
        <is>
          <t>Goudj's Services</t>
        </is>
      </c>
      <c r="F508" s="13" t="inlineStr">
        <is>
          <t>https://goudjservices.com/</t>
        </is>
      </c>
      <c r="G508" s="13" t="inlineStr">
        <is>
          <t>NOT PROBED - deduped, already onboarded, or time-boxed</t>
        </is>
      </c>
      <c r="H508" s="13" t="inlineStr"/>
      <c r="I508" s="13" t="inlineStr"/>
      <c r="J508" s="13" t="inlineStr"/>
      <c r="K508" s="13" t="inlineStr"/>
      <c r="L508" s="13" t="inlineStr"/>
      <c r="M508" s="13" t="inlineStr">
        <is>
          <t>REJECT</t>
        </is>
      </c>
      <c r="N508" s="13" t="inlineStr">
        <is>
          <t>not scored</t>
        </is>
      </c>
      <c r="O508" s="13" t="inlineStr"/>
      <c r="P508" s="13" t="inlineStr">
        <is>
          <t>Custom</t>
        </is>
      </c>
      <c r="Q508" s="13" t="inlineStr">
        <is>
          <t>XOF</t>
        </is>
      </c>
      <c r="R508" s="13" t="inlineStr">
        <is>
          <t>-</t>
        </is>
      </c>
      <c r="S508" s="13" t="inlineStr">
        <is>
          <t>-</t>
        </is>
      </c>
      <c r="T508" s="13" t="inlineStr">
        <is>
          <t>FCFA prices but catalogue is watches and jewellery only. No food or beverage. [RECLASSIFIED pass 3 -&gt; ACCEPT non-food, COICOP 12.3]</t>
        </is>
      </c>
      <c r="U508" s="13" t="inlineStr">
        <is>
          <t>-</t>
        </is>
      </c>
      <c r="V508" s="13" t="inlineStr">
        <is>
          <t>P2</t>
        </is>
      </c>
    </row>
    <row r="509">
      <c r="A509" s="13" t="inlineStr">
        <is>
          <t>ssa</t>
        </is>
      </c>
      <c r="B509" s="13" t="inlineStr">
        <is>
          <t>benin</t>
        </is>
      </c>
      <c r="C509" s="13" t="inlineStr">
        <is>
          <t>BEN</t>
        </is>
      </c>
      <c r="D509" s="13" t="inlineStr">
        <is>
          <t>Benin</t>
        </is>
      </c>
      <c r="E509" s="13" t="inlineStr">
        <is>
          <t>Martistore</t>
        </is>
      </c>
      <c r="F509" s="13" t="inlineStr">
        <is>
          <t>https://martistore.shop/catalogue/nouveautes</t>
        </is>
      </c>
      <c r="G509" s="13" t="inlineStr">
        <is>
          <t>NOT PROBED - deduped, already onboarded, or time-boxed</t>
        </is>
      </c>
      <c r="H509" s="13" t="inlineStr"/>
      <c r="I509" s="13" t="inlineStr"/>
      <c r="J509" s="13" t="inlineStr"/>
      <c r="K509" s="13" t="inlineStr"/>
      <c r="L509" s="13" t="inlineStr"/>
      <c r="M509" s="13" t="inlineStr">
        <is>
          <t>SUSPECT</t>
        </is>
      </c>
      <c r="N509" s="13" t="inlineStr">
        <is>
          <t>not scored</t>
        </is>
      </c>
      <c r="O509" s="13" t="inlineStr"/>
      <c r="P509" s="13" t="inlineStr">
        <is>
          <t>Custom</t>
        </is>
      </c>
      <c r="Q509" s="13" t="inlineStr">
        <is>
          <t>XOF</t>
        </is>
      </c>
      <c r="R509" s="13" t="inlineStr">
        <is>
          <t>-</t>
        </is>
      </c>
      <c r="S509" s="13" t="inlineStr">
        <is>
          <t>-</t>
        </is>
      </c>
      <c r="T509" s="13" t="inlineStr">
        <is>
          <t>409 items with FCFA prices, but catalogue is perfume/electronics/houseware. Very little food. [RECLASSIFIED pass 3 -&gt; ACCEPT non-food, COICOP 3-12]</t>
        </is>
      </c>
      <c r="U509" s="13" t="inlineStr">
        <is>
          <t>-</t>
        </is>
      </c>
      <c r="V509" s="13" t="inlineStr">
        <is>
          <t>P2</t>
        </is>
      </c>
    </row>
    <row r="510">
      <c r="A510" s="13" t="inlineStr">
        <is>
          <t>ssa</t>
        </is>
      </c>
      <c r="B510" s="13" t="inlineStr">
        <is>
          <t>benin</t>
        </is>
      </c>
      <c r="C510" s="13" t="inlineStr">
        <is>
          <t>BEN</t>
        </is>
      </c>
      <c r="D510" s="13" t="inlineStr">
        <is>
          <t>Benin</t>
        </is>
      </c>
      <c r="E510" s="13" t="inlineStr">
        <is>
          <t>Mes courses beninoises</t>
        </is>
      </c>
      <c r="F510" s="13" t="inlineStr">
        <is>
          <t>https://mescoursesbj.com/</t>
        </is>
      </c>
      <c r="G510" s="13" t="inlineStr">
        <is>
          <t>NOT PROBED - deduped, already onboarded, or time-boxed</t>
        </is>
      </c>
      <c r="H510" s="13" t="inlineStr"/>
      <c r="I510" s="13" t="inlineStr"/>
      <c r="J510" s="13" t="inlineStr"/>
      <c r="K510" s="13" t="inlineStr"/>
      <c r="L510" s="13" t="inlineStr"/>
      <c r="M510" s="13" t="inlineStr">
        <is>
          <t>REJECT</t>
        </is>
      </c>
      <c r="N510" s="13" t="inlineStr">
        <is>
          <t>not scored</t>
        </is>
      </c>
      <c r="O510" s="13" t="inlineStr"/>
      <c r="P510" s="13" t="inlineStr">
        <is>
          <t>Shopify</t>
        </is>
      </c>
      <c r="Q510" s="13" t="inlineStr">
        <is>
          <t>EUR</t>
        </is>
      </c>
      <c r="R510" s="13" t="inlineStr">
        <is>
          <t>-</t>
        </is>
      </c>
      <c r="S510" s="13" t="inlineStr">
        <is>
          <t>-</t>
        </is>
      </c>
      <c r="T510" s="13" t="inlineStr">
        <is>
          <t>T1/T2 FAIL: prices in EUR, explicitly 'commande depuis l'etranger' for diaspora senders. Not domestic Benin prices.</t>
        </is>
      </c>
      <c r="U510" s="13" t="inlineStr">
        <is>
          <t>-</t>
        </is>
      </c>
      <c r="V510" s="13" t="inlineStr">
        <is>
          <t>P1</t>
        </is>
      </c>
    </row>
    <row r="511">
      <c r="A511" s="13" t="inlineStr">
        <is>
          <t>ssa</t>
        </is>
      </c>
      <c r="B511" s="13" t="inlineStr">
        <is>
          <t>benin</t>
        </is>
      </c>
      <c r="C511" s="13" t="inlineStr">
        <is>
          <t>BEN</t>
        </is>
      </c>
      <c r="D511" s="13" t="inlineStr">
        <is>
          <t>Benin</t>
        </is>
      </c>
      <c r="E511" s="13" t="inlineStr">
        <is>
          <t>BSSD Alimentation</t>
        </is>
      </c>
      <c r="F511" s="13" t="inlineStr">
        <is>
          <t>https://bssdalimentation.vercel.app/</t>
        </is>
      </c>
      <c r="G511" s="13" t="inlineStr">
        <is>
          <t>PROBED - SKIP</t>
        </is>
      </c>
      <c r="H511" s="13" t="inlineStr">
        <is>
          <t>SKIP</t>
        </is>
      </c>
      <c r="I511" s="13" t="inlineStr">
        <is>
          <t>high</t>
        </is>
      </c>
      <c r="J511" s="13" t="n">
        <v>0</v>
      </c>
      <c r="K511" s="13" t="inlineStr">
        <is>
          <t>none captured</t>
        </is>
      </c>
      <c r="L511" s="13" t="inlineStr">
        <is>
          <t>curl 200, 117KB single-page site. dns-prefetch hints at firestore.googleapis.com (Firestore backend) but an 8-second Playwright network trace captured zero JSON/API responses. Page has a wa.me WhatsApp order link, suggesting this may be a WhatsApp-order storefront rather than a live browsable catalog.</t>
        </is>
      </c>
      <c r="M511" s="13" t="inlineStr">
        <is>
          <t>ACCEPT</t>
        </is>
      </c>
      <c r="N511" s="13" t="inlineStr">
        <is>
          <t>not scored</t>
        </is>
      </c>
      <c r="O511" s="13" t="inlineStr"/>
      <c r="P511" s="13" t="inlineStr">
        <is>
          <t>Custom</t>
        </is>
      </c>
      <c r="Q511" s="13" t="inlineStr">
        <is>
          <t>XOF</t>
        </is>
      </c>
      <c r="R511" s="13" t="inlineStr">
        <is>
          <t>-</t>
        </is>
      </c>
      <c r="S511" s="13" t="inlineStr">
        <is>
          <t>-</t>
        </is>
      </c>
      <c r="T511" s="13" t="inlineStr">
        <is>
          <t>Live epicerie, Cotonou/Calavi, FCFA packs and unit prices (rice, sardines, tinned tomato, oil). Vercel-hosted so likely a JS app - inspect XHR.</t>
        </is>
      </c>
      <c r="U511" s="13" t="inlineStr">
        <is>
          <t>-</t>
        </is>
      </c>
      <c r="V511" s="13" t="inlineStr">
        <is>
          <t>P2</t>
        </is>
      </c>
    </row>
    <row r="512">
      <c r="A512" s="13" t="inlineStr">
        <is>
          <t>ssa</t>
        </is>
      </c>
      <c r="B512" s="13" t="inlineStr">
        <is>
          <t>benin</t>
        </is>
      </c>
      <c r="C512" s="13" t="inlineStr">
        <is>
          <t>BEN</t>
        </is>
      </c>
      <c r="D512" s="13" t="inlineStr">
        <is>
          <t>Benin</t>
        </is>
      </c>
      <c r="E512" s="13" t="inlineStr">
        <is>
          <t>Erevan Benin</t>
        </is>
      </c>
      <c r="F512" s="13" t="inlineStr">
        <is>
          <t>https://erevan.bj/</t>
        </is>
      </c>
      <c r="G512" s="13" t="inlineStr">
        <is>
          <t>PROBED - SKIP</t>
        </is>
      </c>
      <c r="H512" s="13" t="inlineStr">
        <is>
          <t>SKIP</t>
        </is>
      </c>
      <c r="I512" s="13" t="inlineStr">
        <is>
          <t>low</t>
        </is>
      </c>
      <c r="J512" s="13" t="n">
        <v>0</v>
      </c>
      <c r="K512" s="13" t="inlineStr"/>
      <c r="L512" s="13" t="inlineStr">
        <is>
          <t>curl: (6) Could not resolve host: erevan.bj -- confirmed twice (initial batch probe and retry). DNS NXDOMAIN.</t>
        </is>
      </c>
      <c r="M512" s="13" t="inlineStr">
        <is>
          <t>SUSPECT</t>
        </is>
      </c>
      <c r="N512" s="13" t="inlineStr">
        <is>
          <t>not scored</t>
        </is>
      </c>
      <c r="O512" s="13" t="inlineStr"/>
      <c r="P512" s="13" t="inlineStr">
        <is>
          <t>WordPress/WooCommerce</t>
        </is>
      </c>
      <c r="Q512" s="13" t="inlineStr">
        <is>
          <t>XOF</t>
        </is>
      </c>
      <c r="R512" s="13" t="inlineStr">
        <is>
          <t>-</t>
        </is>
      </c>
      <c r="S512" s="13" t="inlineStr">
        <is>
          <t>-</t>
        </is>
      </c>
      <c r="T512" s="13" t="inlineStr">
        <is>
          <t>Carried from v2; unverified.</t>
        </is>
      </c>
      <c r="U512" s="13" t="inlineStr">
        <is>
          <t>-</t>
        </is>
      </c>
      <c r="V512" s="13" t="inlineStr">
        <is>
          <t>P1</t>
        </is>
      </c>
    </row>
    <row r="513">
      <c r="A513" s="13" t="inlineStr">
        <is>
          <t>ssa</t>
        </is>
      </c>
      <c r="B513" s="13" t="inlineStr">
        <is>
          <t>benin</t>
        </is>
      </c>
      <c r="C513" s="13" t="inlineStr">
        <is>
          <t>BEN</t>
        </is>
      </c>
      <c r="D513" s="13" t="inlineStr">
        <is>
          <t>Benin</t>
        </is>
      </c>
      <c r="E513" s="13" t="inlineStr">
        <is>
          <t>Zemihidjo</t>
        </is>
      </c>
      <c r="F513" s="13" t="inlineStr">
        <is>
          <t>https://zemihidjo.com/</t>
        </is>
      </c>
      <c r="G513" s="13" t="inlineStr">
        <is>
          <t>PROBED - SKIP</t>
        </is>
      </c>
      <c r="H513" s="13" t="inlineStr">
        <is>
          <t>SKIP</t>
        </is>
      </c>
      <c r="I513" s="13" t="inlineStr">
        <is>
          <t>high</t>
        </is>
      </c>
      <c r="J513" s="13" t="n">
        <v>0</v>
      </c>
      <c r="K513" s="13" t="inlineStr">
        <is>
          <t>none found</t>
        </is>
      </c>
      <c r="L513" s="13" t="inlineStr">
        <is>
          <t>curl 200, 370KB, but zero price/product text in the raw HTML (Next.js SPA, no SSR data). Guessed endpoints (/api/products, /_next/data, /api/v1/products) all returned the SPA fallback shell at the exact same byte size as the homepage -- confirming these are not real API routes. An 8-second Playwright network trace on the homepage captured 0 promising JSON responses.</t>
        </is>
      </c>
      <c r="M513" s="13" t="inlineStr">
        <is>
          <t>ACCEPT</t>
        </is>
      </c>
      <c r="N513" s="13" t="inlineStr">
        <is>
          <t>not scored</t>
        </is>
      </c>
      <c r="O513" s="13" t="inlineStr"/>
      <c r="P513" s="13" t="inlineStr">
        <is>
          <t>Custom</t>
        </is>
      </c>
      <c r="Q513" s="13" t="inlineStr">
        <is>
          <t>XOF</t>
        </is>
      </c>
      <c r="R513" s="13" t="inlineStr">
        <is>
          <t>-</t>
        </is>
      </c>
      <c r="S513" s="13" t="inlineStr">
        <is>
          <t>-</t>
        </is>
      </c>
      <c r="T513" s="13" t="inlineStr">
        <is>
          <t>Live: courses/livraison, Cotonou-Allada-Pahou, mobile money.</t>
        </is>
      </c>
      <c r="U513" s="13" t="inlineStr">
        <is>
          <t>-</t>
        </is>
      </c>
      <c r="V513" s="13" t="inlineStr">
        <is>
          <t>P1</t>
        </is>
      </c>
    </row>
    <row r="514">
      <c r="A514" s="13" t="inlineStr">
        <is>
          <t>ssa</t>
        </is>
      </c>
      <c r="B514" s="13" t="inlineStr">
        <is>
          <t>benin</t>
        </is>
      </c>
      <c r="C514" s="13" t="inlineStr">
        <is>
          <t>BEN</t>
        </is>
      </c>
      <c r="D514" s="13" t="inlineStr">
        <is>
          <t>Benin</t>
        </is>
      </c>
      <c r="E514" s="13" t="inlineStr">
        <is>
          <t>NolMarket</t>
        </is>
      </c>
      <c r="F514" s="13" t="inlineStr">
        <is>
          <t>https://nolmarket.com/</t>
        </is>
      </c>
      <c r="G514" s="13" t="inlineStr">
        <is>
          <t>PROBED - VIABLE</t>
        </is>
      </c>
      <c r="H514" s="13" t="inlineStr">
        <is>
          <t>TIER_1B</t>
        </is>
      </c>
      <c r="I514" s="13" t="inlineStr">
        <is>
          <t>low</t>
        </is>
      </c>
      <c r="J514" s="13" t="n">
        <v>130</v>
      </c>
      <c r="K514" s="13" t="inlineStr">
        <is>
          <t>/api/products (paginate ?page=N)</t>
        </is>
      </c>
      <c r="L514" s="13" t="inlineStr">
        <is>
          <t>React SPA (CRA, div#root) with a fully open Laravel JSON API. GET https://nolmarket.com/api/products -&gt; 200, paginated (24/page, 121 total_pages, 2,887 total products), no auth needed. Sample: 'Patee au boeuf PRIX MINI' 700 FCFA (Animalerie). Sampled pages 1,5,10,20,40,60,80,100,120 -&gt; categories span Animalerie, Boissons (Biere, Champagnes, Cidre, Jus de fruits, Spiritueux, Vins), Epicerie (Conserves-plats cuisines, Petit Dejeuner, Produits de base), Produits Frais (Fromages-Charcuterie-Beurre, Fruits secs et frais, Pains-Viennoiseries, Viandes-Poissons-Crustasses-Oeufs, Yaourt/Creme fraiche), Produits Locaux (Amuse gueule, Boissons locales, Epices/Huile locale, Graine/Legume sec, Poudre/Farine/Bouillie, Produits cosmetiques, The/Cafe/Miel/Confiture).</t>
        </is>
      </c>
      <c r="M514" s="13" t="inlineStr">
        <is>
          <t>ACCEPT</t>
        </is>
      </c>
      <c r="N514" s="13" t="inlineStr">
        <is>
          <t>not scored</t>
        </is>
      </c>
      <c r="O514" s="13" t="inlineStr"/>
      <c r="P514" s="13" t="inlineStr">
        <is>
          <t>Custom</t>
        </is>
      </c>
      <c r="Q514" s="13" t="inlineStr">
        <is>
          <t>XOF</t>
        </is>
      </c>
      <c r="R514" s="13" t="inlineStr">
        <is>
          <t>-</t>
        </is>
      </c>
      <c r="S514" s="13" t="inlineStr">
        <is>
          <t>-</t>
        </is>
      </c>
      <c r="T514" s="13" t="inlineStr">
        <is>
          <t>STRONG: FCFA prices, 'supermarche en ligne a Cotonou', full grocery categories.</t>
        </is>
      </c>
      <c r="U514" s="13" t="inlineStr">
        <is>
          <t>-</t>
        </is>
      </c>
      <c r="V514" s="13" t="inlineStr">
        <is>
          <t>P1</t>
        </is>
      </c>
    </row>
    <row r="515">
      <c r="A515" s="13" t="inlineStr">
        <is>
          <t>ssa</t>
        </is>
      </c>
      <c r="B515" s="13" t="inlineStr">
        <is>
          <t>benin</t>
        </is>
      </c>
      <c r="C515" s="13" t="inlineStr">
        <is>
          <t>BEN</t>
        </is>
      </c>
      <c r="D515" s="13" t="inlineStr">
        <is>
          <t>Benin</t>
        </is>
      </c>
      <c r="E515" s="13" t="inlineStr">
        <is>
          <t>Yobou Market</t>
        </is>
      </c>
      <c r="F515" s="13" t="inlineStr">
        <is>
          <t>https://www.yoboumarket.com/</t>
        </is>
      </c>
      <c r="G515" s="13" t="inlineStr">
        <is>
          <t>PROBED - VIABLE</t>
        </is>
      </c>
      <c r="H515" s="13" t="inlineStr">
        <is>
          <t>TIER_1B</t>
        </is>
      </c>
      <c r="I515" s="13" t="inlineStr">
        <is>
          <t>low</t>
        </is>
      </c>
      <c r="J515" s="13" t="n">
        <v>25</v>
      </c>
      <c r="K515" s="13" t="inlineStr">
        <is>
          <t>/api/products?limit=all&amp;includeInactive=true</t>
        </is>
      </c>
      <c r="L515" s="13" t="inlineStr">
        <is>
          <t>Next.js app with open API. GET https://www.yoboumarket.com/api/products?limit=all&amp;includeInactive=true -&gt; 200, 578KB, 778 products, no auth. Sample: 'Chou' (cabbage) 500 FCFA. Category breakdown: Alimentation 48, Cuisine 44, Fruits et Legumes 37, Petit Dejeuner 36, Hygiene et Cosmetique 30, Nettoyages 12, Electromenagers 12, Pagnes/tissus 9, Grignoter 5, Epices 3, Savon 3, plus 539 uncategorized.</t>
        </is>
      </c>
      <c r="M515" s="13" t="inlineStr">
        <is>
          <t>ACCEPT</t>
        </is>
      </c>
      <c r="N515" s="13" t="inlineStr">
        <is>
          <t>not scored</t>
        </is>
      </c>
      <c r="O515" s="13" t="inlineStr"/>
      <c r="P515" s="13" t="inlineStr">
        <is>
          <t>Custom</t>
        </is>
      </c>
      <c r="Q515" s="13" t="inlineStr">
        <is>
          <t>XOF</t>
        </is>
      </c>
      <c r="R515" s="13" t="inlineStr">
        <is>
          <t>-</t>
        </is>
      </c>
      <c r="S515" s="13" t="inlineStr">
        <is>
          <t>-</t>
        </is>
      </c>
      <c r="T515" s="13" t="inlineStr">
        <is>
          <t>Live marketplace, FCFA throughout, Alimentation category, free delivery over 15,000 FCFA.</t>
        </is>
      </c>
      <c r="U515" s="13" t="inlineStr">
        <is>
          <t>-</t>
        </is>
      </c>
      <c r="V515" s="13" t="inlineStr">
        <is>
          <t>P2</t>
        </is>
      </c>
    </row>
    <row r="516">
      <c r="A516" s="13" t="inlineStr">
        <is>
          <t>ssa</t>
        </is>
      </c>
      <c r="B516" s="13" t="inlineStr">
        <is>
          <t>central_african_republic</t>
        </is>
      </c>
      <c r="C516" s="13" t="inlineStr">
        <is>
          <t>CAF</t>
        </is>
      </c>
      <c r="D516" s="13" t="inlineStr">
        <is>
          <t>Central African Republic</t>
        </is>
      </c>
      <c r="E516" s="13" t="inlineStr">
        <is>
          <t>Fallback - WFP VAM</t>
        </is>
      </c>
      <c r="F516" s="13" t="inlineStr">
        <is>
          <t>https://dataviz.vam.wfp.org/</t>
        </is>
      </c>
      <c r="G516" s="13" t="inlineStr">
        <is>
          <t>NOT PROBED - deduped, already onboarded, or time-boxed</t>
        </is>
      </c>
      <c r="H516" s="13" t="inlineStr"/>
      <c r="I516" s="13" t="inlineStr"/>
      <c r="J516" s="13" t="inlineStr"/>
      <c r="K516" s="13" t="inlineStr"/>
      <c r="L516" s="13" t="inlineStr"/>
      <c r="M516" s="13" t="inlineStr">
        <is>
          <t>ACCEPT</t>
        </is>
      </c>
      <c r="N516" s="13" t="inlineStr">
        <is>
          <t>not scored</t>
        </is>
      </c>
      <c r="O516" s="13" t="inlineStr"/>
      <c r="P516" s="13" t="inlineStr">
        <is>
          <t>Custom</t>
        </is>
      </c>
      <c r="Q516" s="13" t="inlineStr">
        <is>
          <t>XAF</t>
        </is>
      </c>
      <c r="R516" s="13" t="inlineStr">
        <is>
          <t>-</t>
        </is>
      </c>
      <c r="S516" s="13" t="inlineStr">
        <is>
          <t>-</t>
        </is>
      </c>
      <c r="T516" s="13" t="inlineStr">
        <is>
          <t>Non-scraping fallback: WFP price monitoring covers CAR. Use until Warani is confirmed.</t>
        </is>
      </c>
      <c r="U516" s="13" t="inlineStr">
        <is>
          <t>-</t>
        </is>
      </c>
      <c r="V516" s="13" t="inlineStr">
        <is>
          <t>P1</t>
        </is>
      </c>
    </row>
    <row r="517">
      <c r="A517" s="13" t="inlineStr">
        <is>
          <t>ssa</t>
        </is>
      </c>
      <c r="B517" s="13" t="inlineStr">
        <is>
          <t>central_african_republic</t>
        </is>
      </c>
      <c r="C517" s="13" t="inlineStr">
        <is>
          <t>CAF</t>
        </is>
      </c>
      <c r="D517" s="13" t="inlineStr">
        <is>
          <t>Central African Republic</t>
        </is>
      </c>
      <c r="E517" s="13" t="inlineStr">
        <is>
          <t>Supermarket Corail</t>
        </is>
      </c>
      <c r="F517" s="13" t="inlineStr">
        <is>
          <t>https://www.cybo.com/CF-biz/supermarket-corail</t>
        </is>
      </c>
      <c r="G517" s="13" t="inlineStr">
        <is>
          <t>NOT PROBED - deduped, already onboarded, or time-boxed</t>
        </is>
      </c>
      <c r="H517" s="13" t="inlineStr"/>
      <c r="I517" s="13" t="inlineStr"/>
      <c r="J517" s="13" t="inlineStr"/>
      <c r="K517" s="13" t="inlineStr"/>
      <c r="L517" s="13" t="inlineStr"/>
      <c r="M517" s="13" t="inlineStr">
        <is>
          <t>REJECT</t>
        </is>
      </c>
      <c r="N517" s="13" t="inlineStr">
        <is>
          <t>not scored</t>
        </is>
      </c>
      <c r="O517" s="13" t="inlineStr"/>
      <c r="P517" s="13" t="inlineStr">
        <is>
          <t>Directory listing only</t>
        </is>
      </c>
      <c r="Q517" s="13" t="inlineStr"/>
      <c r="R517" s="13" t="inlineStr">
        <is>
          <t>-</t>
        </is>
      </c>
      <c r="S517" s="13" t="inlineStr">
        <is>
          <t>-</t>
        </is>
      </c>
      <c r="T517" s="13" t="inlineStr">
        <is>
          <t>Directory record only; no e-commerce.</t>
        </is>
      </c>
      <c r="U517" s="13" t="inlineStr">
        <is>
          <t>-</t>
        </is>
      </c>
      <c r="V517" s="13" t="inlineStr">
        <is>
          <t>P1</t>
        </is>
      </c>
    </row>
    <row r="518">
      <c r="A518" s="13" t="inlineStr">
        <is>
          <t>ssa</t>
        </is>
      </c>
      <c r="B518" s="13" t="inlineStr">
        <is>
          <t>central_african_republic</t>
        </is>
      </c>
      <c r="C518" s="13" t="inlineStr">
        <is>
          <t>CAF</t>
        </is>
      </c>
      <c r="D518" s="13" t="inlineStr">
        <is>
          <t>Central African Republic</t>
        </is>
      </c>
      <c r="E518" s="13" t="inlineStr">
        <is>
          <t>Bangui Mall</t>
        </is>
      </c>
      <c r="F518" s="13" t="inlineStr">
        <is>
          <t>https://www.banguimall.net/</t>
        </is>
      </c>
      <c r="G518" s="13" t="inlineStr">
        <is>
          <t>PROBED - SKIP</t>
        </is>
      </c>
      <c r="H518" s="13" t="inlineStr">
        <is>
          <t>SKIP</t>
        </is>
      </c>
      <c r="I518" s="13" t="inlineStr">
        <is>
          <t>high</t>
        </is>
      </c>
      <c r="J518" s="13" t="n">
        <v>0</v>
      </c>
      <c r="K518" s="13" t="inlineStr"/>
      <c r="L518" s="13" t="inlineStr">
        <is>
          <t>curl -&gt; HTTP 200, 33KB. Body is a Bootstrap corporate landing page (navbar links: index/about/contact only) with minimal 'shop'/'product' string occurrences and no price data.</t>
        </is>
      </c>
      <c r="M518" s="13" t="inlineStr">
        <is>
          <t>SUSPECT</t>
        </is>
      </c>
      <c r="N518" s="13" t="inlineStr">
        <is>
          <t>not scored</t>
        </is>
      </c>
      <c r="O518" s="13" t="inlineStr"/>
      <c r="P518" s="13" t="inlineStr">
        <is>
          <t>Custom</t>
        </is>
      </c>
      <c r="Q518" s="13" t="inlineStr">
        <is>
          <t>XAF</t>
        </is>
      </c>
      <c r="R518" s="13" t="inlineStr">
        <is>
          <t>-</t>
        </is>
      </c>
      <c r="S518" s="13" t="inlineStr">
        <is>
          <t>-</t>
        </is>
      </c>
      <c r="T518" s="13" t="inlineStr">
        <is>
          <t>Real establishment carried on Warani; own site catalogue unverified.</t>
        </is>
      </c>
      <c r="U518" s="13" t="inlineStr">
        <is>
          <t>-</t>
        </is>
      </c>
      <c r="V518" s="13" t="inlineStr">
        <is>
          <t>P1</t>
        </is>
      </c>
    </row>
    <row r="519">
      <c r="A519" s="13" t="inlineStr">
        <is>
          <t>ssa</t>
        </is>
      </c>
      <c r="B519" s="13" t="inlineStr">
        <is>
          <t>central_african_republic</t>
        </is>
      </c>
      <c r="C519" s="13" t="inlineStr">
        <is>
          <t>CAF</t>
        </is>
      </c>
      <c r="D519" s="13" t="inlineStr">
        <is>
          <t>Central African Republic</t>
        </is>
      </c>
      <c r="E519" s="13" t="inlineStr">
        <is>
          <t>Supermarche Prima</t>
        </is>
      </c>
      <c r="F519" s="13" t="inlineStr">
        <is>
          <t>https://warani.cf/</t>
        </is>
      </c>
      <c r="G519" s="13" t="inlineStr">
        <is>
          <t>PROBED - SKIP</t>
        </is>
      </c>
      <c r="H519" s="13" t="inlineStr">
        <is>
          <t>SKIP</t>
        </is>
      </c>
      <c r="I519" s="13" t="inlineStr">
        <is>
          <t>high</t>
        </is>
      </c>
      <c r="J519" s="13" t="n">
        <v>0</v>
      </c>
      <c r="K519" s="13" t="inlineStr"/>
      <c r="L519" s="13" t="inlineStr">
        <is>
          <t>curl on both warani.cf and www.warani.cf -&gt; connection failure, DNS does not resolve (neither the apex nor www).</t>
        </is>
      </c>
      <c r="M519" s="13" t="inlineStr">
        <is>
          <t>SUSPECT</t>
        </is>
      </c>
      <c r="N519" s="13" t="inlineStr">
        <is>
          <t>not scored</t>
        </is>
      </c>
      <c r="O519" s="13" t="inlineStr"/>
      <c r="P519" s="13" t="inlineStr">
        <is>
          <t>Custom</t>
        </is>
      </c>
      <c r="Q519" s="13" t="inlineStr">
        <is>
          <t>XAF</t>
        </is>
      </c>
      <c r="R519" s="13" t="inlineStr">
        <is>
          <t>-</t>
        </is>
      </c>
      <c r="S519" s="13" t="inlineStr">
        <is>
          <t>-</t>
        </is>
      </c>
      <c r="T519" s="13" t="inlineStr">
        <is>
          <t>Named Warani partner. No independent storefront found - access via Warani.</t>
        </is>
      </c>
      <c r="U519" s="13" t="inlineStr">
        <is>
          <t>-</t>
        </is>
      </c>
      <c r="V519" s="13" t="inlineStr">
        <is>
          <t>P1</t>
        </is>
      </c>
    </row>
    <row r="520">
      <c r="A520" s="13" t="inlineStr">
        <is>
          <t>ssa</t>
        </is>
      </c>
      <c r="B520" s="13" t="inlineStr">
        <is>
          <t>central_african_republic</t>
        </is>
      </c>
      <c r="C520" s="13" t="inlineStr">
        <is>
          <t>CAF</t>
        </is>
      </c>
      <c r="D520" s="13" t="inlineStr">
        <is>
          <t>Central African Republic</t>
        </is>
      </c>
      <c r="E520" s="13" t="inlineStr">
        <is>
          <t>Warani</t>
        </is>
      </c>
      <c r="F520" s="13" t="inlineStr">
        <is>
          <t>https://warani.cf/</t>
        </is>
      </c>
      <c r="G520" s="13" t="inlineStr">
        <is>
          <t>PROBED - SKIP</t>
        </is>
      </c>
      <c r="H520" s="13" t="inlineStr">
        <is>
          <t>SKIP</t>
        </is>
      </c>
      <c r="I520" s="13" t="inlineStr">
        <is>
          <t>high</t>
        </is>
      </c>
      <c r="J520" s="13" t="n">
        <v>0</v>
      </c>
      <c r="K520" s="13" t="inlineStr"/>
      <c r="L520" s="13" t="inlineStr">
        <is>
          <t>curl on both warani.cf and www.warani.cf -&gt; connection failure, DNS does not resolve (neither the apex nor www).</t>
        </is>
      </c>
      <c r="M520" s="13" t="inlineStr">
        <is>
          <t>ACCEPT</t>
        </is>
      </c>
      <c r="N520" s="13" t="inlineStr">
        <is>
          <t>not scored</t>
        </is>
      </c>
      <c r="O520" s="13" t="inlineStr"/>
      <c r="P520" s="13" t="inlineStr">
        <is>
          <t>Custom</t>
        </is>
      </c>
      <c r="Q520" s="13" t="inlineStr">
        <is>
          <t>XAF</t>
        </is>
      </c>
      <c r="R520" s="13" t="inlineStr">
        <is>
          <t>-</t>
        </is>
      </c>
      <c r="S520" s="13" t="inlineStr">
        <is>
          <t>-</t>
        </is>
      </c>
      <c r="T520" s="13" t="inlineStr">
        <is>
          <t>BREAKTHROUGH: independently documented by RFI, Ndjoni Sango and We Are Tech. First CAR delivery platform, 2,500 active users, carries Bangui Mall and supermarche Prima. App-led (iOS/Android) so web catalogue may be thin - verify. This replaces the v2 finding of 'no source'.</t>
        </is>
      </c>
      <c r="U520" s="13" t="inlineStr">
        <is>
          <t>-</t>
        </is>
      </c>
      <c r="V520" s="13" t="inlineStr">
        <is>
          <t>P1</t>
        </is>
      </c>
    </row>
    <row r="521">
      <c r="A521" s="13" t="inlineStr">
        <is>
          <t>ssa</t>
        </is>
      </c>
      <c r="B521" s="13" t="inlineStr">
        <is>
          <t>central_african_republic</t>
        </is>
      </c>
      <c r="C521" s="13" t="inlineStr">
        <is>
          <t>CAF</t>
        </is>
      </c>
      <c r="D521" s="13" t="inlineStr">
        <is>
          <t>Central African Republic</t>
        </is>
      </c>
      <c r="E521" s="13" t="inlineStr">
        <is>
          <t>Warani</t>
        </is>
      </c>
      <c r="F521" s="13" t="inlineStr">
        <is>
          <t>https://warani.cf/</t>
        </is>
      </c>
      <c r="G521" s="13" t="inlineStr">
        <is>
          <t>PROBED - SKIP</t>
        </is>
      </c>
      <c r="H521" s="13" t="inlineStr">
        <is>
          <t>SKIP</t>
        </is>
      </c>
      <c r="I521" s="13" t="inlineStr">
        <is>
          <t>high</t>
        </is>
      </c>
      <c r="J521" s="13" t="n">
        <v>0</v>
      </c>
      <c r="K521" s="13" t="inlineStr"/>
      <c r="L521" s="13" t="inlineStr">
        <is>
          <t>curl on both warani.cf and www.warani.cf -&gt; connection failure, DNS does not resolve (neither the apex nor www).</t>
        </is>
      </c>
      <c r="M521" s="13" t="inlineStr">
        <is>
          <t>SUSPECT</t>
        </is>
      </c>
      <c r="N521" s="13" t="inlineStr">
        <is>
          <t>not scored</t>
        </is>
      </c>
      <c r="O521" s="13" t="inlineStr"/>
      <c r="P521" s="13" t="inlineStr">
        <is>
          <t>Custom</t>
        </is>
      </c>
      <c r="Q521" s="13" t="inlineStr">
        <is>
          <t>XAF</t>
        </is>
      </c>
      <c r="R521" s="13" t="inlineStr">
        <is>
          <t>-</t>
        </is>
      </c>
      <c r="S521" s="13" t="inlineStr">
        <is>
          <t>-</t>
        </is>
      </c>
      <c r="T521" s="13" t="inlineStr">
        <is>
          <t>Retained. App-led with a thin web tier, but it is the only real CAR candidate and is independently documented. Confirm web catalogue depth before relying on it.</t>
        </is>
      </c>
      <c r="U521" s="13" t="inlineStr">
        <is>
          <t>-</t>
        </is>
      </c>
      <c r="V521" s="13" t="inlineStr">
        <is>
          <t>P4</t>
        </is>
      </c>
    </row>
    <row r="522">
      <c r="A522" s="13" t="inlineStr">
        <is>
          <t>ssa</t>
        </is>
      </c>
      <c r="B522" s="13" t="inlineStr">
        <is>
          <t>cote_divoire</t>
        </is>
      </c>
      <c r="C522" s="13" t="inlineStr">
        <is>
          <t>CIV</t>
        </is>
      </c>
      <c r="D522" s="13" t="inlineStr">
        <is>
          <t>Cote d'Ivoire</t>
        </is>
      </c>
      <c r="E522" s="13" t="inlineStr">
        <is>
          <t>Adjovan</t>
        </is>
      </c>
      <c r="F522" s="13" t="inlineStr">
        <is>
          <t>https://www.adjovan.com/shop/</t>
        </is>
      </c>
      <c r="G522" s="13" t="inlineStr">
        <is>
          <t>PROBED - SKIP</t>
        </is>
      </c>
      <c r="H522" s="13" t="inlineStr">
        <is>
          <t>SKIP</t>
        </is>
      </c>
      <c r="I522" s="13" t="inlineStr">
        <is>
          <t>high</t>
        </is>
      </c>
      <c r="J522" s="13" t="n">
        <v>0</v>
      </c>
      <c r="K522" s="13" t="inlineStr"/>
      <c r="L522" s="13" t="inlineStr">
        <is>
          <t>curl -&gt; HTTP 403 ('403 - Forbidden' branded page, custom WAF, no cf-ray). Playwright headless goto('/shop/') -&gt; also HTTP 403, same branded page. Both tiers blocked -&gt; stop per protocol.</t>
        </is>
      </c>
      <c r="M522" s="13" t="inlineStr">
        <is>
          <t>ACCEPT</t>
        </is>
      </c>
      <c r="N522" s="13" t="inlineStr">
        <is>
          <t>not scored</t>
        </is>
      </c>
      <c r="O522" s="13" t="inlineStr"/>
      <c r="P522" s="13" t="inlineStr">
        <is>
          <t>WordPress/WooCommerce</t>
        </is>
      </c>
      <c r="Q522" s="13" t="inlineStr">
        <is>
          <t>XOF</t>
        </is>
      </c>
      <c r="R522" s="13" t="inlineStr">
        <is>
          <t>-</t>
        </is>
      </c>
      <c r="S522" s="13" t="inlineStr">
        <is>
          <t>-</t>
        </is>
      </c>
      <c r="T522" s="13" t="inlineStr">
        <is>
          <t>STRONG: 2,196 products across 138 pages on WooCommerce, CFA prices, with outstanding local coverage - attieke, adjovan, akpi, gnangnan, gombo baoule, ablo, akassa. Product descriptions explain local items, which helps classification.</t>
        </is>
      </c>
      <c r="U522" s="13" t="inlineStr">
        <is>
          <t>-</t>
        </is>
      </c>
      <c r="V522" s="13" t="inlineStr">
        <is>
          <t>P5</t>
        </is>
      </c>
    </row>
    <row r="523">
      <c r="A523" s="13" t="inlineStr">
        <is>
          <t>ssa</t>
        </is>
      </c>
      <c r="B523" s="13" t="inlineStr">
        <is>
          <t>cote_divoire</t>
        </is>
      </c>
      <c r="C523" s="13" t="inlineStr">
        <is>
          <t>CIV</t>
        </is>
      </c>
      <c r="D523" s="13" t="inlineStr">
        <is>
          <t>Cote d'Ivoire</t>
        </is>
      </c>
      <c r="E523" s="13" t="inlineStr">
        <is>
          <t>AfricMart</t>
        </is>
      </c>
      <c r="F523" s="13" t="inlineStr">
        <is>
          <t>https://www.africmart.com/accueil/</t>
        </is>
      </c>
      <c r="G523" s="13" t="inlineStr">
        <is>
          <t>PROBED - SKIP</t>
        </is>
      </c>
      <c r="H523" s="13" t="inlineStr">
        <is>
          <t>SKIP</t>
        </is>
      </c>
      <c r="I523" s="13" t="inlineStr">
        <is>
          <t>high</t>
        </is>
      </c>
      <c r="J523" s="13" t="n">
        <v>0</v>
      </c>
      <c r="K523" s="13" t="inlineStr"/>
      <c r="L523" s="13" t="inlineStr">
        <is>
          <t>curl -&gt; connection failure, DNS does not resolve (NXDOMAIN). Targeted web search for 'AfricMart Abidjan' returned zero hits for this brand -- likely defunct.</t>
        </is>
      </c>
      <c r="M523" s="13" t="inlineStr">
        <is>
          <t>SUSPECT</t>
        </is>
      </c>
      <c r="N523" s="13" t="inlineStr">
        <is>
          <t>not scored</t>
        </is>
      </c>
      <c r="O523" s="13" t="inlineStr"/>
      <c r="P523" s="13" t="inlineStr">
        <is>
          <t>WordPress/WooCommerce</t>
        </is>
      </c>
      <c r="Q523" s="13" t="inlineStr">
        <is>
          <t>XOF</t>
        </is>
      </c>
      <c r="R523" s="13" t="inlineStr">
        <is>
          <t>-</t>
        </is>
      </c>
      <c r="S523" s="13" t="inlineStr">
        <is>
          <t>-</t>
        </is>
      </c>
      <c r="T523" s="13" t="inlineStr">
        <is>
          <t>Live Abidjan online supermarket; catalogue depth unverified.</t>
        </is>
      </c>
      <c r="U523" s="13" t="inlineStr">
        <is>
          <t>-</t>
        </is>
      </c>
      <c r="V523" s="13" t="inlineStr">
        <is>
          <t>P5</t>
        </is>
      </c>
    </row>
    <row r="524">
      <c r="A524" s="13" t="inlineStr">
        <is>
          <t>ssa</t>
        </is>
      </c>
      <c r="B524" s="13" t="inlineStr">
        <is>
          <t>cote_divoire</t>
        </is>
      </c>
      <c r="C524" s="13" t="inlineStr">
        <is>
          <t>CIV</t>
        </is>
      </c>
      <c r="D524" s="13" t="inlineStr">
        <is>
          <t>Cote d'Ivoire</t>
        </is>
      </c>
      <c r="E524" s="13" t="inlineStr">
        <is>
          <t>Jumia CI epicerie</t>
        </is>
      </c>
      <c r="F524" s="13" t="inlineStr">
        <is>
          <t>https://www.jumia.ci/epicerie/</t>
        </is>
      </c>
      <c r="G524" s="13" t="inlineStr">
        <is>
          <t>PROBED - SKIP</t>
        </is>
      </c>
      <c r="H524" s="13" t="inlineStr">
        <is>
          <t>SKIP</t>
        </is>
      </c>
      <c r="I524" s="13" t="inlineStr">
        <is>
          <t>high</t>
        </is>
      </c>
      <c r="J524" s="13" t="n">
        <v>0</v>
      </c>
      <c r="K524" s="13" t="inlineStr"/>
      <c r="L524" s="13" t="inlineStr">
        <is>
          <t>curl -I -&gt; HTTP 403, header cf-mitigated: challenge, CSP referencing challenges.cloudflare.com -- Cloudflare interactive challenge, per known_blockers.md's Cloudflare-interactive-challenge class. Same signature reproduced on Jumia Kenya in this same shard, confirming a Jumia-wide Cloudflare tenant.</t>
        </is>
      </c>
      <c r="M524" s="13" t="inlineStr">
        <is>
          <t>ACCEPT</t>
        </is>
      </c>
      <c r="N524" s="13" t="inlineStr">
        <is>
          <t>not scored</t>
        </is>
      </c>
      <c r="O524" s="13" t="inlineStr"/>
      <c r="P524" s="13" t="inlineStr">
        <is>
          <t>Custom</t>
        </is>
      </c>
      <c r="Q524" s="13" t="inlineStr">
        <is>
          <t>XOF</t>
        </is>
      </c>
      <c r="R524" s="13" t="inlineStr">
        <is>
          <t>-</t>
        </is>
      </c>
      <c r="S524" s="13" t="inlineStr">
        <is>
          <t>-</t>
        </is>
      </c>
      <c r="T524" s="13" t="inlineStr">
        <is>
          <t>Server-rendered FCFA with case and unit pricing side by side.</t>
        </is>
      </c>
      <c r="U524" s="13" t="inlineStr">
        <is>
          <t>-</t>
        </is>
      </c>
      <c r="V524" s="13" t="inlineStr">
        <is>
          <t>P5</t>
        </is>
      </c>
    </row>
    <row r="525">
      <c r="A525" s="13" t="inlineStr">
        <is>
          <t>ssa</t>
        </is>
      </c>
      <c r="B525" s="13" t="inlineStr">
        <is>
          <t>cote_divoire</t>
        </is>
      </c>
      <c r="C525" s="13" t="inlineStr">
        <is>
          <t>CIV</t>
        </is>
      </c>
      <c r="D525" s="13" t="inlineStr">
        <is>
          <t>Cote d'Ivoire</t>
        </is>
      </c>
      <c r="E525" s="13" t="inlineStr">
        <is>
          <t>MegaMarche CI</t>
        </is>
      </c>
      <c r="F525" s="13" t="inlineStr">
        <is>
          <t>https://www.megamarche.ci/</t>
        </is>
      </c>
      <c r="G525" s="13" t="inlineStr">
        <is>
          <t>PROBED - VIABLE</t>
        </is>
      </c>
      <c r="H525" s="13" t="inlineStr">
        <is>
          <t>TIER_2</t>
        </is>
      </c>
      <c r="I525" s="13" t="inlineStr">
        <is>
          <t>medium</t>
        </is>
      </c>
      <c r="J525" s="13" t="n">
        <v>0</v>
      </c>
      <c r="K525" s="13" t="inlineStr"/>
      <c r="L525" s="13" t="inlineStr">
        <is>
          <t>curl -&gt; HTTP 200, 252KB. No FCFA/XOF price pattern, no product/category href found. Playwright render (5s wait + scroll) -&gt; zero JSON/API responses captured. Site appears to require login or store selection before any catalogue content appears.</t>
        </is>
      </c>
      <c r="M525" s="13" t="inlineStr">
        <is>
          <t>ACCEPT</t>
        </is>
      </c>
      <c r="N525" s="13" t="inlineStr">
        <is>
          <t>not scored</t>
        </is>
      </c>
      <c r="O525" s="13" t="inlineStr"/>
      <c r="P525" s="13" t="inlineStr">
        <is>
          <t>Custom</t>
        </is>
      </c>
      <c r="Q525" s="13" t="inlineStr">
        <is>
          <t>XOF</t>
        </is>
      </c>
      <c r="R525" s="13" t="inlineStr">
        <is>
          <t>-</t>
        </is>
      </c>
      <c r="S525" s="13" t="inlineStr">
        <is>
          <t>-</t>
        </is>
      </c>
      <c r="T525" s="13" t="inlineStr">
        <is>
          <t>FCFA list/promo pairs across a supermarket vertical.</t>
        </is>
      </c>
      <c r="U525" s="13" t="inlineStr">
        <is>
          <t>-</t>
        </is>
      </c>
      <c r="V525" s="13" t="inlineStr">
        <is>
          <t>P5</t>
        </is>
      </c>
    </row>
    <row r="526">
      <c r="A526" s="13" t="inlineStr">
        <is>
          <t>ssa</t>
        </is>
      </c>
      <c r="B526" s="13" t="inlineStr">
        <is>
          <t>cote_divoire</t>
        </is>
      </c>
      <c r="C526" s="13" t="inlineStr">
        <is>
          <t>CIV</t>
        </is>
      </c>
      <c r="D526" s="13" t="inlineStr">
        <is>
          <t>Cote d'Ivoire</t>
        </is>
      </c>
      <c r="E526" s="13" t="inlineStr">
        <is>
          <t>Playce / Carrefour CI</t>
        </is>
      </c>
      <c r="F526" s="13" t="inlineStr">
        <is>
          <t>https://playce.ci/</t>
        </is>
      </c>
      <c r="G526" s="13" t="inlineStr">
        <is>
          <t>PROBED - VIABLE</t>
        </is>
      </c>
      <c r="H526" s="13" t="inlineStr">
        <is>
          <t>TIER_2</t>
        </is>
      </c>
      <c r="I526" s="13" t="inlineStr">
        <is>
          <t>medium</t>
        </is>
      </c>
      <c r="J526" s="13" t="n">
        <v>0</v>
      </c>
      <c r="K526" s="13" t="inlineStr"/>
      <c r="L526" s="13" t="inlineStr">
        <is>
          <t>curl -&gt; HTTP 200, 136KB. Playwright network trace found only a WP admin-ajax store-locator call (action=store_search) and Google Maps assets -- no product catalog API observed.</t>
        </is>
      </c>
      <c r="M526" s="13" t="inlineStr">
        <is>
          <t>SUSPECT</t>
        </is>
      </c>
      <c r="N526" s="13" t="inlineStr">
        <is>
          <t>not scored</t>
        </is>
      </c>
      <c r="O526" s="13" t="inlineStr"/>
      <c r="P526" s="13" t="inlineStr">
        <is>
          <t>Custom</t>
        </is>
      </c>
      <c r="Q526" s="13" t="inlineStr">
        <is>
          <t>XOF</t>
        </is>
      </c>
      <c r="R526" s="13" t="inlineStr">
        <is>
          <t>-</t>
        </is>
      </c>
      <c r="S526" s="13" t="inlineStr">
        <is>
          <t>-</t>
        </is>
      </c>
      <c r="T526" s="13" t="inlineStr">
        <is>
          <t>CFAO-operated Carrefour franchise; confirm catalogue.</t>
        </is>
      </c>
      <c r="U526" s="13" t="inlineStr">
        <is>
          <t>-</t>
        </is>
      </c>
      <c r="V526" s="13" t="inlineStr">
        <is>
          <t>P5</t>
        </is>
      </c>
    </row>
    <row r="527">
      <c r="A527" s="13" t="inlineStr">
        <is>
          <t>ssa</t>
        </is>
      </c>
      <c r="B527" s="13" t="inlineStr">
        <is>
          <t>cameroon</t>
        </is>
      </c>
      <c r="C527" s="13" t="inlineStr">
        <is>
          <t>CMR</t>
        </is>
      </c>
      <c r="D527" s="13" t="inlineStr">
        <is>
          <t>Cameroon</t>
        </is>
      </c>
      <c r="E527" s="13" t="inlineStr">
        <is>
          <t>Market Express CM</t>
        </is>
      </c>
      <c r="F527" s="13" t="inlineStr">
        <is>
          <t>https://market-express.net/</t>
        </is>
      </c>
      <c r="G527" s="13" t="inlineStr">
        <is>
          <t>NOT PROBED - deduped, already onboarded, or time-boxed</t>
        </is>
      </c>
      <c r="H527" s="13" t="inlineStr"/>
      <c r="I527" s="13" t="inlineStr"/>
      <c r="J527" s="13" t="inlineStr"/>
      <c r="K527" s="13" t="inlineStr"/>
      <c r="L527" s="13" t="inlineStr"/>
      <c r="M527" s="13" t="inlineStr">
        <is>
          <t>REJECT</t>
        </is>
      </c>
      <c r="N527" s="13" t="inlineStr">
        <is>
          <t>not scored</t>
        </is>
      </c>
      <c r="O527" s="13" t="inlineStr"/>
      <c r="P527" s="13" t="inlineStr">
        <is>
          <t>PrestaShop</t>
        </is>
      </c>
      <c r="Q527" s="13" t="inlineStr">
        <is>
          <t>EUR</t>
        </is>
      </c>
      <c r="R527" s="13" t="inlineStr">
        <is>
          <t>-</t>
        </is>
      </c>
      <c r="S527" s="13" t="inlineStr">
        <is>
          <t>-</t>
        </is>
      </c>
      <c r="T527" s="13" t="inlineStr">
        <is>
          <t>T1 FAIL: EUR prices throughout. PrestaShop and trivially scrapable, but wrong price basis.</t>
        </is>
      </c>
      <c r="U527" s="13" t="inlineStr">
        <is>
          <t>-</t>
        </is>
      </c>
      <c r="V527" s="13" t="inlineStr">
        <is>
          <t>P1</t>
        </is>
      </c>
    </row>
    <row r="528">
      <c r="A528" s="13" t="inlineStr">
        <is>
          <t>ssa</t>
        </is>
      </c>
      <c r="B528" s="13" t="inlineStr">
        <is>
          <t>cameroon</t>
        </is>
      </c>
      <c r="C528" s="13" t="inlineStr">
        <is>
          <t>CMR</t>
        </is>
      </c>
      <c r="D528" s="13" t="inlineStr">
        <is>
          <t>Cameroon</t>
        </is>
      </c>
      <c r="E528" s="13" t="inlineStr">
        <is>
          <t>Oumbe Market</t>
        </is>
      </c>
      <c r="F528" s="13" t="inlineStr">
        <is>
          <t>https://oumbemarket.com/</t>
        </is>
      </c>
      <c r="G528" s="13" t="inlineStr">
        <is>
          <t>NOT PROBED - deduped, already onboarded, or time-boxed</t>
        </is>
      </c>
      <c r="H528" s="13" t="inlineStr"/>
      <c r="I528" s="13" t="inlineStr"/>
      <c r="J528" s="13" t="inlineStr"/>
      <c r="K528" s="13" t="inlineStr"/>
      <c r="L528" s="13" t="inlineStr"/>
      <c r="M528" s="13" t="inlineStr">
        <is>
          <t>REJECT</t>
        </is>
      </c>
      <c r="N528" s="13" t="inlineStr">
        <is>
          <t>not scored</t>
        </is>
      </c>
      <c r="O528" s="13" t="inlineStr"/>
      <c r="P528" s="13" t="inlineStr">
        <is>
          <t>WordPress/WooCommerce</t>
        </is>
      </c>
      <c r="Q528" s="13" t="inlineStr">
        <is>
          <t>USD</t>
        </is>
      </c>
      <c r="R528" s="13" t="inlineStr">
        <is>
          <t>-</t>
        </is>
      </c>
      <c r="S528" s="13" t="inlineStr">
        <is>
          <t>-</t>
        </is>
      </c>
      <c r="T528" s="13" t="inlineStr">
        <is>
          <t>T2 FAIL: address is 1333 rue Saint Thomas, Longueuil, Quebec; +1 438 phone; USD prices; explicitly 'commandez depuis la diaspora'.</t>
        </is>
      </c>
      <c r="U528" s="13" t="inlineStr">
        <is>
          <t>-</t>
        </is>
      </c>
      <c r="V528" s="13" t="inlineStr">
        <is>
          <t>P1</t>
        </is>
      </c>
    </row>
    <row r="529">
      <c r="A529" s="13" t="inlineStr">
        <is>
          <t>ssa</t>
        </is>
      </c>
      <c r="B529" s="13" t="inlineStr">
        <is>
          <t>cameroon</t>
        </is>
      </c>
      <c r="C529" s="13" t="inlineStr">
        <is>
          <t>CMR</t>
        </is>
      </c>
      <c r="D529" s="13" t="inlineStr">
        <is>
          <t>Cameroon</t>
        </is>
      </c>
      <c r="E529" s="13" t="inlineStr">
        <is>
          <t>Sasayez</t>
        </is>
      </c>
      <c r="F529" s="13" t="inlineStr">
        <is>
          <t>https://sasayez.biz/</t>
        </is>
      </c>
      <c r="G529" s="13" t="inlineStr">
        <is>
          <t>NOT PROBED - deduped, already onboarded, or time-boxed</t>
        </is>
      </c>
      <c r="H529" s="13" t="inlineStr"/>
      <c r="I529" s="13" t="inlineStr"/>
      <c r="J529" s="13" t="inlineStr"/>
      <c r="K529" s="13" t="inlineStr"/>
      <c r="L529" s="13" t="inlineStr"/>
      <c r="M529" s="13" t="inlineStr">
        <is>
          <t>REJECT</t>
        </is>
      </c>
      <c r="N529" s="13" t="inlineStr">
        <is>
          <t>not scored</t>
        </is>
      </c>
      <c r="O529" s="13" t="inlineStr"/>
      <c r="P529" s="13" t="inlineStr">
        <is>
          <t>Custom</t>
        </is>
      </c>
      <c r="Q529" s="13" t="inlineStr">
        <is>
          <t>EUR</t>
        </is>
      </c>
      <c r="R529" s="13" t="inlineStr">
        <is>
          <t>-</t>
        </is>
      </c>
      <c r="S529" s="13" t="inlineStr">
        <is>
          <t>-</t>
        </is>
      </c>
      <c r="T529" s="13" t="inlineStr">
        <is>
          <t>T1/T2 FAIL: EUR default currency, diaspora gifting model ('envoyez des courses').</t>
        </is>
      </c>
      <c r="U529" s="13" t="inlineStr">
        <is>
          <t>-</t>
        </is>
      </c>
      <c r="V529" s="13" t="inlineStr">
        <is>
          <t>P1</t>
        </is>
      </c>
    </row>
    <row r="530">
      <c r="A530" s="13" t="inlineStr">
        <is>
          <t>ssa</t>
        </is>
      </c>
      <c r="B530" s="13" t="inlineStr">
        <is>
          <t>cameroon</t>
        </is>
      </c>
      <c r="C530" s="13" t="inlineStr">
        <is>
          <t>CMR</t>
        </is>
      </c>
      <c r="D530" s="13" t="inlineStr">
        <is>
          <t>Cameroon</t>
        </is>
      </c>
      <c r="E530" s="13" t="inlineStr">
        <is>
          <t>Express Market CM</t>
        </is>
      </c>
      <c r="F530" s="13" t="inlineStr">
        <is>
          <t>https://expressmarketcm.com/</t>
        </is>
      </c>
      <c r="G530" s="13" t="inlineStr">
        <is>
          <t>PROBED - SKIP</t>
        </is>
      </c>
      <c r="H530" s="13" t="inlineStr">
        <is>
          <t>SKIP</t>
        </is>
      </c>
      <c r="I530" s="13" t="inlineStr">
        <is>
          <t>medium</t>
        </is>
      </c>
      <c r="J530" s="13" t="n">
        <v>0</v>
      </c>
      <c r="K530" s="13" t="inlineStr">
        <is>
          <t>not probed</t>
        </is>
      </c>
      <c r="L530" s="13" t="inlineStr">
        <is>
          <t>curl 200, 7.7KB. canonical URL in the head redirects to https://jeloue.cm/ -- the operator has rebranded to 'JeLoue Marketplace', a general local-vendor marketplace ('vendeurs locaux, produits et services'), not specifically groceries. Vite SPA shell, zero price data in raw HTML. Not probed further (Playwright) within budget.</t>
        </is>
      </c>
      <c r="M530" s="13" t="inlineStr">
        <is>
          <t>ACCEPT</t>
        </is>
      </c>
      <c r="N530" s="13" t="inlineStr">
        <is>
          <t>not scored</t>
        </is>
      </c>
      <c r="O530" s="13" t="inlineStr"/>
      <c r="P530" s="13" t="inlineStr">
        <is>
          <t>Custom</t>
        </is>
      </c>
      <c r="Q530" s="13" t="inlineStr">
        <is>
          <t>XAF</t>
        </is>
      </c>
      <c r="R530" s="13" t="inlineStr">
        <is>
          <t>-</t>
        </is>
      </c>
      <c r="S530" s="13" t="inlineStr">
        <is>
          <t>-</t>
        </is>
      </c>
      <c r="T530" s="13" t="inlineStr">
        <is>
          <t>STRONG: FCFA prices, Douala/Yaounde/Bafoussam, indexes Carrefour and Casino Cameroun stores.</t>
        </is>
      </c>
      <c r="U530" s="13" t="inlineStr">
        <is>
          <t>-</t>
        </is>
      </c>
      <c r="V530" s="13" t="inlineStr">
        <is>
          <t>P1</t>
        </is>
      </c>
    </row>
    <row r="531">
      <c r="A531" s="13" t="inlineStr">
        <is>
          <t>ssa</t>
        </is>
      </c>
      <c r="B531" s="13" t="inlineStr">
        <is>
          <t>cameroon</t>
        </is>
      </c>
      <c r="C531" s="13" t="inlineStr">
        <is>
          <t>CMR</t>
        </is>
      </c>
      <c r="D531" s="13" t="inlineStr">
        <is>
          <t>Cameroon</t>
        </is>
      </c>
      <c r="E531" s="13" t="inlineStr">
        <is>
          <t>QuickGo 237</t>
        </is>
      </c>
      <c r="F531" s="13" t="inlineStr">
        <is>
          <t>https://www.quickgo237.com/</t>
        </is>
      </c>
      <c r="G531" s="13" t="inlineStr">
        <is>
          <t>PROBED - VIABLE</t>
        </is>
      </c>
      <c r="H531" s="13" t="inlineStr">
        <is>
          <t>TIER_1B</t>
        </is>
      </c>
      <c r="I531" s="13" t="inlineStr">
        <is>
          <t>low</t>
        </is>
      </c>
      <c r="J531" s="13" t="n">
        <v>3</v>
      </c>
      <c r="K531" s="13" t="inlineStr">
        <is>
          <t>/api/vendors, /api/products</t>
        </is>
      </c>
      <c r="L531" s="13" t="inlineStr">
        <is>
          <t>Next.js app, open custom API confirmed via Playwright network trace then reproduced standalone with plain curl (no auth): GET https://www.quickgo237.com/api/vendors -&gt; 200, 5.2KB, 6 vendors total. GET .../api/products -&gt; 200, 11KB. The ?category=supermarche query param does not actually filter server-side (returns all 6 vendors regardless). Only 1 of 6 vendors is a supermarket ('Super U Express'); the rest are a pharmacy, a restaurant, 2 electronics stores and a fashion store.</t>
        </is>
      </c>
      <c r="M531" s="13" t="inlineStr">
        <is>
          <t>ACCEPT</t>
        </is>
      </c>
      <c r="N531" s="13" t="inlineStr">
        <is>
          <t>not scored</t>
        </is>
      </c>
      <c r="O531" s="13" t="inlineStr"/>
      <c r="P531" s="13" t="inlineStr">
        <is>
          <t>Custom</t>
        </is>
      </c>
      <c r="Q531" s="13" t="inlineStr">
        <is>
          <t>XAF</t>
        </is>
      </c>
      <c r="R531" s="13" t="inlineStr">
        <is>
          <t>-</t>
        </is>
      </c>
      <c r="S531" s="13" t="inlineStr">
        <is>
          <t>-</t>
        </is>
      </c>
      <c r="T531" s="13" t="inlineStr">
        <is>
          <t>Live: Yaounde, Douala, Bafoussam, Bamenda; Supermarche and Market verticals; OM/MoMo.</t>
        </is>
      </c>
      <c r="U531" s="13" t="inlineStr">
        <is>
          <t>-</t>
        </is>
      </c>
      <c r="V531" s="13" t="inlineStr">
        <is>
          <t>P1</t>
        </is>
      </c>
    </row>
    <row r="532">
      <c r="A532" s="13" t="inlineStr">
        <is>
          <t>ssa</t>
        </is>
      </c>
      <c r="B532" s="13" t="inlineStr">
        <is>
          <t>cameroon</t>
        </is>
      </c>
      <c r="C532" s="13" t="inlineStr">
        <is>
          <t>CMR</t>
        </is>
      </c>
      <c r="D532" s="13" t="inlineStr">
        <is>
          <t>Cameroon</t>
        </is>
      </c>
      <c r="E532" s="13" t="inlineStr">
        <is>
          <t>Yorix CM</t>
        </is>
      </c>
      <c r="F532" s="13" t="inlineStr">
        <is>
          <t>https://www.yorix.cm/</t>
        </is>
      </c>
      <c r="G532" s="13" t="inlineStr">
        <is>
          <t>PROBED - VIABLE</t>
        </is>
      </c>
      <c r="H532" s="13" t="inlineStr">
        <is>
          <t>TIER_1B</t>
        </is>
      </c>
      <c r="I532" s="13" t="inlineStr">
        <is>
          <t>low</t>
        </is>
      </c>
      <c r="J532" s="13" t="n">
        <v>5</v>
      </c>
      <c r="K532" s="13" t="inlineStr">
        <is>
          <t>https://msrymchhhxitdevthvdi.supabase.co/rest/v1/products (apikey header)</t>
        </is>
      </c>
      <c r="L532" s="13" t="inlineStr">
        <is>
          <t>React/Vite SPA backed by Supabase. Publishable key captured from live Playwright request headers (apikey/authorization: sb_publishable_yJj7JNdn-r19Pjc070IOBg_y2VzGJXA), reproduced standalone with curl: GET https://msrymchhhxitdevthvdi.supabase.co/rest/v1/products?select=id,name_fr,prix,categorie&amp;limit=1000 -&gt; 200, 189 total products. Only 13 fall in food-relevant categories ('Alimentation', 'Produits frais'); the rest are Sacs &amp; accessoires, Cosmetiques, Mode, Telephones, Automobile, etc. One row is even mislabeled ('Redmi A5 android' filed under 'Alimentation').</t>
        </is>
      </c>
      <c r="M532" s="13" t="inlineStr">
        <is>
          <t>SUSPECT</t>
        </is>
      </c>
      <c r="N532" s="13" t="inlineStr">
        <is>
          <t>not scored</t>
        </is>
      </c>
      <c r="O532" s="13" t="inlineStr"/>
      <c r="P532" s="13" t="inlineStr">
        <is>
          <t>Custom</t>
        </is>
      </c>
      <c r="Q532" s="13" t="inlineStr">
        <is>
          <t>XAF</t>
        </is>
      </c>
      <c r="R532" s="13" t="inlineStr">
        <is>
          <t>-</t>
        </is>
      </c>
      <c r="S532" s="13" t="inlineStr">
        <is>
          <t>-</t>
        </is>
      </c>
      <c r="T532" s="13" t="inlineStr">
        <is>
          <t>Live marketplace with an Alimentation category; grocery depth unclear.</t>
        </is>
      </c>
      <c r="U532" s="13" t="inlineStr">
        <is>
          <t>-</t>
        </is>
      </c>
      <c r="V532" s="13" t="inlineStr">
        <is>
          <t>P1</t>
        </is>
      </c>
    </row>
    <row r="533">
      <c r="A533" s="13" t="inlineStr">
        <is>
          <t>ssa</t>
        </is>
      </c>
      <c r="B533" s="13" t="inlineStr">
        <is>
          <t>congo_dem_rep</t>
        </is>
      </c>
      <c r="C533" s="13" t="inlineStr">
        <is>
          <t>COD</t>
        </is>
      </c>
      <c r="D533" s="13" t="inlineStr">
        <is>
          <t>Congo, Dem. Rep.</t>
        </is>
      </c>
      <c r="E533" s="13" t="inlineStr">
        <is>
          <t>SN Mart</t>
        </is>
      </c>
      <c r="F533" s="13" t="inlineStr">
        <is>
          <t>https://snmart.co/fr/</t>
        </is>
      </c>
      <c r="G533" s="13" t="inlineStr">
        <is>
          <t>NOT PROBED - deduped, already onboarded, or time-boxed</t>
        </is>
      </c>
      <c r="H533" s="13" t="inlineStr"/>
      <c r="I533" s="13" t="inlineStr"/>
      <c r="J533" s="13" t="inlineStr"/>
      <c r="K533" s="13" t="inlineStr"/>
      <c r="L533" s="13" t="inlineStr"/>
      <c r="M533" s="13" t="inlineStr">
        <is>
          <t>SUSPECT</t>
        </is>
      </c>
      <c r="N533" s="13" t="inlineStr">
        <is>
          <t>not scored</t>
        </is>
      </c>
      <c r="O533" s="13" t="inlineStr"/>
      <c r="P533" s="13" t="inlineStr">
        <is>
          <t>Custom</t>
        </is>
      </c>
      <c r="Q533" s="13" t="inlineStr">
        <is>
          <t>CDF</t>
        </is>
      </c>
      <c r="R533" s="13" t="inlineStr">
        <is>
          <t>-</t>
        </is>
      </c>
      <c r="S533" s="13" t="inlineStr">
        <is>
          <t>-</t>
        </is>
      </c>
      <c r="T533" s="13" t="inlineStr">
        <is>
          <t>Live corporate site, 8,000+ products claimed, but no visible online catalogue yet.</t>
        </is>
      </c>
      <c r="U533" s="13" t="inlineStr">
        <is>
          <t>-</t>
        </is>
      </c>
      <c r="V533" s="13" t="inlineStr">
        <is>
          <t>P1</t>
        </is>
      </c>
    </row>
    <row r="534">
      <c r="A534" s="13" t="inlineStr">
        <is>
          <t>ssa</t>
        </is>
      </c>
      <c r="B534" s="13" t="inlineStr">
        <is>
          <t>congo_dem_rep</t>
        </is>
      </c>
      <c r="C534" s="13" t="inlineStr">
        <is>
          <t>COD</t>
        </is>
      </c>
      <c r="D534" s="13" t="inlineStr">
        <is>
          <t>Congo, Dem. Rep.</t>
        </is>
      </c>
      <c r="E534" s="13" t="inlineStr">
        <is>
          <t>kinmarche.cd</t>
        </is>
      </c>
      <c r="F534" s="13" t="inlineStr">
        <is>
          <t>https://kinmarche.cd/</t>
        </is>
      </c>
      <c r="G534" s="13" t="inlineStr">
        <is>
          <t>NOT PROBED - deduped, already onboarded, or time-boxed</t>
        </is>
      </c>
      <c r="H534" s="13" t="inlineStr"/>
      <c r="I534" s="13" t="inlineStr"/>
      <c r="J534" s="13" t="inlineStr"/>
      <c r="K534" s="13" t="inlineStr"/>
      <c r="L534" s="13" t="inlineStr"/>
      <c r="M534" s="13" t="inlineStr">
        <is>
          <t>REJECT</t>
        </is>
      </c>
      <c r="N534" s="13" t="inlineStr">
        <is>
          <t>not scored</t>
        </is>
      </c>
      <c r="O534" s="13" t="inlineStr"/>
      <c r="P534" s="13" t="inlineStr">
        <is>
          <t>WordPress/WooCommerce</t>
        </is>
      </c>
      <c r="Q534" s="13" t="inlineStr">
        <is>
          <t>USD</t>
        </is>
      </c>
      <c r="R534" s="13" t="inlineStr">
        <is>
          <t>-</t>
        </is>
      </c>
      <c r="S534" s="13" t="inlineStr">
        <is>
          <t>-</t>
        </is>
      </c>
      <c r="T534" s="13" t="inlineStr">
        <is>
          <t>T3 FAIL: this is an UNCONFIGURED WordPress theme demo - 'XStore Elementor Grocery Market Demo', Lorem Ipsum blog posts, placeholder USD prices. Not a real storefront. The real chain is kinmarche.com.</t>
        </is>
      </c>
      <c r="U534" s="13" t="inlineStr">
        <is>
          <t>-</t>
        </is>
      </c>
      <c r="V534" s="13" t="inlineStr">
        <is>
          <t>P1</t>
        </is>
      </c>
    </row>
    <row r="535">
      <c r="A535" s="13" t="inlineStr">
        <is>
          <t>ssa</t>
        </is>
      </c>
      <c r="B535" s="13" t="inlineStr">
        <is>
          <t>congo_dem_rep</t>
        </is>
      </c>
      <c r="C535" s="13" t="inlineStr">
        <is>
          <t>COD</t>
        </is>
      </c>
      <c r="D535" s="13" t="inlineStr">
        <is>
          <t>Congo, Dem. Rep.</t>
        </is>
      </c>
      <c r="E535" s="13" t="inlineStr">
        <is>
          <t>Peloustore</t>
        </is>
      </c>
      <c r="F535" s="13" t="inlineStr">
        <is>
          <t>https://peloustore.cd/</t>
        </is>
      </c>
      <c r="G535" s="13" t="inlineStr">
        <is>
          <t>PROBED - SKIP</t>
        </is>
      </c>
      <c r="H535" s="13" t="inlineStr">
        <is>
          <t>SKIP</t>
        </is>
      </c>
      <c r="I535" s="13" t="inlineStr">
        <is>
          <t>high</t>
        </is>
      </c>
      <c r="J535" s="13" t="n">
        <v>0</v>
      </c>
      <c r="K535" s="13" t="inlineStr"/>
      <c r="L535" s="13" t="inlineStr">
        <is>
          <t>curl -&gt; connection failure. dig peloustore.cd -&gt; no A record. A web search surfaced 'www.peloustore.cd' as the official site in an old listing, but that also fails to resolve.</t>
        </is>
      </c>
      <c r="M535" s="13" t="inlineStr">
        <is>
          <t>SUSPECT</t>
        </is>
      </c>
      <c r="N535" s="13" t="inlineStr">
        <is>
          <t>not scored</t>
        </is>
      </c>
      <c r="O535" s="13" t="inlineStr"/>
      <c r="P535" s="13" t="inlineStr">
        <is>
          <t>WordPress/WooCommerce</t>
        </is>
      </c>
      <c r="Q535" s="13" t="inlineStr">
        <is>
          <t>CDF</t>
        </is>
      </c>
      <c r="R535" s="13" t="inlineStr">
        <is>
          <t>-</t>
        </is>
      </c>
      <c r="S535" s="13" t="inlineStr">
        <is>
          <t>-</t>
        </is>
      </c>
      <c r="T535" s="13" t="inlineStr">
        <is>
          <t>Carried from v2; unverified.</t>
        </is>
      </c>
      <c r="U535" s="13" t="inlineStr">
        <is>
          <t>-</t>
        </is>
      </c>
      <c r="V535" s="13" t="inlineStr">
        <is>
          <t>P1</t>
        </is>
      </c>
    </row>
    <row r="536">
      <c r="A536" s="13" t="inlineStr">
        <is>
          <t>ssa</t>
        </is>
      </c>
      <c r="B536" s="13" t="inlineStr">
        <is>
          <t>congo_dem_rep</t>
        </is>
      </c>
      <c r="C536" s="13" t="inlineStr">
        <is>
          <t>COD</t>
        </is>
      </c>
      <c r="D536" s="13" t="inlineStr">
        <is>
          <t>Congo, Dem. Rep.</t>
        </is>
      </c>
      <c r="E536" s="13" t="inlineStr">
        <is>
          <t>Kin Marche</t>
        </is>
      </c>
      <c r="F536" s="13" t="inlineStr">
        <is>
          <t>https://kinmarche.com/</t>
        </is>
      </c>
      <c r="G536" s="13" t="inlineStr">
        <is>
          <t>PROBED - VIABLE</t>
        </is>
      </c>
      <c r="H536" s="13" t="inlineStr">
        <is>
          <t>TIER_2</t>
        </is>
      </c>
      <c r="I536" s="13" t="inlineStr">
        <is>
          <t>medium</t>
        </is>
      </c>
      <c r="J536" s="13" t="n">
        <v>0</v>
      </c>
      <c r="K536" s="13" t="inlineStr"/>
      <c r="L536" s="13" t="inlineStr">
        <is>
          <t>curl -&gt; HTTP 200, 30KB (homepage) and 74KB (/product-categories). No CDF/FC price pattern and no product/category href found in either page -- static shell only exposes nav links (about, contact, stores, product-categories) with no actual category listing content server-rendered.</t>
        </is>
      </c>
      <c r="M536" s="13" t="inlineStr">
        <is>
          <t>ACCEPT</t>
        </is>
      </c>
      <c r="N536" s="13" t="inlineStr">
        <is>
          <t>not scored</t>
        </is>
      </c>
      <c r="O536" s="13" t="inlineStr"/>
      <c r="P536" s="13" t="inlineStr">
        <is>
          <t>Custom</t>
        </is>
      </c>
      <c r="Q536" s="13" t="inlineStr">
        <is>
          <t>CDF</t>
        </is>
      </c>
      <c r="R536" s="13" t="inlineStr">
        <is>
          <t>-</t>
        </is>
      </c>
      <c r="S536" s="13" t="inlineStr">
        <is>
          <t>-</t>
        </is>
      </c>
      <c r="T536" s="13" t="inlineStr">
        <is>
          <t>Live: national chain (Kinshasa, Katanga, Kivu, Kongo Central) with promotions section.</t>
        </is>
      </c>
      <c r="U536" s="13" t="inlineStr">
        <is>
          <t>-</t>
        </is>
      </c>
      <c r="V536" s="13" t="inlineStr">
        <is>
          <t>P1</t>
        </is>
      </c>
    </row>
    <row r="537">
      <c r="A537" s="13" t="inlineStr">
        <is>
          <t>ssa</t>
        </is>
      </c>
      <c r="B537" s="13" t="inlineStr">
        <is>
          <t>congo_dem_rep</t>
        </is>
      </c>
      <c r="C537" s="13" t="inlineStr">
        <is>
          <t>COD</t>
        </is>
      </c>
      <c r="D537" s="13" t="inlineStr">
        <is>
          <t>Congo, Dem. Rep.</t>
        </is>
      </c>
      <c r="E537" s="13" t="inlineStr">
        <is>
          <t>Kin Marche</t>
        </is>
      </c>
      <c r="F537" s="13" t="inlineStr">
        <is>
          <t>https://kinmarche.com/</t>
        </is>
      </c>
      <c r="G537" s="13" t="inlineStr">
        <is>
          <t>PROBED - VIABLE</t>
        </is>
      </c>
      <c r="H537" s="13" t="inlineStr">
        <is>
          <t>TIER_2</t>
        </is>
      </c>
      <c r="I537" s="13" t="inlineStr">
        <is>
          <t>medium</t>
        </is>
      </c>
      <c r="J537" s="13" t="n">
        <v>0</v>
      </c>
      <c r="K537" s="13" t="inlineStr"/>
      <c r="L537" s="13" t="inlineStr">
        <is>
          <t>curl -&gt; HTTP 200, 30KB (homepage) and 74KB (/product-categories). No CDF/FC price pattern and no product/category href found in either page -- static shell only exposes nav links (about, contact, stores, product-categories) with no actual category listing content server-rendered.</t>
        </is>
      </c>
      <c r="M537" s="13" t="inlineStr">
        <is>
          <t>ACCEPT</t>
        </is>
      </c>
      <c r="N537" s="13" t="inlineStr">
        <is>
          <t>not scored</t>
        </is>
      </c>
      <c r="O537" s="13" t="inlineStr"/>
      <c r="P537" s="13" t="inlineStr">
        <is>
          <t>Custom</t>
        </is>
      </c>
      <c r="Q537" s="13" t="inlineStr">
        <is>
          <t>CDF</t>
        </is>
      </c>
      <c r="R537" s="13" t="inlineStr">
        <is>
          <t>-</t>
        </is>
      </c>
      <c r="S537" s="13" t="inlineStr">
        <is>
          <t>-</t>
        </is>
      </c>
      <c r="T537" s="13" t="inlineStr">
        <is>
          <t>CONFIRMED national chain: Kinshasa, Katanga, Kivu, Kongo Central. Categories Produits frais, Epicerie, Boissons, Sante/beaute. Promotions section. THIS is the real Kin Marche, not kinmarche.cd.</t>
        </is>
      </c>
      <c r="U537" s="13" t="inlineStr">
        <is>
          <t>-</t>
        </is>
      </c>
      <c r="V537" s="13" t="inlineStr">
        <is>
          <t>P2</t>
        </is>
      </c>
    </row>
    <row r="538">
      <c r="A538" s="13" t="inlineStr">
        <is>
          <t>ssa</t>
        </is>
      </c>
      <c r="B538" s="13" t="inlineStr">
        <is>
          <t>congo_dem_rep</t>
        </is>
      </c>
      <c r="C538" s="13" t="inlineStr">
        <is>
          <t>COD</t>
        </is>
      </c>
      <c r="D538" s="13" t="inlineStr">
        <is>
          <t>Congo, Dem. Rep.</t>
        </is>
      </c>
      <c r="E538" s="13" t="inlineStr">
        <is>
          <t>Shoppi (S&amp;K)</t>
        </is>
      </c>
      <c r="F538" s="13" t="inlineStr">
        <is>
          <t>https://www.shoppi.cd/</t>
        </is>
      </c>
      <c r="G538" s="13" t="inlineStr">
        <is>
          <t>PROBED - VIABLE</t>
        </is>
      </c>
      <c r="H538" s="13" t="inlineStr">
        <is>
          <t>TIER_1B</t>
        </is>
      </c>
      <c r="I538" s="13" t="inlineStr">
        <is>
          <t>low</t>
        </is>
      </c>
      <c r="J538" s="13" t="n">
        <v>35</v>
      </c>
      <c r="K538" s="13" t="inlineStr">
        <is>
          <t>/products.json</t>
        </is>
      </c>
      <c r="L538" s="13" t="inlineStr">
        <is>
          <t>GET /products.json?limit=250 -&gt; HTTP 200, 279KB. Shopify confirmed. 250 products sampled; product_type breakdown: Salty groceries(20), Sweet groceries(19), Dairy/eggs(10), Breakfast(8), Baby corner(8), Pasta/rice/noodles(7), Sugar/flour/baking(7), Wines(6), Soft drinks(6), Spirits(5), Beers(4). Sample: 'Weibo Ruler 30cm' 800 FC (non-food, confirms schema); food category prices e.g. '3,500 FC' seen in raw HTML for grocery items.</t>
        </is>
      </c>
      <c r="M538" s="13" t="inlineStr">
        <is>
          <t>ACCEPT</t>
        </is>
      </c>
      <c r="N538" s="13" t="inlineStr">
        <is>
          <t>not scored</t>
        </is>
      </c>
      <c r="O538" s="13" t="inlineStr"/>
      <c r="P538" s="13" t="inlineStr">
        <is>
          <t>Custom</t>
        </is>
      </c>
      <c r="Q538" s="13" t="inlineStr">
        <is>
          <t>CDF</t>
        </is>
      </c>
      <c r="R538" s="13" t="inlineStr">
        <is>
          <t>-</t>
        </is>
      </c>
      <c r="S538" s="13" t="inlineStr">
        <is>
          <t>-</t>
        </is>
      </c>
      <c r="T538" s="13" t="inlineStr">
        <is>
          <t>STRONG: prices in FC (Congolese francs) across ~50 visible beverage SKUs; full grocery taxonomy.</t>
        </is>
      </c>
      <c r="U538" s="13" t="inlineStr">
        <is>
          <t>-</t>
        </is>
      </c>
      <c r="V538" s="13" t="inlineStr">
        <is>
          <t>P1</t>
        </is>
      </c>
    </row>
    <row r="539">
      <c r="A539" s="13" t="inlineStr">
        <is>
          <t>ssa</t>
        </is>
      </c>
      <c r="B539" s="13" t="inlineStr">
        <is>
          <t>congo_dem_rep</t>
        </is>
      </c>
      <c r="C539" s="13" t="inlineStr">
        <is>
          <t>COD</t>
        </is>
      </c>
      <c r="D539" s="13" t="inlineStr">
        <is>
          <t>Congo, Dem. Rep.</t>
        </is>
      </c>
      <c r="E539" s="13" t="inlineStr">
        <is>
          <t>Shoppi (S&amp;K)</t>
        </is>
      </c>
      <c r="F539" s="13" t="inlineStr">
        <is>
          <t>https://www.shoppi.cd/</t>
        </is>
      </c>
      <c r="G539" s="13" t="inlineStr">
        <is>
          <t>PROBED - VIABLE</t>
        </is>
      </c>
      <c r="H539" s="13" t="inlineStr">
        <is>
          <t>TIER_1B</t>
        </is>
      </c>
      <c r="I539" s="13" t="inlineStr">
        <is>
          <t>low</t>
        </is>
      </c>
      <c r="J539" s="13" t="n">
        <v>35</v>
      </c>
      <c r="K539" s="13" t="inlineStr">
        <is>
          <t>/products.json</t>
        </is>
      </c>
      <c r="L539" s="13" t="inlineStr">
        <is>
          <t>GET /products.json?limit=250 -&gt; HTTP 200, 279KB. Shopify confirmed. 250 products sampled; product_type breakdown: Salty groceries(20), Sweet groceries(19), Dairy/eggs(10), Breakfast(8), Baby corner(8), Pasta/rice/noodles(7), Sugar/flour/baking(7), Wines(6), Soft drinks(6), Spirits(5), Beers(4). Sample: 'Weibo Ruler 30cm' 800 FC (non-food, confirms schema); food category prices e.g. '3,500 FC' seen in raw HTML for grocery items.</t>
        </is>
      </c>
      <c r="M539" s="13" t="inlineStr">
        <is>
          <t>ACCEPT</t>
        </is>
      </c>
      <c r="N539" s="13" t="inlineStr">
        <is>
          <t>not scored</t>
        </is>
      </c>
      <c r="O539" s="13" t="inlineStr"/>
      <c r="P539" s="13" t="inlineStr">
        <is>
          <t>Custom</t>
        </is>
      </c>
      <c r="Q539" s="13" t="inlineStr">
        <is>
          <t>CDF</t>
        </is>
      </c>
      <c r="R539" s="13" t="inlineStr">
        <is>
          <t>-</t>
        </is>
      </c>
      <c r="S539" s="13" t="inlineStr">
        <is>
          <t>-</t>
        </is>
      </c>
      <c r="T539" s="13" t="inlineStr">
        <is>
          <t>CONFIRMED: ~50 visible beverage SKUs in Congolese francs (FC), minimum order 25,000 CDF, 2-hour delivery. Full grocery taxonomy including bakery, produce, dairy, frozen.</t>
        </is>
      </c>
      <c r="U539" s="13" t="inlineStr">
        <is>
          <t>-</t>
        </is>
      </c>
      <c r="V539" s="13" t="inlineStr">
        <is>
          <t>P2</t>
        </is>
      </c>
    </row>
    <row r="540">
      <c r="A540" s="13" t="inlineStr">
        <is>
          <t>ssa</t>
        </is>
      </c>
      <c r="B540" s="13" t="inlineStr">
        <is>
          <t>cabo_verde</t>
        </is>
      </c>
      <c r="C540" s="13" t="inlineStr">
        <is>
          <t>CPV</t>
        </is>
      </c>
      <c r="D540" s="13" t="inlineStr">
        <is>
          <t>Cabo Verde</t>
        </is>
      </c>
      <c r="E540" s="13" t="inlineStr">
        <is>
          <t>Simply Shop CV</t>
        </is>
      </c>
      <c r="F540" s="13" t="inlineStr">
        <is>
          <t>https://simplyshop.cv/pt</t>
        </is>
      </c>
      <c r="G540" s="13" t="inlineStr">
        <is>
          <t>NOT PROBED - deduped, already onboarded, or time-boxed</t>
        </is>
      </c>
      <c r="H540" s="13" t="inlineStr"/>
      <c r="I540" s="13" t="inlineStr"/>
      <c r="J540" s="13" t="inlineStr"/>
      <c r="K540" s="13" t="inlineStr"/>
      <c r="L540" s="13" t="inlineStr"/>
      <c r="M540" s="13" t="inlineStr">
        <is>
          <t>REJECT</t>
        </is>
      </c>
      <c r="N540" s="13" t="inlineStr">
        <is>
          <t>not scored</t>
        </is>
      </c>
      <c r="O540" s="13" t="inlineStr"/>
      <c r="P540" s="13" t="inlineStr">
        <is>
          <t>Shopify</t>
        </is>
      </c>
      <c r="Q540" s="13" t="inlineStr">
        <is>
          <t>EUR</t>
        </is>
      </c>
      <c r="R540" s="13" t="inlineStr">
        <is>
          <t>-</t>
        </is>
      </c>
      <c r="S540" s="13" t="inlineStr">
        <is>
          <t>-</t>
        </is>
      </c>
      <c r="T540" s="13" t="inlineStr">
        <is>
          <t>T1 FAIL: EUR prices on imported British goods (Yorkshire Tea, Cheshire cheese). Shopify and easy to scrape, but not Cabo Verdean domestic prices.</t>
        </is>
      </c>
      <c r="U540" s="13" t="inlineStr">
        <is>
          <t>-</t>
        </is>
      </c>
      <c r="V540" s="13" t="inlineStr">
        <is>
          <t>P1</t>
        </is>
      </c>
    </row>
    <row r="541">
      <c r="A541" s="13" t="inlineStr">
        <is>
          <t>ssa</t>
        </is>
      </c>
      <c r="B541" s="13" t="inlineStr">
        <is>
          <t>cabo_verde</t>
        </is>
      </c>
      <c r="C541" s="13" t="inlineStr">
        <is>
          <t>CPV</t>
        </is>
      </c>
      <c r="D541" s="13" t="inlineStr">
        <is>
          <t>Cabo Verde</t>
        </is>
      </c>
      <c r="E541" s="13" t="inlineStr">
        <is>
          <t>Calu &amp; Angela</t>
        </is>
      </c>
      <c r="F541" s="13" t="inlineStr">
        <is>
          <t>https://caluangela.cv/</t>
        </is>
      </c>
      <c r="G541" s="13" t="inlineStr">
        <is>
          <t>PROBED - SKIP</t>
        </is>
      </c>
      <c r="H541" s="13" t="inlineStr">
        <is>
          <t>SKIP</t>
        </is>
      </c>
      <c r="I541" s="13" t="inlineStr">
        <is>
          <t>high</t>
        </is>
      </c>
      <c r="J541" s="13" t="n">
        <v>0</v>
      </c>
      <c r="K541" s="13" t="inlineStr"/>
      <c r="L541" s="13" t="inlineStr">
        <is>
          <t>curl -&gt; DNS does not resolve (NXDOMAIN, both apex and www). Targeted web search found only Facebook page + business-directory listings (Paginas Amarelas, TourCV, evendo) for the physical supermarket chain -- no e-commerce site referenced anywhere.</t>
        </is>
      </c>
      <c r="M541" s="13" t="inlineStr">
        <is>
          <t>SUSPECT</t>
        </is>
      </c>
      <c r="N541" s="13" t="inlineStr">
        <is>
          <t>not scored</t>
        </is>
      </c>
      <c r="O541" s="13" t="inlineStr"/>
      <c r="P541" s="13" t="inlineStr">
        <is>
          <t>WordPress/WooCommerce</t>
        </is>
      </c>
      <c r="Q541" s="13" t="inlineStr">
        <is>
          <t>CVE</t>
        </is>
      </c>
      <c r="R541" s="13" t="inlineStr">
        <is>
          <t>-</t>
        </is>
      </c>
      <c r="S541" s="13" t="inlineStr">
        <is>
          <t>-</t>
        </is>
      </c>
      <c r="T541" s="13" t="inlineStr">
        <is>
          <t>Carried from v2; unverified.</t>
        </is>
      </c>
      <c r="U541" s="13" t="inlineStr">
        <is>
          <t>-</t>
        </is>
      </c>
      <c r="V541" s="13" t="inlineStr">
        <is>
          <t>P1</t>
        </is>
      </c>
    </row>
    <row r="542">
      <c r="A542" s="13" t="inlineStr">
        <is>
          <t>ssa</t>
        </is>
      </c>
      <c r="B542" s="13" t="inlineStr">
        <is>
          <t>cabo_verde</t>
        </is>
      </c>
      <c r="C542" s="13" t="inlineStr">
        <is>
          <t>CPV</t>
        </is>
      </c>
      <c r="D542" s="13" t="inlineStr">
        <is>
          <t>Cabo Verde</t>
        </is>
      </c>
      <c r="E542" s="13" t="inlineStr">
        <is>
          <t>Deliiv</t>
        </is>
      </c>
      <c r="F542" s="13" t="inlineStr">
        <is>
          <t>https://deliiv.cv/</t>
        </is>
      </c>
      <c r="G542" s="13" t="inlineStr">
        <is>
          <t>PROBED - VIABLE</t>
        </is>
      </c>
      <c r="H542" s="13" t="inlineStr">
        <is>
          <t>TIER_2</t>
        </is>
      </c>
      <c r="I542" s="13" t="inlineStr">
        <is>
          <t>medium</t>
        </is>
      </c>
      <c r="J542" s="13" t="n">
        <v>0</v>
      </c>
      <c r="K542" s="13" t="inlineStr"/>
      <c r="L542" s="13" t="inlineStr">
        <is>
          <t>curl -&gt; HTTP 200, 119KB. No CVE product-price pattern found in the raw HTML.</t>
        </is>
      </c>
      <c r="M542" s="13" t="inlineStr">
        <is>
          <t>SUSPECT</t>
        </is>
      </c>
      <c r="N542" s="13" t="inlineStr">
        <is>
          <t>not scored</t>
        </is>
      </c>
      <c r="O542" s="13" t="inlineStr"/>
      <c r="P542" s="13" t="inlineStr">
        <is>
          <t>Custom</t>
        </is>
      </c>
      <c r="Q542" s="13" t="inlineStr">
        <is>
          <t>CVE</t>
        </is>
      </c>
      <c r="R542" s="13" t="inlineStr">
        <is>
          <t>-</t>
        </is>
      </c>
      <c r="S542" s="13" t="inlineStr">
        <is>
          <t>-</t>
        </is>
      </c>
      <c r="T542" s="13" t="inlineStr">
        <is>
          <t>Live: Praia and Tarrafal, restaurants plus 'compras diarias'; grocery depth unclear.</t>
        </is>
      </c>
      <c r="U542" s="13" t="inlineStr">
        <is>
          <t>-</t>
        </is>
      </c>
      <c r="V542" s="13" t="inlineStr">
        <is>
          <t>P1</t>
        </is>
      </c>
    </row>
    <row r="543">
      <c r="A543" s="13" t="inlineStr">
        <is>
          <t>ssa</t>
        </is>
      </c>
      <c r="B543" s="13" t="inlineStr">
        <is>
          <t>cabo_verde</t>
        </is>
      </c>
      <c r="C543" s="13" t="inlineStr">
        <is>
          <t>CPV</t>
        </is>
      </c>
      <c r="D543" s="13" t="inlineStr">
        <is>
          <t>Cabo Verde</t>
        </is>
      </c>
      <c r="E543" s="13" t="inlineStr">
        <is>
          <t>GO.cv (Correios CV)</t>
        </is>
      </c>
      <c r="F543" s="13" t="inlineStr">
        <is>
          <t>https://www.go.cv/</t>
        </is>
      </c>
      <c r="G543" s="13" t="inlineStr">
        <is>
          <t>PROBED - VIABLE</t>
        </is>
      </c>
      <c r="H543" s="13" t="inlineStr">
        <is>
          <t>TIER_2</t>
        </is>
      </c>
      <c r="I543" s="13" t="inlineStr">
        <is>
          <t>medium</t>
        </is>
      </c>
      <c r="J543" s="13" t="n">
        <v>0</v>
      </c>
      <c r="K543" s="13" t="inlineStr"/>
      <c r="L543" s="13" t="inlineStr">
        <is>
          <t>curl -&gt; DNS resolves (87.103.13.203) but TLS handshake times out after 20s (connection hangs, not a clean refusal/403). Distinct from a WAF block -- looks like a slow or overloaded origin.</t>
        </is>
      </c>
      <c r="M543" s="13" t="inlineStr">
        <is>
          <t>ACCEPT</t>
        </is>
      </c>
      <c r="N543" s="13" t="inlineStr">
        <is>
          <t>not scored</t>
        </is>
      </c>
      <c r="O543" s="13" t="inlineStr"/>
      <c r="P543" s="13" t="inlineStr">
        <is>
          <t>Custom</t>
        </is>
      </c>
      <c r="Q543" s="13" t="inlineStr">
        <is>
          <t>CVE</t>
        </is>
      </c>
      <c r="R543" s="13" t="inlineStr">
        <is>
          <t>-</t>
        </is>
      </c>
      <c r="S543" s="13" t="inlineStr">
        <is>
          <t>-</t>
        </is>
      </c>
      <c r="T543" s="13" t="inlineStr">
        <is>
          <t>Live: national postal marketplace with CVE prices; multi-vendor.</t>
        </is>
      </c>
      <c r="U543" s="13" t="inlineStr">
        <is>
          <t>-</t>
        </is>
      </c>
      <c r="V543" s="13" t="inlineStr">
        <is>
          <t>P1</t>
        </is>
      </c>
    </row>
    <row r="544">
      <c r="A544" s="13" t="inlineStr">
        <is>
          <t>ssa</t>
        </is>
      </c>
      <c r="B544" s="13" t="inlineStr">
        <is>
          <t>cabo_verde</t>
        </is>
      </c>
      <c r="C544" s="13" t="inlineStr">
        <is>
          <t>CPV</t>
        </is>
      </c>
      <c r="D544" s="13" t="inlineStr">
        <is>
          <t>Cabo Verde</t>
        </is>
      </c>
      <c r="E544" s="13" t="inlineStr">
        <is>
          <t>Nha Kretxeu</t>
        </is>
      </c>
      <c r="F544" s="13" t="inlineStr">
        <is>
          <t>https://www.nhakretxeu.com/supermercado.html</t>
        </is>
      </c>
      <c r="G544" s="13" t="inlineStr">
        <is>
          <t>PROBED - VIABLE</t>
        </is>
      </c>
      <c r="H544" s="13" t="inlineStr">
        <is>
          <t>TIER_1A</t>
        </is>
      </c>
      <c r="I544" s="13" t="inlineStr">
        <is>
          <t>low</t>
        </is>
      </c>
      <c r="J544" s="13" t="n">
        <v>85</v>
      </c>
      <c r="K544" s="13" t="inlineStr">
        <is>
          <t>/supermercado.html (SSR HTML; REST API is closed)</t>
        </is>
      </c>
      <c r="L544" s="13" t="inlineStr">
        <is>
          <t>GET /supermercado.html -&gt; HTTP 200, 415KB SSR HTML (Magento Luma theme). Confirmed product cards: 'Melao grande (metade)' 450,00 CVE (data-product-id=4798), 'Muesli Com Frutas Emicela 750g', 'Melao pele de sapo 1 unidade'. 292 product-item blocks on this single page. Note: /rest/V1/products returns 401 (auth required) so the REST API is closed -- use the SSR category pages instead, as CSV's own 1,306-SKU claim implies.</t>
        </is>
      </c>
      <c r="M544" s="13" t="inlineStr">
        <is>
          <t>ACCEPT</t>
        </is>
      </c>
      <c r="N544" s="13" t="inlineStr">
        <is>
          <t>not scored</t>
        </is>
      </c>
      <c r="O544" s="13" t="inlineStr"/>
      <c r="P544" s="13" t="inlineStr">
        <is>
          <t>Magento</t>
        </is>
      </c>
      <c r="Q544" s="13" t="inlineStr">
        <is>
          <t>CVE</t>
        </is>
      </c>
      <c r="R544" s="13" t="inlineStr">
        <is>
          <t>-</t>
        </is>
      </c>
      <c r="S544" s="13" t="inlineStr">
        <is>
          <t>-</t>
        </is>
      </c>
      <c r="T544" s="13" t="inlineStr">
        <is>
          <t>STRONG: 1,306 supermarket SKUs with CVE prices, Magento pagination. Best Cabo Verde source.</t>
        </is>
      </c>
      <c r="U544" s="13" t="inlineStr">
        <is>
          <t>-</t>
        </is>
      </c>
      <c r="V544" s="13" t="inlineStr">
        <is>
          <t>P1</t>
        </is>
      </c>
    </row>
    <row r="545">
      <c r="A545" s="13" t="inlineStr">
        <is>
          <t>ssa</t>
        </is>
      </c>
      <c r="B545" s="13" t="inlineStr">
        <is>
          <t>ethiopia</t>
        </is>
      </c>
      <c r="C545" s="13" t="inlineStr">
        <is>
          <t>ETH</t>
        </is>
      </c>
      <c r="D545" s="13" t="inlineStr">
        <is>
          <t>Ethiopia</t>
        </is>
      </c>
      <c r="E545" s="13" t="inlineStr">
        <is>
          <t>Queens Supermarket / Shoa</t>
        </is>
      </c>
      <c r="F545" s="13" t="inlineStr">
        <is>
          <t>https://shoashopping.com/</t>
        </is>
      </c>
      <c r="G545" s="13" t="inlineStr">
        <is>
          <t>PROBED - SKIP</t>
        </is>
      </c>
      <c r="H545" s="13" t="inlineStr">
        <is>
          <t>SKIP</t>
        </is>
      </c>
      <c r="I545" s="13" t="inlineStr">
        <is>
          <t>medium</t>
        </is>
      </c>
      <c r="J545" s="13" t="n">
        <v>0</v>
      </c>
      <c r="K545" s="13" t="inlineStr"/>
      <c r="L545" s="13" t="inlineStr">
        <is>
          <t>curl -A &lt;browser UA&gt; --max-time 20 -&gt; connection timed out after 20s (curl exit 28), no bytes received. Domain resolves (162.255.119.42) but the server never answered.</t>
        </is>
      </c>
      <c r="M545" s="13" t="inlineStr">
        <is>
          <t>SUSPECT</t>
        </is>
      </c>
      <c r="N545" s="13" t="inlineStr">
        <is>
          <t>not scored</t>
        </is>
      </c>
      <c r="O545" s="13" t="inlineStr"/>
      <c r="P545" s="13" t="inlineStr">
        <is>
          <t>WordPress/WooCommerce</t>
        </is>
      </c>
      <c r="Q545" s="13" t="inlineStr">
        <is>
          <t>ETB</t>
        </is>
      </c>
      <c r="R545" s="13" t="inlineStr">
        <is>
          <t>-</t>
        </is>
      </c>
      <c r="S545" s="13" t="inlineStr">
        <is>
          <t>-</t>
        </is>
      </c>
      <c r="T545" s="13" t="inlineStr">
        <is>
          <t>Carried from v1; still unverified.</t>
        </is>
      </c>
      <c r="U545" s="13" t="inlineStr">
        <is>
          <t>-</t>
        </is>
      </c>
      <c r="V545" s="13" t="inlineStr">
        <is>
          <t>P3</t>
        </is>
      </c>
    </row>
    <row r="546">
      <c r="A546" s="13" t="inlineStr">
        <is>
          <t>ssa</t>
        </is>
      </c>
      <c r="B546" s="13" t="inlineStr">
        <is>
          <t>ethiopia</t>
        </is>
      </c>
      <c r="C546" s="13" t="inlineStr">
        <is>
          <t>ETH</t>
        </is>
      </c>
      <c r="D546" s="13" t="inlineStr">
        <is>
          <t>Ethiopia</t>
        </is>
      </c>
      <c r="E546" s="13" t="inlineStr">
        <is>
          <t>asbeza</t>
        </is>
      </c>
      <c r="F546" s="13" t="inlineStr">
        <is>
          <t>https://www.asbeza.net/</t>
        </is>
      </c>
      <c r="G546" s="13" t="inlineStr">
        <is>
          <t>PROBED - SKIP</t>
        </is>
      </c>
      <c r="H546" s="13" t="inlineStr">
        <is>
          <t>SKIP</t>
        </is>
      </c>
      <c r="I546" s="13" t="inlineStr">
        <is>
          <t>medium</t>
        </is>
      </c>
      <c r="J546" s="13" t="n">
        <v>0</v>
      </c>
      <c r="K546" s="13" t="inlineStr"/>
      <c r="L546" s="13" t="inlineStr">
        <is>
          <t>Live site confirms cessation banner. Attempted Wayback CDX lookup (web.archive.org/cdx/search/cdx?url=asbeza.net*) returned a transient IA 503 this pass -- could not enumerate snapshot count/date range.</t>
        </is>
      </c>
      <c r="M546" s="13" t="inlineStr">
        <is>
          <t>REJECT</t>
        </is>
      </c>
      <c r="N546" s="13" t="inlineStr">
        <is>
          <t>not scored</t>
        </is>
      </c>
      <c r="O546" s="13" t="inlineStr"/>
      <c r="P546" s="13" t="inlineStr">
        <is>
          <t>Custom</t>
        </is>
      </c>
      <c r="Q546" s="13" t="inlineStr">
        <is>
          <t>ETB</t>
        </is>
      </c>
      <c r="R546" s="13" t="inlineStr">
        <is>
          <t>-</t>
        </is>
      </c>
      <c r="S546" s="13" t="inlineStr">
        <is>
          <t>-</t>
        </is>
      </c>
      <c r="T546" s="13" t="inlineStr">
        <is>
          <t>CEASED TRADING: banner reads 'Our dear customers. We're truly sorry we will not take any orders.' A live site for a business that has stopped operating - distinct from an empty category. [pass 4 -&gt; ARCHIVE: its historical catalogue is a valuable back-series for Ethiopian prices]</t>
        </is>
      </c>
      <c r="U546" s="13" t="inlineStr">
        <is>
          <t>-</t>
        </is>
      </c>
      <c r="V546" s="13" t="inlineStr">
        <is>
          <t>P3</t>
        </is>
      </c>
    </row>
    <row r="547">
      <c r="A547" s="13" t="inlineStr">
        <is>
          <t>ssa</t>
        </is>
      </c>
      <c r="B547" s="13" t="inlineStr">
        <is>
          <t>ethiopia</t>
        </is>
      </c>
      <c r="C547" s="13" t="inlineStr">
        <is>
          <t>ETH</t>
        </is>
      </c>
      <c r="D547" s="13" t="inlineStr">
        <is>
          <t>Ethiopia</t>
        </is>
      </c>
      <c r="E547" s="13" t="inlineStr">
        <is>
          <t>asbeza</t>
        </is>
      </c>
      <c r="F547" s="13" t="inlineStr">
        <is>
          <t>https://www.asbeza.net/</t>
        </is>
      </c>
      <c r="G547" s="13" t="inlineStr">
        <is>
          <t>PROBED - SKIP</t>
        </is>
      </c>
      <c r="H547" s="13" t="inlineStr">
        <is>
          <t>SKIP</t>
        </is>
      </c>
      <c r="I547" s="13" t="inlineStr">
        <is>
          <t>medium</t>
        </is>
      </c>
      <c r="J547" s="13" t="n">
        <v>0</v>
      </c>
      <c r="K547" s="13" t="inlineStr"/>
      <c r="L547" s="13" t="inlineStr">
        <is>
          <t>Live site confirms cessation banner. Attempted Wayback CDX lookup (web.archive.org/cdx/search/cdx?url=asbeza.net*) returned a transient IA 503 this pass -- could not enumerate snapshot count/date range.</t>
        </is>
      </c>
      <c r="M547" s="13" t="inlineStr">
        <is>
          <t>ARCHIVE</t>
        </is>
      </c>
      <c r="N547" s="13" t="inlineStr">
        <is>
          <t>not scored</t>
        </is>
      </c>
      <c r="O547" s="13" t="inlineStr"/>
      <c r="P547" s="13" t="inlineStr">
        <is>
          <t>Custom</t>
        </is>
      </c>
      <c r="Q547" s="13" t="inlineStr">
        <is>
          <t>ETB</t>
        </is>
      </c>
      <c r="R547" s="13" t="inlineStr">
        <is>
          <t>-</t>
        </is>
      </c>
      <c r="S547" s="13" t="inlineStr">
        <is>
          <t>-</t>
        </is>
      </c>
      <c r="T547" s="13" t="inlineStr">
        <is>
          <t>CEASED TRADING: 'we will not take any orders'. RECLASSIFIED from REJECT to ARCHIVE. Described itself as Ethiopia's #1 grocery delivery service featuring the best Addis supermarkets, so its historical catalogue is a valuable back-series for Ethiopian prices. Try the Internet Archive CDX API for snapshots. Do NOT count toward the 5.</t>
        </is>
      </c>
      <c r="U547" s="13" t="inlineStr">
        <is>
          <t>-</t>
        </is>
      </c>
      <c r="V547" s="13" t="inlineStr">
        <is>
          <t>P4</t>
        </is>
      </c>
    </row>
    <row r="548">
      <c r="A548" s="13" t="inlineStr">
        <is>
          <t>ssa</t>
        </is>
      </c>
      <c r="B548" s="13" t="inlineStr">
        <is>
          <t>ethiopia</t>
        </is>
      </c>
      <c r="C548" s="13" t="inlineStr">
        <is>
          <t>ETH</t>
        </is>
      </c>
      <c r="D548" s="13" t="inlineStr">
        <is>
          <t>Ethiopia</t>
        </is>
      </c>
      <c r="E548" s="13" t="inlineStr">
        <is>
          <t>klik Grocery</t>
        </is>
      </c>
      <c r="F548" s="13" t="inlineStr">
        <is>
          <t>https://klik.delivery/grocery</t>
        </is>
      </c>
      <c r="G548" s="13" t="inlineStr">
        <is>
          <t>PROBED - SKIP</t>
        </is>
      </c>
      <c r="H548" s="13" t="inlineStr">
        <is>
          <t>SKIP</t>
        </is>
      </c>
      <c r="I548" s="13" t="inlineStr">
        <is>
          <t>medium</t>
        </is>
      </c>
      <c r="J548" s="13" t="n">
        <v>0</v>
      </c>
      <c r="K548" s="13" t="inlineStr">
        <is>
          <t>n/a (needs Playwright network trace to find the internal API, not attempted this pass)</t>
        </is>
      </c>
      <c r="L548" s="13" t="inlineStr">
        <is>
          <t>GET /grocery -&gt; 200, 160KB, but body is a Next.js CSR shell (fonts/JS preloads only, no product markup in raw HTML) -- consistent with prior research's own note that 'the web tier shows categories only' and the catalog is in-app.</t>
        </is>
      </c>
      <c r="M548" s="13" t="inlineStr">
        <is>
          <t>ACCEPT</t>
        </is>
      </c>
      <c r="N548" s="13" t="inlineStr">
        <is>
          <t>not scored</t>
        </is>
      </c>
      <c r="O548" s="13" t="inlineStr"/>
      <c r="P548" s="13" t="inlineStr">
        <is>
          <t>Custom</t>
        </is>
      </c>
      <c r="Q548" s="13" t="inlineStr">
        <is>
          <t>ETB</t>
        </is>
      </c>
      <c r="R548" s="13" t="inlineStr">
        <is>
          <t>-</t>
        </is>
      </c>
      <c r="S548" s="13" t="inlineStr">
        <is>
          <t>-</t>
        </is>
      </c>
      <c r="T548" s="13" t="inlineStr">
        <is>
          <t>Live: 1,500+ vendors, Telebirr/M-Pesa/CBE Birr payment, eight categories. Catalogue is in-app; the web tier shows categories only.</t>
        </is>
      </c>
      <c r="U548" s="13" t="inlineStr">
        <is>
          <t>-</t>
        </is>
      </c>
      <c r="V548" s="13" t="inlineStr">
        <is>
          <t>P3</t>
        </is>
      </c>
    </row>
    <row r="549">
      <c r="A549" s="13" t="inlineStr">
        <is>
          <t>ssa</t>
        </is>
      </c>
      <c r="B549" s="13" t="inlineStr">
        <is>
          <t>ethiopia</t>
        </is>
      </c>
      <c r="C549" s="13" t="inlineStr">
        <is>
          <t>ETH</t>
        </is>
      </c>
      <c r="D549" s="13" t="inlineStr">
        <is>
          <t>Ethiopia</t>
        </is>
      </c>
      <c r="E549" s="13" t="inlineStr">
        <is>
          <t>AradaMart</t>
        </is>
      </c>
      <c r="F549" s="13" t="inlineStr">
        <is>
          <t>https://www.aradamart.net/</t>
        </is>
      </c>
      <c r="G549" s="13" t="inlineStr">
        <is>
          <t>PROBED - VIABLE</t>
        </is>
      </c>
      <c r="H549" s="13" t="inlineStr">
        <is>
          <t>TIER_2</t>
        </is>
      </c>
      <c r="I549" s="13" t="inlineStr">
        <is>
          <t>medium</t>
        </is>
      </c>
      <c r="J549" s="13" t="n">
        <v>0</v>
      </c>
      <c r="K549" s="13" t="inlineStr">
        <is>
          <t>unresolved -- needs Wix eCommerce Storefront API discovery (not in platform_fingerprints.md) or Playwright network trace</t>
        </is>
      </c>
      <c r="L549" s="13" t="inlineStr">
        <is>
          <t>GET / -&gt; 200, 2.75MB, but it's a Wix site -- catalog is client-rendered via Wix's own store APIs, not present in raw HTML (only currency='ETB' config strings and SVG icon path data, which is what my first price-pattern grep false-matched on). Confirmed WIX in page markers.</t>
        </is>
      </c>
      <c r="M549" s="13" t="inlineStr">
        <is>
          <t>ACCEPT</t>
        </is>
      </c>
      <c r="N549" s="13" t="inlineStr">
        <is>
          <t>not scored</t>
        </is>
      </c>
      <c r="O549" s="13" t="inlineStr"/>
      <c r="P549" s="13" t="inlineStr">
        <is>
          <t>Wix</t>
        </is>
      </c>
      <c r="Q549" s="13" t="inlineStr">
        <is>
          <t>ETB</t>
        </is>
      </c>
      <c r="R549" s="13" t="inlineStr">
        <is>
          <t>-</t>
        </is>
      </c>
      <c r="S549" s="13" t="inlineStr">
        <is>
          <t>-</t>
        </is>
      </c>
      <c r="T549" s="13" t="inlineStr">
        <is>
          <t>STRONG: birr prices with Amharic product names alongside English (Ginger 500gm ዝንጅብል 93.50). Deep fresh-produce coverage. Amharic names are a bonus for local-item matching.</t>
        </is>
      </c>
      <c r="U549" s="13" t="inlineStr">
        <is>
          <t>-</t>
        </is>
      </c>
      <c r="V549" s="13" t="inlineStr">
        <is>
          <t>P3</t>
        </is>
      </c>
    </row>
    <row r="550">
      <c r="A550" s="13" t="inlineStr">
        <is>
          <t>ssa</t>
        </is>
      </c>
      <c r="B550" s="13" t="inlineStr">
        <is>
          <t>ethiopia</t>
        </is>
      </c>
      <c r="C550" s="13" t="inlineStr">
        <is>
          <t>ETH</t>
        </is>
      </c>
      <c r="D550" s="13" t="inlineStr">
        <is>
          <t>Ethiopia</t>
        </is>
      </c>
      <c r="E550" s="13" t="inlineStr">
        <is>
          <t>Deliver Addis - Market</t>
        </is>
      </c>
      <c r="F550" s="13" t="inlineStr">
        <is>
          <t>https://deliveraddis.com/market</t>
        </is>
      </c>
      <c r="G550" s="13" t="inlineStr">
        <is>
          <t>PROBED - VIABLE</t>
        </is>
      </c>
      <c r="H550" s="13" t="inlineStr">
        <is>
          <t>TIER_1A</t>
        </is>
      </c>
      <c r="I550" s="13" t="inlineStr">
        <is>
          <t>low</t>
        </is>
      </c>
      <c r="J550" s="13" t="n">
        <v>70</v>
      </c>
      <c r="K550" s="13" t="inlineStr">
        <is>
          <t>SSR HTML listing</t>
        </is>
      </c>
      <c r="L550" s="13" t="inlineStr">
        <is>
          <t>GET /market -&gt; 200, 47KB HTML. Real ETB prices in raw HTML: '550.00 ETB', '1,200.00 ETB', '590.00 ETB'.</t>
        </is>
      </c>
      <c r="M550" s="13" t="inlineStr">
        <is>
          <t>ACCEPT</t>
        </is>
      </c>
      <c r="N550" s="13" t="inlineStr">
        <is>
          <t>not scored</t>
        </is>
      </c>
      <c r="O550" s="13" t="inlineStr"/>
      <c r="P550" s="13" t="inlineStr">
        <is>
          <t>Custom</t>
        </is>
      </c>
      <c r="Q550" s="13" t="inlineStr">
        <is>
          <t>ETB</t>
        </is>
      </c>
      <c r="R550" s="13" t="inlineStr">
        <is>
          <t>-</t>
        </is>
      </c>
      <c r="S550" s="13" t="inlineStr">
        <is>
          <t>-</t>
        </is>
      </c>
      <c r="T550" s="13" t="inlineStr">
        <is>
          <t>Live: ETB prices, and it states 'no added markups or extra fees, just the same prices online as you'll get in store' - unusually explicit about price fidelity to shelf prices.</t>
        </is>
      </c>
      <c r="U550" s="13" t="inlineStr">
        <is>
          <t>-</t>
        </is>
      </c>
      <c r="V550" s="13" t="inlineStr">
        <is>
          <t>P3</t>
        </is>
      </c>
    </row>
    <row r="551">
      <c r="A551" s="13" t="inlineStr">
        <is>
          <t>ssa</t>
        </is>
      </c>
      <c r="B551" s="13" t="inlineStr">
        <is>
          <t>gabon</t>
        </is>
      </c>
      <c r="C551" s="13" t="inlineStr">
        <is>
          <t>GAB</t>
        </is>
      </c>
      <c r="D551" s="13" t="inlineStr">
        <is>
          <t>Gabon</t>
        </is>
      </c>
      <c r="E551" s="13" t="inlineStr">
        <is>
          <t>Libre-Go Livraison</t>
        </is>
      </c>
      <c r="F551" s="13" t="inlineStr">
        <is>
          <t>https://www.libregolivraisons.ga/</t>
        </is>
      </c>
      <c r="G551" s="13" t="inlineStr">
        <is>
          <t>NOT PROBED - deduped, already onboarded, or time-boxed</t>
        </is>
      </c>
      <c r="H551" s="13" t="inlineStr"/>
      <c r="I551" s="13" t="inlineStr"/>
      <c r="J551" s="13" t="inlineStr"/>
      <c r="K551" s="13" t="inlineStr"/>
      <c r="L551" s="13" t="inlineStr"/>
      <c r="M551" s="13" t="inlineStr">
        <is>
          <t>SUSPECT</t>
        </is>
      </c>
      <c r="N551" s="13" t="inlineStr">
        <is>
          <t>not scored</t>
        </is>
      </c>
      <c r="O551" s="13" t="inlineStr"/>
      <c r="P551" s="13" t="inlineStr">
        <is>
          <t>Custom</t>
        </is>
      </c>
      <c r="Q551" s="13" t="inlineStr">
        <is>
          <t>XAF</t>
        </is>
      </c>
      <c r="R551" s="13" t="inlineStr">
        <is>
          <t>-</t>
        </is>
      </c>
      <c r="S551" s="13" t="inlineStr">
        <is>
          <t>-</t>
        </is>
      </c>
      <c r="T551" s="13" t="inlineStr">
        <is>
          <t>Live Libreville courier with FCFA compensation terms, but catalogue sits behind login.</t>
        </is>
      </c>
      <c r="U551" s="13" t="inlineStr">
        <is>
          <t>-</t>
        </is>
      </c>
      <c r="V551" s="13" t="inlineStr">
        <is>
          <t>P2</t>
        </is>
      </c>
    </row>
    <row r="552">
      <c r="A552" s="13" t="inlineStr">
        <is>
          <t>ssa</t>
        </is>
      </c>
      <c r="B552" s="13" t="inlineStr">
        <is>
          <t>gabon</t>
        </is>
      </c>
      <c r="C552" s="13" t="inlineStr">
        <is>
          <t>GAB</t>
        </is>
      </c>
      <c r="D552" s="13" t="inlineStr">
        <is>
          <t>Gabon</t>
        </is>
      </c>
      <c r="E552" s="13" t="inlineStr">
        <is>
          <t>Ouiket</t>
        </is>
      </c>
      <c r="F552" s="13" t="inlineStr">
        <is>
          <t>https://ouiket.com/</t>
        </is>
      </c>
      <c r="G552" s="13" t="inlineStr">
        <is>
          <t>NOT PROBED - deduped, already onboarded, or time-boxed</t>
        </is>
      </c>
      <c r="H552" s="13" t="inlineStr"/>
      <c r="I552" s="13" t="inlineStr"/>
      <c r="J552" s="13" t="inlineStr"/>
      <c r="K552" s="13" t="inlineStr"/>
      <c r="L552" s="13" t="inlineStr"/>
      <c r="M552" s="13" t="inlineStr">
        <is>
          <t>REJECT</t>
        </is>
      </c>
      <c r="N552" s="13" t="inlineStr">
        <is>
          <t>not scored</t>
        </is>
      </c>
      <c r="O552" s="13" t="inlineStr"/>
      <c r="P552" s="13" t="inlineStr">
        <is>
          <t>Shopify</t>
        </is>
      </c>
      <c r="Q552" s="13" t="inlineStr">
        <is>
          <t>EUR</t>
        </is>
      </c>
      <c r="R552" s="13" t="inlineStr">
        <is>
          <t>-</t>
        </is>
      </c>
      <c r="S552" s="13" t="inlineStr">
        <is>
          <t>-</t>
        </is>
      </c>
      <c r="T552" s="13" t="inlineStr">
        <is>
          <t>T1/T2 FAIL: EUR prices, +33 French phone, explicitly for 'gabonais de la diaspora'.</t>
        </is>
      </c>
      <c r="U552" s="13" t="inlineStr">
        <is>
          <t>-</t>
        </is>
      </c>
      <c r="V552" s="13" t="inlineStr">
        <is>
          <t>P1</t>
        </is>
      </c>
    </row>
    <row r="553">
      <c r="A553" s="13" t="inlineStr">
        <is>
          <t>ssa</t>
        </is>
      </c>
      <c r="B553" s="13" t="inlineStr">
        <is>
          <t>gabon</t>
        </is>
      </c>
      <c r="C553" s="13" t="inlineStr">
        <is>
          <t>GAB</t>
        </is>
      </c>
      <c r="D553" s="13" t="inlineStr">
        <is>
          <t>Gabon</t>
        </is>
      </c>
      <c r="E553" s="13" t="inlineStr">
        <is>
          <t>Ceca Gadis</t>
        </is>
      </c>
      <c r="F553" s="13" t="inlineStr">
        <is>
          <t>https://cecagadis.ga/</t>
        </is>
      </c>
      <c r="G553" s="13" t="inlineStr">
        <is>
          <t>PROBED - SKIP</t>
        </is>
      </c>
      <c r="H553" s="13" t="inlineStr">
        <is>
          <t>SKIP</t>
        </is>
      </c>
      <c r="I553" s="13" t="inlineStr">
        <is>
          <t>high</t>
        </is>
      </c>
      <c r="J553" s="13" t="n">
        <v>0</v>
      </c>
      <c r="K553" s="13" t="inlineStr"/>
      <c r="L553" s="13" t="inlineStr">
        <is>
          <t>DNS NXDOMAIN.</t>
        </is>
      </c>
      <c r="M553" s="13" t="inlineStr">
        <is>
          <t>SUSPECT</t>
        </is>
      </c>
      <c r="N553" s="13" t="inlineStr">
        <is>
          <t>not scored</t>
        </is>
      </c>
      <c r="O553" s="13" t="inlineStr"/>
      <c r="P553" s="13" t="inlineStr">
        <is>
          <t>WordPress/WooCommerce</t>
        </is>
      </c>
      <c r="Q553" s="13" t="inlineStr">
        <is>
          <t>XAF</t>
        </is>
      </c>
      <c r="R553" s="13" t="inlineStr">
        <is>
          <t>-</t>
        </is>
      </c>
      <c r="S553" s="13" t="inlineStr">
        <is>
          <t>-</t>
        </is>
      </c>
      <c r="T553" s="13" t="inlineStr">
        <is>
          <t>Carried from v2; unverified.</t>
        </is>
      </c>
      <c r="U553" s="13" t="inlineStr">
        <is>
          <t>-</t>
        </is>
      </c>
      <c r="V553" s="13" t="inlineStr">
        <is>
          <t>P1</t>
        </is>
      </c>
    </row>
    <row r="554">
      <c r="A554" s="13" t="inlineStr">
        <is>
          <t>ssa</t>
        </is>
      </c>
      <c r="B554" s="13" t="inlineStr">
        <is>
          <t>gabon</t>
        </is>
      </c>
      <c r="C554" s="13" t="inlineStr">
        <is>
          <t>GAB</t>
        </is>
      </c>
      <c r="D554" s="13" t="inlineStr">
        <is>
          <t>Gabon</t>
        </is>
      </c>
      <c r="E554" s="13" t="inlineStr">
        <is>
          <t>Cerise</t>
        </is>
      </c>
      <c r="F554" s="13" t="inlineStr">
        <is>
          <t>https://cerise.ga/</t>
        </is>
      </c>
      <c r="G554" s="13" t="inlineStr">
        <is>
          <t>PROBED - SKIP</t>
        </is>
      </c>
      <c r="H554" s="13" t="inlineStr">
        <is>
          <t>SKIP</t>
        </is>
      </c>
      <c r="I554" s="13" t="inlineStr">
        <is>
          <t>high</t>
        </is>
      </c>
      <c r="J554" s="13" t="n">
        <v>0</v>
      </c>
      <c r="K554" s="13" t="inlineStr"/>
      <c r="L554" s="13" t="inlineStr">
        <is>
          <t>3 separate probes (initial + 2 retries, several minutes apart) all returned HTTP 503 with Cloudflare headers; one retry's body contained the literal string 'challenge' alongside CLOUDFLARE branding -- consistent with a Cloudflare interactive challenge, not a transient outage.</t>
        </is>
      </c>
      <c r="M554" s="13" t="inlineStr">
        <is>
          <t>ACCEPT</t>
        </is>
      </c>
      <c r="N554" s="13" t="inlineStr">
        <is>
          <t>not scored</t>
        </is>
      </c>
      <c r="O554" s="13" t="inlineStr"/>
      <c r="P554" s="13" t="inlineStr">
        <is>
          <t>Custom</t>
        </is>
      </c>
      <c r="Q554" s="13" t="inlineStr">
        <is>
          <t>XAF</t>
        </is>
      </c>
      <c r="R554" s="13" t="inlineStr">
        <is>
          <t>-</t>
        </is>
      </c>
      <c r="S554" s="13" t="inlineStr">
        <is>
          <t>-</t>
        </is>
      </c>
      <c r="T554" s="13" t="inlineStr">
        <is>
          <t>STRONG: full supermarket taxonomy (Produits Frais, Surgeles, Epicerie, Boissons, Hygiene, Menage, Bebe, Animalerie) with FCFA prices and discount percentages. Local beer (REGAB 550 FCFA) alongside imports. Best Gabon source by a wide margin.</t>
        </is>
      </c>
      <c r="U554" s="13" t="inlineStr">
        <is>
          <t>-</t>
        </is>
      </c>
      <c r="V554" s="13" t="inlineStr">
        <is>
          <t>P2</t>
        </is>
      </c>
    </row>
    <row r="555">
      <c r="A555" s="13" t="inlineStr">
        <is>
          <t>ssa</t>
        </is>
      </c>
      <c r="B555" s="13" t="inlineStr">
        <is>
          <t>gabon</t>
        </is>
      </c>
      <c r="C555" s="13" t="inlineStr">
        <is>
          <t>GAB</t>
        </is>
      </c>
      <c r="D555" s="13" t="inlineStr">
        <is>
          <t>Gabon</t>
        </is>
      </c>
      <c r="E555" s="13" t="inlineStr">
        <is>
          <t>Malumbi</t>
        </is>
      </c>
      <c r="F555" s="13" t="inlineStr">
        <is>
          <t>https://malumbi.com/</t>
        </is>
      </c>
      <c r="G555" s="13" t="inlineStr">
        <is>
          <t>PROBED - SKIP</t>
        </is>
      </c>
      <c r="H555" s="13" t="inlineStr">
        <is>
          <t>SKIP</t>
        </is>
      </c>
      <c r="I555" s="13" t="inlineStr">
        <is>
          <t>low</t>
        </is>
      </c>
      <c r="J555" s="13" t="n">
        <v>0</v>
      </c>
      <c r="K555" s="13" t="inlineStr"/>
      <c r="L555" s="13" t="inlineStr">
        <is>
          <t>Both / and /17-epicerie returned HTTP 503 across 2 probe rounds with an OVHcloud 'Website unavailable' branded error page (not Cloudflare) -- a genuine hosting-level outage at the origin, not a WAF.</t>
        </is>
      </c>
      <c r="M555" s="13" t="inlineStr">
        <is>
          <t>ACCEPT</t>
        </is>
      </c>
      <c r="N555" s="13" t="inlineStr">
        <is>
          <t>not scored</t>
        </is>
      </c>
      <c r="O555" s="13" t="inlineStr"/>
      <c r="P555" s="13" t="inlineStr">
        <is>
          <t>PrestaShop</t>
        </is>
      </c>
      <c r="Q555" s="13" t="inlineStr">
        <is>
          <t>XAF</t>
        </is>
      </c>
      <c r="R555" s="13" t="inlineStr">
        <is>
          <t>-</t>
        </is>
      </c>
      <c r="S555" s="13" t="inlineStr">
        <is>
          <t>-</t>
        </is>
      </c>
      <c r="T555" s="13" t="inlineStr">
        <is>
          <t>STRONG: FCFA prices across epicerie/fruits/viandes; PrestaShop, Airtel Money checkout.</t>
        </is>
      </c>
      <c r="U555" s="13" t="inlineStr">
        <is>
          <t>-</t>
        </is>
      </c>
      <c r="V555" s="13" t="inlineStr">
        <is>
          <t>P1</t>
        </is>
      </c>
    </row>
    <row r="556">
      <c r="A556" s="13" t="inlineStr">
        <is>
          <t>ssa</t>
        </is>
      </c>
      <c r="B556" s="13" t="inlineStr">
        <is>
          <t>gabon</t>
        </is>
      </c>
      <c r="C556" s="13" t="inlineStr">
        <is>
          <t>GAB</t>
        </is>
      </c>
      <c r="D556" s="13" t="inlineStr">
        <is>
          <t>Gabon</t>
        </is>
      </c>
      <c r="E556" s="13" t="inlineStr">
        <is>
          <t>Malumbi</t>
        </is>
      </c>
      <c r="F556" s="13" t="inlineStr">
        <is>
          <t>https://malumbi.com/17-epicerie</t>
        </is>
      </c>
      <c r="G556" s="13" t="inlineStr">
        <is>
          <t>PROBED - SKIP</t>
        </is>
      </c>
      <c r="H556" s="13" t="inlineStr">
        <is>
          <t>SKIP</t>
        </is>
      </c>
      <c r="I556" s="13" t="inlineStr">
        <is>
          <t>low</t>
        </is>
      </c>
      <c r="J556" s="13" t="n">
        <v>0</v>
      </c>
      <c r="K556" s="13" t="inlineStr"/>
      <c r="L556" s="13" t="inlineStr">
        <is>
          <t>Both / and /17-epicerie returned HTTP 503 across 2 probe rounds with an OVHcloud 'Website unavailable' branded error page (not Cloudflare) -- a genuine hosting-level outage at the origin, not a WAF.</t>
        </is>
      </c>
      <c r="M556" s="13" t="inlineStr">
        <is>
          <t>ACCEPT</t>
        </is>
      </c>
      <c r="N556" s="13" t="inlineStr">
        <is>
          <t>not scored</t>
        </is>
      </c>
      <c r="O556" s="13" t="inlineStr"/>
      <c r="P556" s="13" t="inlineStr">
        <is>
          <t>PrestaShop</t>
        </is>
      </c>
      <c r="Q556" s="13" t="inlineStr">
        <is>
          <t>XAF</t>
        </is>
      </c>
      <c r="R556" s="13" t="inlineStr">
        <is>
          <t>-</t>
        </is>
      </c>
      <c r="S556" s="13" t="inlineStr">
        <is>
          <t>-</t>
        </is>
      </c>
      <c r="T556" s="13" t="inlineStr">
        <is>
          <t>CONFIRMED PrestaShop with FCFA prices, but the Epicerie category holds only 6 products. Catalogue is thin - good for staples (rice 10kg 12,000 FCFA, oil 5L 9,000 FCFA) only.</t>
        </is>
      </c>
      <c r="U556" s="13" t="inlineStr">
        <is>
          <t>-</t>
        </is>
      </c>
      <c r="V556" s="13" t="inlineStr">
        <is>
          <t>P2</t>
        </is>
      </c>
    </row>
    <row r="557">
      <c r="A557" s="13" t="inlineStr">
        <is>
          <t>ssa</t>
        </is>
      </c>
      <c r="B557" s="13" t="inlineStr">
        <is>
          <t>gabon</t>
        </is>
      </c>
      <c r="C557" s="13" t="inlineStr">
        <is>
          <t>GAB</t>
        </is>
      </c>
      <c r="D557" s="13" t="inlineStr">
        <is>
          <t>Gabon</t>
        </is>
      </c>
      <c r="E557" s="13" t="inlineStr">
        <is>
          <t>SendMonTchop</t>
        </is>
      </c>
      <c r="F557" s="13" t="inlineStr">
        <is>
          <t>https://sendmontchop.com/</t>
        </is>
      </c>
      <c r="G557" s="13" t="inlineStr">
        <is>
          <t>PROBED - SKIP</t>
        </is>
      </c>
      <c r="H557" s="13" t="inlineStr">
        <is>
          <t>SKIP</t>
        </is>
      </c>
      <c r="I557" s="13" t="inlineStr">
        <is>
          <t>medium</t>
        </is>
      </c>
      <c r="J557" s="13" t="n">
        <v>0</v>
      </c>
      <c r="K557" s="13" t="inlineStr"/>
      <c r="L557" s="13" t="inlineStr">
        <is>
          <t>GET / -&gt; 200, 44KB. Angular SSR app (data-critters-container marker = Angular Universal prerendering) but no price or FCFA text in the delivered HTML; per prior research this is restaurant-led, not a grocery catalog.</t>
        </is>
      </c>
      <c r="M557" s="13" t="inlineStr">
        <is>
          <t>SUSPECT</t>
        </is>
      </c>
      <c r="N557" s="13" t="inlineStr">
        <is>
          <t>not scored</t>
        </is>
      </c>
      <c r="O557" s="13" t="inlineStr"/>
      <c r="P557" s="13" t="inlineStr">
        <is>
          <t>Custom</t>
        </is>
      </c>
      <c r="Q557" s="13" t="inlineStr">
        <is>
          <t>XAF</t>
        </is>
      </c>
      <c r="R557" s="13" t="inlineStr">
        <is>
          <t>-</t>
        </is>
      </c>
      <c r="S557" s="13" t="inlineStr">
        <is>
          <t>-</t>
        </is>
      </c>
      <c r="T557" s="13" t="inlineStr">
        <is>
          <t>Live but restaurant-led; grocery depth unclear.</t>
        </is>
      </c>
      <c r="U557" s="13" t="inlineStr">
        <is>
          <t>-</t>
        </is>
      </c>
      <c r="V557" s="13" t="inlineStr">
        <is>
          <t>P1</t>
        </is>
      </c>
    </row>
    <row r="558">
      <c r="A558" s="13" t="inlineStr">
        <is>
          <t>ssa</t>
        </is>
      </c>
      <c r="B558" s="13" t="inlineStr">
        <is>
          <t>gabon</t>
        </is>
      </c>
      <c r="C558" s="13" t="inlineStr">
        <is>
          <t>GAB</t>
        </is>
      </c>
      <c r="D558" s="13" t="inlineStr">
        <is>
          <t>Gabon</t>
        </is>
      </c>
      <c r="E558" s="13" t="inlineStr">
        <is>
          <t>Chap Chap Gabon</t>
        </is>
      </c>
      <c r="F558" s="13" t="inlineStr">
        <is>
          <t>https://chapchapgabon.com/</t>
        </is>
      </c>
      <c r="G558" s="13" t="inlineStr">
        <is>
          <t>PROBED - VIABLE</t>
        </is>
      </c>
      <c r="H558" s="13" t="inlineStr">
        <is>
          <t>TIER_2</t>
        </is>
      </c>
      <c r="I558" s="13" t="inlineStr">
        <is>
          <t>medium</t>
        </is>
      </c>
      <c r="J558" s="13" t="n">
        <v>0</v>
      </c>
      <c r="K558" s="13" t="inlineStr">
        <is>
          <t>unresolved -- needs Playwright network trace</t>
        </is>
      </c>
      <c r="L558" s="13" t="inlineStr">
        <is>
          <t>GET / -&gt; 200, 345KB, but confirmed React in the bundle and no price class / FCFA pattern in raw HTML. An earlier 'sapo' fingerprint hit was a false positive (a base64-looking string containing the substring 'sapo', not the Sapo platform).</t>
        </is>
      </c>
      <c r="M558" s="13" t="inlineStr">
        <is>
          <t>ACCEPT</t>
        </is>
      </c>
      <c r="N558" s="13" t="inlineStr">
        <is>
          <t>not scored</t>
        </is>
      </c>
      <c r="O558" s="13" t="inlineStr"/>
      <c r="P558" s="13" t="inlineStr">
        <is>
          <t>Custom</t>
        </is>
      </c>
      <c r="Q558" s="13" t="inlineStr">
        <is>
          <t>XAF</t>
        </is>
      </c>
      <c r="R558" s="13" t="inlineStr">
        <is>
          <t>-</t>
        </is>
      </c>
      <c r="S558" s="13" t="inlineStr">
        <is>
          <t>-</t>
        </is>
      </c>
      <c r="T558" s="13" t="inlineStr">
        <is>
          <t>Live: 12 cities, epiceries vertical, Airtel/Moov Money.</t>
        </is>
      </c>
      <c r="U558" s="13" t="inlineStr">
        <is>
          <t>-</t>
        </is>
      </c>
      <c r="V558" s="13" t="inlineStr">
        <is>
          <t>P1</t>
        </is>
      </c>
    </row>
    <row r="559">
      <c r="A559" s="13" t="inlineStr">
        <is>
          <t>ssa</t>
        </is>
      </c>
      <c r="B559" s="13" t="inlineStr">
        <is>
          <t>ghana</t>
        </is>
      </c>
      <c r="C559" s="13" t="inlineStr">
        <is>
          <t>GHA</t>
        </is>
      </c>
      <c r="D559" s="13" t="inlineStr">
        <is>
          <t>Ghana</t>
        </is>
      </c>
      <c r="E559" s="13" t="inlineStr">
        <is>
          <t>Bolt Market Ghana</t>
        </is>
      </c>
      <c r="F559" s="13" t="inlineStr">
        <is>
          <t>https://bolt.eu/en-gh/food/market/</t>
        </is>
      </c>
      <c r="G559" s="13" t="inlineStr">
        <is>
          <t>NOT PROBED - deduped, already onboarded, or time-boxed</t>
        </is>
      </c>
      <c r="H559" s="13" t="inlineStr"/>
      <c r="I559" s="13" t="inlineStr"/>
      <c r="J559" s="13" t="inlineStr"/>
      <c r="K559" s="13" t="inlineStr"/>
      <c r="L559" s="13" t="inlineStr"/>
      <c r="M559" s="13" t="inlineStr">
        <is>
          <t>ACCEPT</t>
        </is>
      </c>
      <c r="N559" s="13" t="inlineStr">
        <is>
          <t>C - engineering required</t>
        </is>
      </c>
      <c r="O559" s="13" t="n">
        <v>3</v>
      </c>
      <c r="P559" s="13" t="inlineStr">
        <is>
          <t>Custom</t>
        </is>
      </c>
      <c r="Q559" s="13" t="inlineStr">
        <is>
          <t>GHS</t>
        </is>
      </c>
      <c r="R559" s="13" t="inlineStr">
        <is>
          <t>Investigate the Bolt Food app API rather than the marketing page.</t>
        </is>
      </c>
      <c r="S559" s="13" t="inlineStr">
        <is>
          <t>current</t>
        </is>
      </c>
      <c r="T559" s="13" t="inlineStr">
        <is>
          <t>KEY AGGREGATION POINT. As of Sept 2025 Bolt Food Ghana has partnerships with ALL major grocery and retail brands: Melcom, Maxmart, Fairway, Palace, Sneda and Kwikmart, plus pharmacies, frozen food and alcohol. 3,500+ products. One adapter therefore reaches six chains that in several cases have no independent web catalogue.</t>
        </is>
      </c>
      <c r="U559" s="13" t="inlineStr">
        <is>
          <t>Catalogue is inside the Bolt Food app; the web page is marketing. Requires app-API work.</t>
        </is>
      </c>
      <c r="V559" s="13" t="inlineStr">
        <is>
          <t>P6</t>
        </is>
      </c>
    </row>
    <row r="560">
      <c r="A560" s="13" t="inlineStr">
        <is>
          <t>ssa</t>
        </is>
      </c>
      <c r="B560" s="13" t="inlineStr">
        <is>
          <t>ghana</t>
        </is>
      </c>
      <c r="C560" s="13" t="inlineStr">
        <is>
          <t>GHA</t>
        </is>
      </c>
      <c r="D560" s="13" t="inlineStr">
        <is>
          <t>Ghana</t>
        </is>
      </c>
      <c r="E560" s="13" t="inlineStr">
        <is>
          <t>Kejetia.net</t>
        </is>
      </c>
      <c r="F560" s="13" t="inlineStr">
        <is>
          <t>https://www.kejetia.net/</t>
        </is>
      </c>
      <c r="G560" s="13" t="inlineStr">
        <is>
          <t>NOT PROBED - deduped, already onboarded, or time-boxed</t>
        </is>
      </c>
      <c r="H560" s="13" t="inlineStr"/>
      <c r="I560" s="13" t="inlineStr"/>
      <c r="J560" s="13" t="inlineStr"/>
      <c r="K560" s="13" t="inlineStr"/>
      <c r="L560" s="13" t="inlineStr"/>
      <c r="M560" s="13" t="inlineStr">
        <is>
          <t>REJECT</t>
        </is>
      </c>
      <c r="N560" s="13" t="inlineStr">
        <is>
          <t>not scored</t>
        </is>
      </c>
      <c r="O560" s="13" t="inlineStr"/>
      <c r="P560" s="13" t="inlineStr">
        <is>
          <t>Custom</t>
        </is>
      </c>
      <c r="Q560" s="13" t="inlineStr">
        <is>
          <t>CAD</t>
        </is>
      </c>
      <c r="R560" s="13" t="inlineStr">
        <is>
          <t>-</t>
        </is>
      </c>
      <c r="S560" s="13" t="inlineStr">
        <is>
          <t>-</t>
        </is>
      </c>
      <c r="T560" s="13" t="inlineStr">
        <is>
          <t>T1/T2 FAIL: prices in CANADIAN DOLLARS. 'Grocery shopping for Ghanaians at Home &amp; Abroad' - diaspora operation. Not Ghanaian domestic prices.</t>
        </is>
      </c>
      <c r="U560" s="13" t="inlineStr">
        <is>
          <t>-</t>
        </is>
      </c>
      <c r="V560" s="13" t="inlineStr">
        <is>
          <t>P5</t>
        </is>
      </c>
    </row>
    <row r="561">
      <c r="A561" s="13" t="inlineStr">
        <is>
          <t>ssa</t>
        </is>
      </c>
      <c r="B561" s="13" t="inlineStr">
        <is>
          <t>ghana</t>
        </is>
      </c>
      <c r="C561" s="13" t="inlineStr">
        <is>
          <t>GHA</t>
        </is>
      </c>
      <c r="D561" s="13" t="inlineStr">
        <is>
          <t>Ghana</t>
        </is>
      </c>
      <c r="E561" s="13" t="inlineStr">
        <is>
          <t>Chowdeck Ghana</t>
        </is>
      </c>
      <c r="F561" s="13" t="inlineStr">
        <is>
          <t>https://chowdeck.com/</t>
        </is>
      </c>
      <c r="G561" s="13" t="inlineStr">
        <is>
          <t>PROBED - SKIP</t>
        </is>
      </c>
      <c r="H561" s="13" t="inlineStr">
        <is>
          <t>SKIP</t>
        </is>
      </c>
      <c r="I561" s="13" t="inlineStr">
        <is>
          <t>medium</t>
        </is>
      </c>
      <c r="J561" s="13" t="n">
        <v>0</v>
      </c>
      <c r="K561" s="13" t="inlineStr">
        <is>
          <t>not probed</t>
        </is>
      </c>
      <c r="L561" s="13" t="inlineStr">
        <is>
          <t>Not probed this pass (time budget). CSV flags this as SUSPECT, recently entered Ghana (May 2025), delivers both meals and groceries.</t>
        </is>
      </c>
      <c r="M561" s="13" t="inlineStr">
        <is>
          <t>SUSPECT</t>
        </is>
      </c>
      <c r="N561" s="13" t="inlineStr">
        <is>
          <t>C - engineering required</t>
        </is>
      </c>
      <c r="O561" s="13" t="n">
        <v>3</v>
      </c>
      <c r="P561" s="13" t="inlineStr">
        <is>
          <t>Custom</t>
        </is>
      </c>
      <c r="Q561" s="13" t="inlineStr">
        <is>
          <t>GHS</t>
        </is>
      </c>
      <c r="R561" s="13" t="inlineStr">
        <is>
          <t>-</t>
        </is>
      </c>
      <c r="S561" s="13" t="inlineStr">
        <is>
          <t>current</t>
        </is>
      </c>
      <c r="T561" s="13" t="inlineStr">
        <is>
          <t>Entered Ghana May 2025 covering Osu, Cantonments, Labone, Airport, Dzorwulu, East Legon, Madina, Adenta, Oyarifa, Abokobi. Delivers groceries as well as meals.</t>
        </is>
      </c>
      <c r="U561" s="13" t="inlineStr">
        <is>
          <t>-</t>
        </is>
      </c>
      <c r="V561" s="13" t="inlineStr">
        <is>
          <t>P6</t>
        </is>
      </c>
    </row>
    <row r="562">
      <c r="A562" s="13" t="inlineStr">
        <is>
          <t>ssa</t>
        </is>
      </c>
      <c r="B562" s="13" t="inlineStr">
        <is>
          <t>ghana</t>
        </is>
      </c>
      <c r="C562" s="13" t="inlineStr">
        <is>
          <t>GHA</t>
        </is>
      </c>
      <c r="D562" s="13" t="inlineStr">
        <is>
          <t>Ghana</t>
        </is>
      </c>
      <c r="E562" s="13" t="inlineStr">
        <is>
          <t>Glovo Ghana</t>
        </is>
      </c>
      <c r="F562" s="13" t="inlineStr">
        <is>
          <t>https://glovoapp.com/gh/</t>
        </is>
      </c>
      <c r="G562" s="13" t="inlineStr">
        <is>
          <t>PROBED - SKIP</t>
        </is>
      </c>
      <c r="H562" s="13" t="inlineStr">
        <is>
          <t>SKIP</t>
        </is>
      </c>
      <c r="I562" s="13" t="inlineStr">
        <is>
          <t>medium</t>
        </is>
      </c>
      <c r="J562" s="13" t="n">
        <v>0</v>
      </c>
      <c r="K562" s="13" t="inlineStr"/>
      <c r="L562" s="13" t="inlineStr">
        <is>
          <t>Not independently re-probed this round; CSV notes catalogue is client-rendered (SPA).</t>
        </is>
      </c>
      <c r="M562" s="13" t="inlineStr">
        <is>
          <t>ARCHIVE</t>
        </is>
      </c>
      <c r="N562" s="13" t="inlineStr">
        <is>
          <t>D - hard / app / index only</t>
        </is>
      </c>
      <c r="O562" s="13" t="n">
        <v>1</v>
      </c>
      <c r="P562" s="13" t="inlineStr">
        <is>
          <t>Custom</t>
        </is>
      </c>
      <c r="Q562" s="13" t="inlineStr">
        <is>
          <t>GHS</t>
        </is>
      </c>
      <c r="R562" s="13" t="inlineStr">
        <is>
          <t>Wayback CDX only.</t>
        </is>
      </c>
      <c r="S562" s="13" t="inlineStr">
        <is>
          <t>-</t>
        </is>
      </c>
      <c r="T562" s="13" t="inlineStr">
        <is>
          <t>EXITED GHANA on 10 May 2024 citing profitability. ARCHIVE tier: any historical Glovo Ghana data retains value, but do not schedule live crawls. Important counter-example to the assumption that a multi-country operator is present wherever it has a country path.</t>
        </is>
      </c>
      <c r="U562" s="13" t="inlineStr">
        <is>
          <t>A /gh/ URL path may still resolve without the operator trading there.</t>
        </is>
      </c>
      <c r="V562" s="13" t="inlineStr">
        <is>
          <t>P6</t>
        </is>
      </c>
    </row>
    <row r="563">
      <c r="A563" s="13" t="inlineStr">
        <is>
          <t>ssa</t>
        </is>
      </c>
      <c r="B563" s="13" t="inlineStr">
        <is>
          <t>ghana</t>
        </is>
      </c>
      <c r="C563" s="13" t="inlineStr">
        <is>
          <t>GHA</t>
        </is>
      </c>
      <c r="D563" s="13" t="inlineStr">
        <is>
          <t>Ghana</t>
        </is>
      </c>
      <c r="E563" s="13" t="inlineStr">
        <is>
          <t>Jumia Ghana</t>
        </is>
      </c>
      <c r="F563" s="13" t="inlineStr">
        <is>
          <t>https://www.jumia.com.gh/groceries/</t>
        </is>
      </c>
      <c r="G563" s="13" t="inlineStr">
        <is>
          <t>PROBED - SKIP</t>
        </is>
      </c>
      <c r="H563" s="13" t="inlineStr">
        <is>
          <t>SKIP</t>
        </is>
      </c>
      <c r="I563" s="13" t="inlineStr">
        <is>
          <t>high</t>
        </is>
      </c>
      <c r="J563" s="13" t="n">
        <v>0</v>
      </c>
      <c r="K563" s="13" t="inlineStr"/>
      <c r="L563" s="13" t="inlineStr">
        <is>
          <t>curl -&gt; HTTP 403 with response header cf-mitigated: challenge and a Cloudflare Turnstile CSP reference. This is the documented 'Cloudflare interactive challenge' blocker class in known_blockers.md, explicitly flagged there as a dedicated multi-hour bypass effort (not routine onboarding work) requiring scrapy-playwright + stealth + possibly residential proxies.</t>
        </is>
      </c>
      <c r="M563" s="13" t="inlineStr">
        <is>
          <t>ACCEPT</t>
        </is>
      </c>
      <c r="N563" s="13" t="inlineStr">
        <is>
          <t>C - engineering required</t>
        </is>
      </c>
      <c r="O563" s="13" t="n">
        <v>3</v>
      </c>
      <c r="P563" s="13" t="inlineStr">
        <is>
          <t>Custom</t>
        </is>
      </c>
      <c r="Q563" s="13" t="inlineStr">
        <is>
          <t>GHS</t>
        </is>
      </c>
      <c r="R563" s="13" t="inlineStr">
        <is>
          <t>-</t>
        </is>
      </c>
      <c r="S563" s="13" t="inlineStr">
        <is>
          <t>current, discount_pct</t>
        </is>
      </c>
      <c r="T563" s="13" t="inlineStr">
        <is>
          <t>Server-rendered. One Jumia adapter covers roughly eight African markets.</t>
        </is>
      </c>
      <c r="U563" s="13" t="inlineStr">
        <is>
          <t>The /groceries/ path returns substantial non-food; use narrower category URLs.</t>
        </is>
      </c>
      <c r="V563" s="13" t="inlineStr">
        <is>
          <t>P6</t>
        </is>
      </c>
    </row>
    <row r="564">
      <c r="A564" s="13" t="inlineStr">
        <is>
          <t>ssa</t>
        </is>
      </c>
      <c r="B564" s="13" t="inlineStr">
        <is>
          <t>ghana</t>
        </is>
      </c>
      <c r="C564" s="13" t="inlineStr">
        <is>
          <t>GHA</t>
        </is>
      </c>
      <c r="D564" s="13" t="inlineStr">
        <is>
          <t>Ghana</t>
        </is>
      </c>
      <c r="E564" s="13" t="inlineStr">
        <is>
          <t>Jumia Ghana groceries</t>
        </is>
      </c>
      <c r="F564" s="13" t="inlineStr">
        <is>
          <t>https://www.jumia.com.gh/groceries/</t>
        </is>
      </c>
      <c r="G564" s="13" t="inlineStr">
        <is>
          <t>PROBED - SKIP</t>
        </is>
      </c>
      <c r="H564" s="13" t="inlineStr">
        <is>
          <t>SKIP</t>
        </is>
      </c>
      <c r="I564" s="13" t="inlineStr">
        <is>
          <t>high</t>
        </is>
      </c>
      <c r="J564" s="13" t="n">
        <v>0</v>
      </c>
      <c r="K564" s="13" t="inlineStr"/>
      <c r="L564" s="13" t="inlineStr">
        <is>
          <t>curl -&gt; HTTP 403 with response header cf-mitigated: challenge and a Cloudflare Turnstile CSP reference. This is the documented 'Cloudflare interactive challenge' blocker class in known_blockers.md, explicitly flagged there as a dedicated multi-hour bypass effort (not routine onboarding work) requiring scrapy-playwright + stealth + possibly residential proxies.</t>
        </is>
      </c>
      <c r="M564" s="13" t="inlineStr">
        <is>
          <t>ACCEPT</t>
        </is>
      </c>
      <c r="N564" s="13" t="inlineStr">
        <is>
          <t>not scored</t>
        </is>
      </c>
      <c r="O564" s="13" t="inlineStr"/>
      <c r="P564" s="13" t="inlineStr">
        <is>
          <t>Custom</t>
        </is>
      </c>
      <c r="Q564" s="13" t="inlineStr">
        <is>
          <t>GHS</t>
        </is>
      </c>
      <c r="R564" s="13" t="inlineStr">
        <is>
          <t>-</t>
        </is>
      </c>
      <c r="S564" s="13" t="inlineStr">
        <is>
          <t>-</t>
        </is>
      </c>
      <c r="T564" s="13" t="inlineStr">
        <is>
          <t>Server-rendered with GH cedi prices and discount percentages across rice, oils, beverages.</t>
        </is>
      </c>
      <c r="U564" s="13" t="inlineStr">
        <is>
          <t>-</t>
        </is>
      </c>
      <c r="V564" s="13" t="inlineStr">
        <is>
          <t>P5</t>
        </is>
      </c>
    </row>
    <row r="565">
      <c r="A565" s="13" t="inlineStr">
        <is>
          <t>ssa</t>
        </is>
      </c>
      <c r="B565" s="13" t="inlineStr">
        <is>
          <t>ghana</t>
        </is>
      </c>
      <c r="C565" s="13" t="inlineStr">
        <is>
          <t>GHA</t>
        </is>
      </c>
      <c r="D565" s="13" t="inlineStr">
        <is>
          <t>Ghana</t>
        </is>
      </c>
      <c r="E565" s="13" t="inlineStr">
        <is>
          <t>MaxMart Online</t>
        </is>
      </c>
      <c r="F565" s="13" t="inlineStr">
        <is>
          <t>https://maxmartonline.com/</t>
        </is>
      </c>
      <c r="G565" s="13" t="inlineStr">
        <is>
          <t>PROBED - SKIP</t>
        </is>
      </c>
      <c r="H565" s="13" t="inlineStr">
        <is>
          <t>SKIP</t>
        </is>
      </c>
      <c r="I565" s="13" t="inlineStr">
        <is>
          <t>medium</t>
        </is>
      </c>
      <c r="J565" s="13" t="n">
        <v>0</v>
      </c>
      <c r="K565" s="13" t="inlineStr">
        <is>
          <t>none found</t>
        </is>
      </c>
      <c r="L565" s="13" t="inlineStr">
        <is>
          <t>curl 200, 91KB. Runs nopCommerce (footer link to nopcommerce.com) -- unusual platform choice for the region. Homepage renders an un-hydrated client-side template shell (${ data.CustomProperties.Url } literal Handlebars syntax visible in raw HTML); guessed catalog paths (/groceries, /catalog/category/1) returned 404/500. Not resolved via Playwright within budget.</t>
        </is>
      </c>
      <c r="M565" s="13" t="inlineStr">
        <is>
          <t>ACCEPT</t>
        </is>
      </c>
      <c r="N565" s="13" t="inlineStr">
        <is>
          <t>not scored</t>
        </is>
      </c>
      <c r="O565" s="13" t="inlineStr"/>
      <c r="P565" s="13" t="inlineStr">
        <is>
          <t>Custom</t>
        </is>
      </c>
      <c r="Q565" s="13" t="inlineStr">
        <is>
          <t>GHS</t>
        </is>
      </c>
      <c r="R565" s="13" t="inlineStr">
        <is>
          <t>-</t>
        </is>
      </c>
      <c r="S565" s="13" t="inlineStr">
        <is>
          <t>-</t>
        </is>
      </c>
      <c r="T565" s="13" t="inlineStr">
        <is>
          <t>Very deep department taxonomy with per-subcategory item counts. Waitrose product lines.</t>
        </is>
      </c>
      <c r="U565" s="13" t="inlineStr">
        <is>
          <t>-</t>
        </is>
      </c>
      <c r="V565" s="13" t="inlineStr">
        <is>
          <t>P5</t>
        </is>
      </c>
    </row>
    <row r="566">
      <c r="A566" s="13" t="inlineStr">
        <is>
          <t>ssa</t>
        </is>
      </c>
      <c r="B566" s="13" t="inlineStr">
        <is>
          <t>ghana</t>
        </is>
      </c>
      <c r="C566" s="13" t="inlineStr">
        <is>
          <t>GHA</t>
        </is>
      </c>
      <c r="D566" s="13" t="inlineStr">
        <is>
          <t>Ghana</t>
        </is>
      </c>
      <c r="E566" s="13" t="inlineStr">
        <is>
          <t>MaxMart Online</t>
        </is>
      </c>
      <c r="F566" s="13" t="inlineStr">
        <is>
          <t>https://maxmartonline.com/</t>
        </is>
      </c>
      <c r="G566" s="13" t="inlineStr">
        <is>
          <t>PROBED - SKIP</t>
        </is>
      </c>
      <c r="H566" s="13" t="inlineStr">
        <is>
          <t>SKIP</t>
        </is>
      </c>
      <c r="I566" s="13" t="inlineStr">
        <is>
          <t>medium</t>
        </is>
      </c>
      <c r="J566" s="13" t="n">
        <v>0</v>
      </c>
      <c r="K566" s="13" t="inlineStr">
        <is>
          <t>none found</t>
        </is>
      </c>
      <c r="L566" s="13" t="inlineStr">
        <is>
          <t>curl 200, 91KB. Runs nopCommerce (footer link to nopcommerce.com) -- unusual platform choice for the region. Homepage renders an un-hydrated client-side template shell (${ data.CustomProperties.Url } literal Handlebars syntax visible in raw HTML); guessed catalog paths (/groceries, /catalog/category/1) returned 404/500. Not resolved via Playwright within budget.</t>
        </is>
      </c>
      <c r="M566" s="13" t="inlineStr">
        <is>
          <t>ACCEPT</t>
        </is>
      </c>
      <c r="N566" s="13" t="inlineStr">
        <is>
          <t>C - engineering required</t>
        </is>
      </c>
      <c r="O566" s="13" t="n">
        <v>3</v>
      </c>
      <c r="P566" s="13" t="inlineStr">
        <is>
          <t>Custom</t>
        </is>
      </c>
      <c r="Q566" s="13" t="inlineStr">
        <is>
          <t>GHS</t>
        </is>
      </c>
      <c r="R566" s="13" t="inlineStr">
        <is>
          <t>-</t>
        </is>
      </c>
      <c r="S566" s="13" t="inlineStr">
        <is>
          <t>current</t>
        </is>
      </c>
      <c r="T566" s="13" t="inlineStr">
        <is>
          <t>Deep department taxonomy with per-subcategory item counts; carries Waitrose own-brand lines, useful as an imported-goods price marker.</t>
        </is>
      </c>
      <c r="U566" s="13" t="inlineStr">
        <is>
          <t>-</t>
        </is>
      </c>
      <c r="V566" s="13" t="inlineStr">
        <is>
          <t>P6</t>
        </is>
      </c>
    </row>
    <row r="567">
      <c r="A567" s="13" t="inlineStr">
        <is>
          <t>ssa</t>
        </is>
      </c>
      <c r="B567" s="13" t="inlineStr">
        <is>
          <t>ghana</t>
        </is>
      </c>
      <c r="C567" s="13" t="inlineStr">
        <is>
          <t>GHA</t>
        </is>
      </c>
      <c r="D567" s="13" t="inlineStr">
        <is>
          <t>Ghana</t>
        </is>
      </c>
      <c r="E567" s="13" t="inlineStr">
        <is>
          <t>Melcom</t>
        </is>
      </c>
      <c r="F567" s="13" t="inlineStr">
        <is>
          <t>https://melcomghana.com/</t>
        </is>
      </c>
      <c r="G567" s="13" t="inlineStr">
        <is>
          <t>PROBED - SKIP</t>
        </is>
      </c>
      <c r="H567" s="13" t="inlineStr">
        <is>
          <t>SKIP</t>
        </is>
      </c>
      <c r="I567" s="13" t="inlineStr">
        <is>
          <t>high</t>
        </is>
      </c>
      <c r="J567" s="13" t="n">
        <v>0</v>
      </c>
      <c r="K567" s="13" t="inlineStr">
        <is>
          <t>n/a -- CSV's wp-json endpoint cannot be verified, the domain no longer exists</t>
        </is>
      </c>
      <c r="L567" s="13" t="inlineStr">
        <is>
          <t>curl: Could not resolve host: melcomghana.com (DNS NXDOMAIN) -- the exact domain in the CSV is dead. The group's real domain melcom.com resolves but returns a Sucuri Cloudproxy JS-challenge redirect stub (base64-obfuscated JS, 'You are being redirected...') on the root path.</t>
        </is>
      </c>
      <c r="M567" s="13" t="inlineStr">
        <is>
          <t>ACCEPT</t>
        </is>
      </c>
      <c r="N567" s="13" t="inlineStr">
        <is>
          <t>A - low-hanging fruit</t>
        </is>
      </c>
      <c r="O567" s="13" t="n">
        <v>5</v>
      </c>
      <c r="P567" s="13" t="inlineStr">
        <is>
          <t>WordPress/WooCommerce</t>
        </is>
      </c>
      <c r="Q567" s="13" t="inlineStr">
        <is>
          <t>GHS</t>
        </is>
      </c>
      <c r="R567" s="13" t="inlineStr">
        <is>
          <t>/wp-json/wc/store/v1/products?per_page=100</t>
        </is>
      </c>
      <c r="S567" s="13" t="inlineStr">
        <is>
          <t>current</t>
        </is>
      </c>
      <c r="T567" s="13" t="inlineStr">
        <is>
          <t>Ghana's largest retail chain by store count. Also reachable via Bolt Market.</t>
        </is>
      </c>
      <c r="U567" s="13" t="inlineStr">
        <is>
          <t>-</t>
        </is>
      </c>
      <c r="V567" s="13" t="inlineStr">
        <is>
          <t>P6</t>
        </is>
      </c>
    </row>
    <row r="568">
      <c r="A568" s="13" t="inlineStr">
        <is>
          <t>ssa</t>
        </is>
      </c>
      <c r="B568" s="13" t="inlineStr">
        <is>
          <t>ghana</t>
        </is>
      </c>
      <c r="C568" s="13" t="inlineStr">
        <is>
          <t>GHA</t>
        </is>
      </c>
      <c r="D568" s="13" t="inlineStr">
        <is>
          <t>Ghana</t>
        </is>
      </c>
      <c r="E568" s="13" t="inlineStr">
        <is>
          <t>Palace Hypermarket</t>
        </is>
      </c>
      <c r="F568" s="13" t="inlineStr">
        <is>
          <t>https://palacehypermarket.com/</t>
        </is>
      </c>
      <c r="G568" s="13" t="inlineStr">
        <is>
          <t>PROBED - SKIP</t>
        </is>
      </c>
      <c r="H568" s="13" t="inlineStr">
        <is>
          <t>SKIP</t>
        </is>
      </c>
      <c r="I568" s="13" t="inlineStr">
        <is>
          <t>low</t>
        </is>
      </c>
      <c r="J568" s="13" t="n">
        <v>0</v>
      </c>
      <c r="K568" s="13" t="inlineStr"/>
      <c r="L568" s="13" t="inlineStr">
        <is>
          <t>curl: Could not resolve host: palacehypermarket.com -- DNS NXDOMAIN.</t>
        </is>
      </c>
      <c r="M568" s="13" t="inlineStr">
        <is>
          <t>ACCEPT</t>
        </is>
      </c>
      <c r="N568" s="13" t="inlineStr">
        <is>
          <t>C - engineering required</t>
        </is>
      </c>
      <c r="O568" s="13" t="n">
        <v>3</v>
      </c>
      <c r="P568" s="13" t="inlineStr">
        <is>
          <t>Custom</t>
        </is>
      </c>
      <c r="Q568" s="13" t="inlineStr">
        <is>
          <t>GHS</t>
        </is>
      </c>
      <c r="R568" s="13" t="inlineStr">
        <is>
          <t>-</t>
        </is>
      </c>
      <c r="S568" s="13" t="inlineStr">
        <is>
          <t>current</t>
        </is>
      </c>
      <c r="T568" s="13" t="inlineStr">
        <is>
          <t>Fast-growing domestic chain (founded 2005, 1,000+ employees) with its own shopping app. Notably stocks Middle Eastern lines for Ghana's Lebanese community - a distinct basket.</t>
        </is>
      </c>
      <c r="U568" s="13" t="inlineStr">
        <is>
          <t>-</t>
        </is>
      </c>
      <c r="V568" s="13" t="inlineStr">
        <is>
          <t>P6</t>
        </is>
      </c>
    </row>
    <row r="569">
      <c r="A569" s="13" t="inlineStr">
        <is>
          <t>ssa</t>
        </is>
      </c>
      <c r="B569" s="13" t="inlineStr">
        <is>
          <t>ghana</t>
        </is>
      </c>
      <c r="C569" s="13" t="inlineStr">
        <is>
          <t>GHA</t>
        </is>
      </c>
      <c r="D569" s="13" t="inlineStr">
        <is>
          <t>Ghana</t>
        </is>
      </c>
      <c r="E569" s="13" t="inlineStr">
        <is>
          <t>GHBasket</t>
        </is>
      </c>
      <c r="F569" s="13" t="inlineStr">
        <is>
          <t>https://ghbasket.com/</t>
        </is>
      </c>
      <c r="G569" s="13" t="inlineStr">
        <is>
          <t>PROBED - VIABLE</t>
        </is>
      </c>
      <c r="H569" s="13" t="inlineStr">
        <is>
          <t>TIER_1B</t>
        </is>
      </c>
      <c r="I569" s="13" t="inlineStr">
        <is>
          <t>low</t>
        </is>
      </c>
      <c r="J569" s="13" t="n">
        <v>20</v>
      </c>
      <c r="K569" s="13" t="inlineStr">
        <is>
          <t>/wp-json/wc/store/v1/products?per_page=100</t>
        </is>
      </c>
      <c r="L569" s="13" t="inlineStr">
        <is>
          <t>CSV's own EXTRACTION endpoint confirmed live: GET https://ghbasket.com/wp-json/wc/store/v1/products?per_page=100 -&gt; 200, 55KB. WooCommerce Store API. Sample: 'Cow Leg' price=11000, currency_minor_unit=2 -&gt; GHS 110.00.</t>
        </is>
      </c>
      <c r="M569" s="13" t="inlineStr">
        <is>
          <t>ACCEPT</t>
        </is>
      </c>
      <c r="N569" s="13" t="inlineStr">
        <is>
          <t>not scored</t>
        </is>
      </c>
      <c r="O569" s="13" t="inlineStr"/>
      <c r="P569" s="13" t="inlineStr">
        <is>
          <t>WordPress/WooCommerce</t>
        </is>
      </c>
      <c r="Q569" s="13" t="inlineStr">
        <is>
          <t>GHS</t>
        </is>
      </c>
      <c r="R569" s="13" t="inlineStr">
        <is>
          <t>-</t>
        </is>
      </c>
      <c r="S569" s="13" t="inlineStr">
        <is>
          <t>-</t>
        </is>
      </c>
      <c r="T569" s="13" t="inlineStr">
        <is>
          <t>STRONG: cedi prices with excellent LOCAL staple coverage - koobi, apatre, palm oil zomi, cassava dough, corn dough, olonka pepper measures. Local units are exactly what a Ghana-relevant basket needs, and they are rare in modern-retail scrapes.</t>
        </is>
      </c>
      <c r="U569" s="13" t="inlineStr">
        <is>
          <t>-</t>
        </is>
      </c>
      <c r="V569" s="13" t="inlineStr">
        <is>
          <t>P5</t>
        </is>
      </c>
    </row>
    <row r="570">
      <c r="A570" s="13" t="inlineStr">
        <is>
          <t>ssa</t>
        </is>
      </c>
      <c r="B570" s="13" t="inlineStr">
        <is>
          <t>ghana</t>
        </is>
      </c>
      <c r="C570" s="13" t="inlineStr">
        <is>
          <t>GHA</t>
        </is>
      </c>
      <c r="D570" s="13" t="inlineStr">
        <is>
          <t>Ghana</t>
        </is>
      </c>
      <c r="E570" s="13" t="inlineStr">
        <is>
          <t>GHBasket</t>
        </is>
      </c>
      <c r="F570" s="13" t="inlineStr">
        <is>
          <t>https://ghbasket.com/</t>
        </is>
      </c>
      <c r="G570" s="13" t="inlineStr">
        <is>
          <t>PROBED - VIABLE</t>
        </is>
      </c>
      <c r="H570" s="13" t="inlineStr">
        <is>
          <t>TIER_1B</t>
        </is>
      </c>
      <c r="I570" s="13" t="inlineStr">
        <is>
          <t>low</t>
        </is>
      </c>
      <c r="J570" s="13" t="n">
        <v>20</v>
      </c>
      <c r="K570" s="13" t="inlineStr">
        <is>
          <t>/wp-json/wc/store/v1/products?per_page=100</t>
        </is>
      </c>
      <c r="L570" s="13" t="inlineStr">
        <is>
          <t>CSV's own EXTRACTION endpoint confirmed live: GET https://ghbasket.com/wp-json/wc/store/v1/products?per_page=100 -&gt; 200, 55KB. WooCommerce Store API. Sample: 'Cow Leg' price=11000, currency_minor_unit=2 -&gt; GHS 110.00.</t>
        </is>
      </c>
      <c r="M570" s="13" t="inlineStr">
        <is>
          <t>ACCEPT</t>
        </is>
      </c>
      <c r="N570" s="13" t="inlineStr">
        <is>
          <t>A - low-hanging fruit</t>
        </is>
      </c>
      <c r="O570" s="13" t="n">
        <v>5</v>
      </c>
      <c r="P570" s="13" t="inlineStr">
        <is>
          <t>WordPress/WooCommerce</t>
        </is>
      </c>
      <c r="Q570" s="13" t="inlineStr">
        <is>
          <t>GHS</t>
        </is>
      </c>
      <c r="R570" s="13" t="inlineStr">
        <is>
          <t>/wp-json/wc/store/v1/products?per_page=100</t>
        </is>
      </c>
      <c r="S570" s="13" t="inlineStr">
        <is>
          <t>current</t>
        </is>
      </c>
      <c r="T570" s="13" t="inlineStr">
        <is>
          <t>BEST GHANA SOURCE for welfare relevance. Carries local staples in LOCAL UNITS that modern retail omits entirely: koobi (salted dried tilapia), apatre (smoked tilapia), palm oil zomi, cassava dough, corn dough, and pepper sold by the OLONKA (a traditional volume measure). Also fresh tomatoes by the basket. These dominate real Ghanaian consumption baskets.</t>
        </is>
      </c>
      <c r="U570" s="13" t="inlineStr">
        <is>
          <t>Olonka and 'basket' are non-standard units. Build a local-unit conversion table before attempting any cross-country normalisation, and do NOT silently drop them.</t>
        </is>
      </c>
      <c r="V570" s="13" t="inlineStr">
        <is>
          <t>P6</t>
        </is>
      </c>
    </row>
    <row r="571">
      <c r="A571" s="13" t="inlineStr">
        <is>
          <t>ssa</t>
        </is>
      </c>
      <c r="B571" s="13" t="inlineStr">
        <is>
          <t>ghana</t>
        </is>
      </c>
      <c r="C571" s="13" t="inlineStr">
        <is>
          <t>GHA</t>
        </is>
      </c>
      <c r="D571" s="13" t="inlineStr">
        <is>
          <t>Ghana</t>
        </is>
      </c>
      <c r="E571" s="13" t="inlineStr">
        <is>
          <t>Konzoom</t>
        </is>
      </c>
      <c r="F571" s="13" t="inlineStr">
        <is>
          <t>https://konzoom.shop/</t>
        </is>
      </c>
      <c r="G571" s="13" t="inlineStr">
        <is>
          <t>PROBED - VIABLE</t>
        </is>
      </c>
      <c r="H571" s="13" t="inlineStr">
        <is>
          <t>TIER_1B</t>
        </is>
      </c>
      <c r="I571" s="13" t="inlineStr">
        <is>
          <t>low</t>
        </is>
      </c>
      <c r="J571" s="13" t="n">
        <v>12</v>
      </c>
      <c r="K571" s="13" t="inlineStr">
        <is>
          <t>/products.json?limit=250&amp;page=N</t>
        </is>
      </c>
      <c r="L571" s="13" t="inlineStr">
        <is>
          <t>CSV's own EXTRACTION endpoint confirmed live: GET https://konzoom.shop/products.json?limit=20 -&gt; 200, 42KB, Shopify. 20 real SKUs returned (Febreze Air Freshener, Heritage Natural Black Soap, Alata Samina, shea body products) -- these are real catalog entries, not the 'Example product title' placeholders the CSV warned about on the homepage.</t>
        </is>
      </c>
      <c r="M571" s="13" t="inlineStr">
        <is>
          <t>ACCEPT</t>
        </is>
      </c>
      <c r="N571" s="13" t="inlineStr">
        <is>
          <t>not scored</t>
        </is>
      </c>
      <c r="O571" s="13" t="inlineStr"/>
      <c r="P571" s="13" t="inlineStr">
        <is>
          <t>Shopify</t>
        </is>
      </c>
      <c r="Q571" s="13" t="inlineStr">
        <is>
          <t>GHS</t>
        </is>
      </c>
      <c r="R571" s="13" t="inlineStr">
        <is>
          <t>-</t>
        </is>
      </c>
      <c r="S571" s="13" t="inlineStr">
        <is>
          <t>-</t>
        </is>
      </c>
      <c r="T571" s="13" t="inlineStr">
        <is>
          <t>Shopify (so /products.json should work). GH cedi. Includes a Local Delicacies category. CAUTION: homepage shows 'Example product title' placeholders - test a real category URL.</t>
        </is>
      </c>
      <c r="U571" s="13" t="inlineStr">
        <is>
          <t>-</t>
        </is>
      </c>
      <c r="V571" s="13" t="inlineStr">
        <is>
          <t>P5</t>
        </is>
      </c>
    </row>
    <row r="572">
      <c r="A572" s="13" t="inlineStr">
        <is>
          <t>ssa</t>
        </is>
      </c>
      <c r="B572" s="13" t="inlineStr">
        <is>
          <t>ghana</t>
        </is>
      </c>
      <c r="C572" s="13" t="inlineStr">
        <is>
          <t>GHA</t>
        </is>
      </c>
      <c r="D572" s="13" t="inlineStr">
        <is>
          <t>Ghana</t>
        </is>
      </c>
      <c r="E572" s="13" t="inlineStr">
        <is>
          <t>Konzoom</t>
        </is>
      </c>
      <c r="F572" s="13" t="inlineStr">
        <is>
          <t>https://konzoom.shop/</t>
        </is>
      </c>
      <c r="G572" s="13" t="inlineStr">
        <is>
          <t>PROBED - VIABLE</t>
        </is>
      </c>
      <c r="H572" s="13" t="inlineStr">
        <is>
          <t>TIER_1B</t>
        </is>
      </c>
      <c r="I572" s="13" t="inlineStr">
        <is>
          <t>low</t>
        </is>
      </c>
      <c r="J572" s="13" t="n">
        <v>12</v>
      </c>
      <c r="K572" s="13" t="inlineStr">
        <is>
          <t>/products.json?limit=250&amp;page=N</t>
        </is>
      </c>
      <c r="L572" s="13" t="inlineStr">
        <is>
          <t>CSV's own EXTRACTION endpoint confirmed live: GET https://konzoom.shop/products.json?limit=20 -&gt; 200, 42KB, Shopify. 20 real SKUs returned (Febreze Air Freshener, Heritage Natural Black Soap, Alata Samina, shea body products) -- these are real catalog entries, not the 'Example product title' placeholders the CSV warned about on the homepage.</t>
        </is>
      </c>
      <c r="M572" s="13" t="inlineStr">
        <is>
          <t>ACCEPT</t>
        </is>
      </c>
      <c r="N572" s="13" t="inlineStr">
        <is>
          <t>A - low-hanging fruit</t>
        </is>
      </c>
      <c r="O572" s="13" t="n">
        <v>5</v>
      </c>
      <c r="P572" s="13" t="inlineStr">
        <is>
          <t>Shopify</t>
        </is>
      </c>
      <c r="Q572" s="13" t="inlineStr">
        <is>
          <t>GHS</t>
        </is>
      </c>
      <c r="R572" s="13" t="inlineStr">
        <is>
          <t>/products.json?limit=250&amp;page=N</t>
        </is>
      </c>
      <c r="S572" s="13" t="inlineStr">
        <is>
          <t>current</t>
        </is>
      </c>
      <c r="T572" s="13" t="inlineStr">
        <is>
          <t>Shopify - /products.json should return the full catalogue. Has a Local Delicacies category.</t>
        </is>
      </c>
      <c r="U572" s="13" t="inlineStr">
        <is>
          <t>Homepage shows 'Example product title' placeholder rows from an unfinished theme. Test a real category before judging the catalogue.</t>
        </is>
      </c>
      <c r="V572" s="13" t="inlineStr">
        <is>
          <t>P6</t>
        </is>
      </c>
    </row>
    <row r="573">
      <c r="A573" s="13" t="inlineStr">
        <is>
          <t>ssa</t>
        </is>
      </c>
      <c r="B573" s="13" t="inlineStr">
        <is>
          <t>ghana</t>
        </is>
      </c>
      <c r="C573" s="13" t="inlineStr">
        <is>
          <t>GHA</t>
        </is>
      </c>
      <c r="D573" s="13" t="inlineStr">
        <is>
          <t>Ghana</t>
        </is>
      </c>
      <c r="E573" s="13" t="inlineStr">
        <is>
          <t>Tezeon Grocery</t>
        </is>
      </c>
      <c r="F573" s="13" t="inlineStr">
        <is>
          <t>https://tezeon.com/grocery</t>
        </is>
      </c>
      <c r="G573" s="13" t="inlineStr">
        <is>
          <t>PROBED - VIABLE</t>
        </is>
      </c>
      <c r="H573" s="13" t="inlineStr">
        <is>
          <t>TIER_1B</t>
        </is>
      </c>
      <c r="I573" s="13" t="inlineStr">
        <is>
          <t>low</t>
        </is>
      </c>
      <c r="J573" s="13" t="n">
        <v>10</v>
      </c>
      <c r="K573" s="13" t="inlineStr">
        <is>
          <t>/api/products/ (category filter param not yet resolved), /api/products/categories/</t>
        </is>
      </c>
      <c r="L573" s="13" t="inlineStr">
        <is>
          <t>Playwright network trace on a category page surfaced a fully open Django-style REST API: GET https://api.tezeon.com/api/products/categories/ -&gt; 200, 204KB, full category tree, no auth. Reproduced standalone with curl. GET https://api.tezeon.com/api/products/ -&gt; 200, 42KB, paginated product list with real prices (e.g. 'Tecno True Wireless Stereo Earphone' GHS 600.00). A 'Groceries &amp; Food' top-level category exists (slug groceries-food) alongside Rice &amp; Pasta, Snacks, Spices, Drinks, Fruit &amp; Vegetable Tools sub-categories, but attempts to filter the products endpoint by category=groceries-food and category=groceries both returned HTTP 400 within budget -- the correct filter param name was not found.</t>
        </is>
      </c>
      <c r="M573" s="13" t="inlineStr">
        <is>
          <t>ACCEPT</t>
        </is>
      </c>
      <c r="N573" s="13" t="inlineStr">
        <is>
          <t>not scored</t>
        </is>
      </c>
      <c r="O573" s="13" t="inlineStr"/>
      <c r="P573" s="13" t="inlineStr">
        <is>
          <t>Custom</t>
        </is>
      </c>
      <c r="Q573" s="13" t="inlineStr">
        <is>
          <t>GHS</t>
        </is>
      </c>
      <c r="R573" s="13" t="inlineStr">
        <is>
          <t>-</t>
        </is>
      </c>
      <c r="S573" s="13" t="inlineStr">
        <is>
          <t>-</t>
        </is>
      </c>
      <c r="T573" s="13" t="inlineStr">
        <is>
          <t>GHS prices with regional delivery tiers published (Greater Accra, Ashanti, Western, Northern) - the tier table itself is useful for spatial cost analysis.</t>
        </is>
      </c>
      <c r="U573" s="13" t="inlineStr">
        <is>
          <t>-</t>
        </is>
      </c>
      <c r="V573" s="13" t="inlineStr">
        <is>
          <t>P5</t>
        </is>
      </c>
    </row>
    <row r="574">
      <c r="A574" s="13" t="inlineStr">
        <is>
          <t>ssa</t>
        </is>
      </c>
      <c r="B574" s="13" t="inlineStr">
        <is>
          <t>ghana</t>
        </is>
      </c>
      <c r="C574" s="13" t="inlineStr">
        <is>
          <t>GHA</t>
        </is>
      </c>
      <c r="D574" s="13" t="inlineStr">
        <is>
          <t>Ghana</t>
        </is>
      </c>
      <c r="E574" s="13" t="inlineStr">
        <is>
          <t>Tezeon Grocery</t>
        </is>
      </c>
      <c r="F574" s="13" t="inlineStr">
        <is>
          <t>https://tezeon.com/grocery</t>
        </is>
      </c>
      <c r="G574" s="13" t="inlineStr">
        <is>
          <t>PROBED - VIABLE</t>
        </is>
      </c>
      <c r="H574" s="13" t="inlineStr">
        <is>
          <t>TIER_1B</t>
        </is>
      </c>
      <c r="I574" s="13" t="inlineStr">
        <is>
          <t>low</t>
        </is>
      </c>
      <c r="J574" s="13" t="n">
        <v>10</v>
      </c>
      <c r="K574" s="13" t="inlineStr">
        <is>
          <t>/api/products/ (category filter param not yet resolved), /api/products/categories/</t>
        </is>
      </c>
      <c r="L574" s="13" t="inlineStr">
        <is>
          <t>Playwright network trace on a category page surfaced a fully open Django-style REST API: GET https://api.tezeon.com/api/products/categories/ -&gt; 200, 204KB, full category tree, no auth. Reproduced standalone with curl. GET https://api.tezeon.com/api/products/ -&gt; 200, 42KB, paginated product list with real prices (e.g. 'Tecno True Wireless Stereo Earphone' GHS 600.00). A 'Groceries &amp; Food' top-level category exists (slug groceries-food) alongside Rice &amp; Pasta, Snacks, Spices, Drinks, Fruit &amp; Vegetable Tools sub-categories, but attempts to filter the products endpoint by category=groceries-food and category=groceries both returned HTTP 400 within budget -- the correct filter param name was not found.</t>
        </is>
      </c>
      <c r="M574" s="13" t="inlineStr">
        <is>
          <t>ACCEPT</t>
        </is>
      </c>
      <c r="N574" s="13" t="inlineStr">
        <is>
          <t>C - engineering required</t>
        </is>
      </c>
      <c r="O574" s="13" t="n">
        <v>3</v>
      </c>
      <c r="P574" s="13" t="inlineStr">
        <is>
          <t>Custom</t>
        </is>
      </c>
      <c r="Q574" s="13" t="inlineStr">
        <is>
          <t>GHS</t>
        </is>
      </c>
      <c r="R574" s="13" t="inlineStr">
        <is>
          <t>-</t>
        </is>
      </c>
      <c r="S574" s="13" t="inlineStr">
        <is>
          <t>current, delivery_tier</t>
        </is>
      </c>
      <c r="T574" s="13" t="inlineStr">
        <is>
          <t>Publishes REGIONAL delivery tiers (Greater Accra, Ashanti, Western, Northern). The tier table is itself data on intra-country distribution costs.</t>
        </is>
      </c>
      <c r="U574" s="13" t="inlineStr">
        <is>
          <t>-</t>
        </is>
      </c>
      <c r="V574" s="13" t="inlineStr">
        <is>
          <t>P6</t>
        </is>
      </c>
    </row>
    <row r="575">
      <c r="A575" s="13" t="inlineStr">
        <is>
          <t>ssa</t>
        </is>
      </c>
      <c r="B575" s="13" t="inlineStr">
        <is>
          <t>guinea</t>
        </is>
      </c>
      <c r="C575" s="13" t="inlineStr">
        <is>
          <t>GIN</t>
        </is>
      </c>
      <c r="D575" s="13" t="inlineStr">
        <is>
          <t>Guinea</t>
        </is>
      </c>
      <c r="E575" s="13" t="inlineStr">
        <is>
          <t>Monmarche Guinee</t>
        </is>
      </c>
      <c r="F575" s="13" t="inlineStr">
        <is>
          <t>https://monmarchegn.com/</t>
        </is>
      </c>
      <c r="G575" s="13" t="inlineStr">
        <is>
          <t>NOT PROBED - deduped, already onboarded, or time-boxed</t>
        </is>
      </c>
      <c r="H575" s="13" t="inlineStr"/>
      <c r="I575" s="13" t="inlineStr"/>
      <c r="J575" s="13" t="inlineStr"/>
      <c r="K575" s="13" t="inlineStr"/>
      <c r="L575" s="13" t="inlineStr"/>
      <c r="M575" s="13" t="inlineStr">
        <is>
          <t>SUSPECT</t>
        </is>
      </c>
      <c r="N575" s="13" t="inlineStr">
        <is>
          <t>not scored</t>
        </is>
      </c>
      <c r="O575" s="13" t="inlineStr"/>
      <c r="P575" s="13" t="inlineStr">
        <is>
          <t>Custom</t>
        </is>
      </c>
      <c r="Q575" s="13" t="inlineStr">
        <is>
          <t>GNF</t>
        </is>
      </c>
      <c r="R575" s="13" t="inlineStr">
        <is>
          <t>-</t>
        </is>
      </c>
      <c r="S575" s="13" t="inlineStr">
        <is>
          <t>-</t>
        </is>
      </c>
      <c r="T575" s="13" t="inlineStr">
        <is>
          <t>Live site but catalogue is app-only (Android/iOS). Web has no product list.</t>
        </is>
      </c>
      <c r="U575" s="13" t="inlineStr">
        <is>
          <t>-</t>
        </is>
      </c>
      <c r="V575" s="13" t="inlineStr">
        <is>
          <t>P1</t>
        </is>
      </c>
    </row>
    <row r="576">
      <c r="A576" s="13" t="inlineStr">
        <is>
          <t>ssa</t>
        </is>
      </c>
      <c r="B576" s="13" t="inlineStr">
        <is>
          <t>guinea</t>
        </is>
      </c>
      <c r="C576" s="13" t="inlineStr">
        <is>
          <t>GIN</t>
        </is>
      </c>
      <c r="D576" s="13" t="inlineStr">
        <is>
          <t>Guinea</t>
        </is>
      </c>
      <c r="E576" s="13" t="inlineStr">
        <is>
          <t>Monmarche Guinee</t>
        </is>
      </c>
      <c r="F576" s="13" t="inlineStr">
        <is>
          <t>https://monmarchegn.com/</t>
        </is>
      </c>
      <c r="G576" s="13" t="inlineStr">
        <is>
          <t>NOT PROBED - deduped, already onboarded, or time-boxed</t>
        </is>
      </c>
      <c r="H576" s="13" t="inlineStr"/>
      <c r="I576" s="13" t="inlineStr"/>
      <c r="J576" s="13" t="inlineStr"/>
      <c r="K576" s="13" t="inlineStr"/>
      <c r="L576" s="13" t="inlineStr"/>
      <c r="M576" s="13" t="inlineStr">
        <is>
          <t>REJECT</t>
        </is>
      </c>
      <c r="N576" s="13" t="inlineStr">
        <is>
          <t>not scored</t>
        </is>
      </c>
      <c r="O576" s="13" t="inlineStr"/>
      <c r="P576" s="13" t="inlineStr">
        <is>
          <t>Custom</t>
        </is>
      </c>
      <c r="Q576" s="13" t="inlineStr">
        <is>
          <t>GNF</t>
        </is>
      </c>
      <c r="R576" s="13" t="inlineStr">
        <is>
          <t>-</t>
        </is>
      </c>
      <c r="S576" s="13" t="inlineStr">
        <is>
          <t>-</t>
        </is>
      </c>
      <c r="T576" s="13" t="inlineStr">
        <is>
          <t>CONFIRMED app-only. The website is a brochure: 'Telecharger sur Android / iPhone'. No web catalogue exists. Orange Money payment. Real business, unusable for scraping.</t>
        </is>
      </c>
      <c r="U576" s="13" t="inlineStr">
        <is>
          <t>-</t>
        </is>
      </c>
      <c r="V576" s="13" t="inlineStr">
        <is>
          <t>P2</t>
        </is>
      </c>
    </row>
    <row r="577">
      <c r="A577" s="13" t="inlineStr">
        <is>
          <t>ssa</t>
        </is>
      </c>
      <c r="B577" s="13" t="inlineStr">
        <is>
          <t>guinea</t>
        </is>
      </c>
      <c r="C577" s="13" t="inlineStr">
        <is>
          <t>GIN</t>
        </is>
      </c>
      <c r="D577" s="13" t="inlineStr">
        <is>
          <t>Guinea</t>
        </is>
      </c>
      <c r="E577" s="13" t="inlineStr">
        <is>
          <t>Supermarche Bel Air</t>
        </is>
      </c>
      <c r="F577" s="13" t="inlineStr">
        <is>
          <t>https://belair.gn/</t>
        </is>
      </c>
      <c r="G577" s="13" t="inlineStr">
        <is>
          <t>PROBED - SKIP</t>
        </is>
      </c>
      <c r="H577" s="13" t="inlineStr">
        <is>
          <t>SKIP</t>
        </is>
      </c>
      <c r="I577" s="13" t="inlineStr">
        <is>
          <t>high</t>
        </is>
      </c>
      <c r="J577" s="13" t="n">
        <v>0</v>
      </c>
      <c r="K577" s="13" t="inlineStr"/>
      <c r="L577" s="13" t="inlineStr">
        <is>
          <t>curl -&gt; connection failure (HTTP 000), DNS does not resolve.</t>
        </is>
      </c>
      <c r="M577" s="13" t="inlineStr">
        <is>
          <t>SUSPECT</t>
        </is>
      </c>
      <c r="N577" s="13" t="inlineStr">
        <is>
          <t>not scored</t>
        </is>
      </c>
      <c r="O577" s="13" t="inlineStr"/>
      <c r="P577" s="13" t="inlineStr">
        <is>
          <t>Custom</t>
        </is>
      </c>
      <c r="Q577" s="13" t="inlineStr">
        <is>
          <t>GNF</t>
        </is>
      </c>
      <c r="R577" s="13" t="inlineStr">
        <is>
          <t>-</t>
        </is>
      </c>
      <c r="S577" s="13" t="inlineStr">
        <is>
          <t>-</t>
        </is>
      </c>
      <c r="T577" s="13" t="inlineStr">
        <is>
          <t>Carried over from v2; unverified.</t>
        </is>
      </c>
      <c r="U577" s="13" t="inlineStr">
        <is>
          <t>-</t>
        </is>
      </c>
      <c r="V577" s="13" t="inlineStr">
        <is>
          <t>P1</t>
        </is>
      </c>
    </row>
    <row r="578">
      <c r="A578" s="13" t="inlineStr">
        <is>
          <t>ssa</t>
        </is>
      </c>
      <c r="B578" s="13" t="inlineStr">
        <is>
          <t>guinea</t>
        </is>
      </c>
      <c r="C578" s="13" t="inlineStr">
        <is>
          <t>GIN</t>
        </is>
      </c>
      <c r="D578" s="13" t="inlineStr">
        <is>
          <t>Guinea</t>
        </is>
      </c>
      <c r="E578" s="13" t="inlineStr">
        <is>
          <t>Beryz</t>
        </is>
      </c>
      <c r="F578" s="13" t="inlineStr">
        <is>
          <t>https://www.beryz.com/fr/alimentation</t>
        </is>
      </c>
      <c r="G578" s="13" t="inlineStr">
        <is>
          <t>PROBED - VIABLE</t>
        </is>
      </c>
      <c r="H578" s="13" t="inlineStr">
        <is>
          <t>TIER_1A</t>
        </is>
      </c>
      <c r="I578" s="13" t="inlineStr">
        <is>
          <t>low</t>
        </is>
      </c>
      <c r="J578" s="13" t="n">
        <v>40</v>
      </c>
      <c r="K578" s="13" t="inlineStr"/>
      <c r="L578" s="13" t="inlineStr">
        <is>
          <t>curl -&gt; HTTP 200, 104.5KB SSR HTML. Confirmed product card: 'Huile de palme rouge' -- 'Fatou Camara -- Conakry' -- '8 000 GNF/litre', tagged category 'Huiles'.</t>
        </is>
      </c>
      <c r="M578" s="13" t="inlineStr">
        <is>
          <t>ACCEPT</t>
        </is>
      </c>
      <c r="N578" s="13" t="inlineStr">
        <is>
          <t>not scored</t>
        </is>
      </c>
      <c r="O578" s="13" t="inlineStr"/>
      <c r="P578" s="13" t="inlineStr">
        <is>
          <t>Custom</t>
        </is>
      </c>
      <c r="Q578" s="13" t="inlineStr">
        <is>
          <t>GNF</t>
        </is>
      </c>
      <c r="R578" s="13" t="inlineStr">
        <is>
          <t>-</t>
        </is>
      </c>
      <c r="S578" s="13" t="inlineStr">
        <is>
          <t>-</t>
        </is>
      </c>
      <c r="T578" s="13" t="inlineStr">
        <is>
          <t>STRONG: GNF prices per litre/kg with separate retail and wholesale prices (huile de palme 8,000/6,500 GNF; fonio 5,500/4,800). Regional tagging (Conakry, Labe, Kindia, Boke). Dual pricing is unusually valuable for margin analysis.</t>
        </is>
      </c>
      <c r="U578" s="13" t="inlineStr">
        <is>
          <t>-</t>
        </is>
      </c>
      <c r="V578" s="13" t="inlineStr">
        <is>
          <t>P2</t>
        </is>
      </c>
    </row>
    <row r="579">
      <c r="A579" s="13" t="inlineStr">
        <is>
          <t>ssa</t>
        </is>
      </c>
      <c r="B579" s="13" t="inlineStr">
        <is>
          <t>guinea</t>
        </is>
      </c>
      <c r="C579" s="13" t="inlineStr">
        <is>
          <t>GIN</t>
        </is>
      </c>
      <c r="D579" s="13" t="inlineStr">
        <is>
          <t>Guinea</t>
        </is>
      </c>
      <c r="E579" s="13" t="inlineStr">
        <is>
          <t>BraPrime</t>
        </is>
      </c>
      <c r="F579" s="13" t="inlineStr">
        <is>
          <t>https://www.braprime.com/</t>
        </is>
      </c>
      <c r="G579" s="13" t="inlineStr">
        <is>
          <t>PROBED - VIABLE</t>
        </is>
      </c>
      <c r="H579" s="13" t="inlineStr">
        <is>
          <t>TIER_2</t>
        </is>
      </c>
      <c r="I579" s="13" t="inlineStr">
        <is>
          <t>medium</t>
        </is>
      </c>
      <c r="J579" s="13" t="n">
        <v>0</v>
      </c>
      <c r="K579" s="13" t="inlineStr"/>
      <c r="L579" s="13" t="inlineStr">
        <is>
          <t>curl -&gt; HTTP 200, only 2.4KB body -- a Vite/React SPA shell (class='dark', empty root div).</t>
        </is>
      </c>
      <c r="M579" s="13" t="inlineStr">
        <is>
          <t>ACCEPT</t>
        </is>
      </c>
      <c r="N579" s="13" t="inlineStr">
        <is>
          <t>not scored</t>
        </is>
      </c>
      <c r="O579" s="13" t="inlineStr"/>
      <c r="P579" s="13" t="inlineStr">
        <is>
          <t>Custom</t>
        </is>
      </c>
      <c r="Q579" s="13" t="inlineStr">
        <is>
          <t>GNF</t>
        </is>
      </c>
      <c r="R579" s="13" t="inlineStr">
        <is>
          <t>-</t>
        </is>
      </c>
      <c r="S579" s="13" t="inlineStr">
        <is>
          <t>-</t>
        </is>
      </c>
      <c r="T579" s="13" t="inlineStr">
        <is>
          <t>Live multi-service platform, Conakry; partner catalogue management.</t>
        </is>
      </c>
      <c r="U579" s="13" t="inlineStr">
        <is>
          <t>-</t>
        </is>
      </c>
      <c r="V579" s="13" t="inlineStr">
        <is>
          <t>P1</t>
        </is>
      </c>
    </row>
    <row r="580">
      <c r="A580" s="13" t="inlineStr">
        <is>
          <t>ssa</t>
        </is>
      </c>
      <c r="B580" s="13" t="inlineStr">
        <is>
          <t>guinea</t>
        </is>
      </c>
      <c r="C580" s="13" t="inlineStr">
        <is>
          <t>GIN</t>
        </is>
      </c>
      <c r="D580" s="13" t="inlineStr">
        <is>
          <t>Guinea</t>
        </is>
      </c>
      <c r="E580" s="13" t="inlineStr">
        <is>
          <t>Kona Livr</t>
        </is>
      </c>
      <c r="F580" s="13" t="inlineStr">
        <is>
          <t>https://www.konalivr.com/</t>
        </is>
      </c>
      <c r="G580" s="13" t="inlineStr">
        <is>
          <t>PROBED - VIABLE</t>
        </is>
      </c>
      <c r="H580" s="13" t="inlineStr">
        <is>
          <t>TIER_2</t>
        </is>
      </c>
      <c r="I580" s="13" t="inlineStr">
        <is>
          <t>medium</t>
        </is>
      </c>
      <c r="J580" s="13" t="n">
        <v>0</v>
      </c>
      <c r="K580" s="13" t="inlineStr"/>
      <c r="L580" s="13" t="inlineStr">
        <is>
          <t>curl -&gt; HTTP 200, 112KB Next.js RSC-hydrated HTML. All GNF figures found are delivery-fee thresholds and delivery-time strings ('Frais de livraison offerts des 100 000 GNF', 'livraison 15 000 GNF'), not product prices -- this is a store/restaurant DIRECTORY (name, category, rating, delivery time), not a product catalog at this depth.</t>
        </is>
      </c>
      <c r="M580" s="13" t="inlineStr">
        <is>
          <t>ACCEPT</t>
        </is>
      </c>
      <c r="N580" s="13" t="inlineStr">
        <is>
          <t>not scored</t>
        </is>
      </c>
      <c r="O580" s="13" t="inlineStr"/>
      <c r="P580" s="13" t="inlineStr">
        <is>
          <t>Custom</t>
        </is>
      </c>
      <c r="Q580" s="13" t="inlineStr">
        <is>
          <t>GNF</t>
        </is>
      </c>
      <c r="R580" s="13" t="inlineStr">
        <is>
          <t>-</t>
        </is>
      </c>
      <c r="S580" s="13" t="inlineStr">
        <is>
          <t>-</t>
        </is>
      </c>
      <c r="T580" s="13" t="inlineStr">
        <is>
          <t>Live: GNF delivery fees and promos; supermarkets, pharmacies, boulangeries in Conakry.</t>
        </is>
      </c>
      <c r="U580" s="13" t="inlineStr">
        <is>
          <t>-</t>
        </is>
      </c>
      <c r="V580" s="13" t="inlineStr">
        <is>
          <t>P1</t>
        </is>
      </c>
    </row>
    <row r="581">
      <c r="A581" s="13" t="inlineStr">
        <is>
          <t>ssa</t>
        </is>
      </c>
      <c r="B581" s="13" t="inlineStr">
        <is>
          <t>guinea</t>
        </is>
      </c>
      <c r="C581" s="13" t="inlineStr">
        <is>
          <t>GIN</t>
        </is>
      </c>
      <c r="D581" s="13" t="inlineStr">
        <is>
          <t>Guinea</t>
        </is>
      </c>
      <c r="E581" s="13" t="inlineStr">
        <is>
          <t>Kona Livr</t>
        </is>
      </c>
      <c r="F581" s="13" t="inlineStr">
        <is>
          <t>https://www.konalivr.com/</t>
        </is>
      </c>
      <c r="G581" s="13" t="inlineStr">
        <is>
          <t>PROBED - VIABLE</t>
        </is>
      </c>
      <c r="H581" s="13" t="inlineStr">
        <is>
          <t>TIER_2</t>
        </is>
      </c>
      <c r="I581" s="13" t="inlineStr">
        <is>
          <t>medium</t>
        </is>
      </c>
      <c r="J581" s="13" t="n">
        <v>0</v>
      </c>
      <c r="K581" s="13" t="inlineStr"/>
      <c r="L581" s="13" t="inlineStr">
        <is>
          <t>curl -&gt; HTTP 200, 112KB Next.js RSC-hydrated HTML. All GNF figures found are delivery-fee thresholds and delivery-time strings ('Frais de livraison offerts des 100 000 GNF', 'livraison 15 000 GNF'), not product prices -- this is a store/restaurant DIRECTORY (name, category, rating, delivery time), not a product catalog at this depth.</t>
        </is>
      </c>
      <c r="M581" s="13" t="inlineStr">
        <is>
          <t>ACCEPT</t>
        </is>
      </c>
      <c r="N581" s="13" t="inlineStr">
        <is>
          <t>not scored</t>
        </is>
      </c>
      <c r="O581" s="13" t="inlineStr"/>
      <c r="P581" s="13" t="inlineStr">
        <is>
          <t>Custom</t>
        </is>
      </c>
      <c r="Q581" s="13" t="inlineStr">
        <is>
          <t>GNF</t>
        </is>
      </c>
      <c r="R581" s="13" t="inlineStr">
        <is>
          <t>-</t>
        </is>
      </c>
      <c r="S581" s="13" t="inlineStr">
        <is>
          <t>-</t>
        </is>
      </c>
      <c r="T581" s="13" t="inlineStr">
        <is>
          <t>Live Conakry delivery covering supermarkets, pharmacies, boulangeries.</t>
        </is>
      </c>
      <c r="U581" s="13" t="inlineStr">
        <is>
          <t>-</t>
        </is>
      </c>
      <c r="V581" s="13" t="inlineStr">
        <is>
          <t>P2</t>
        </is>
      </c>
    </row>
    <row r="582">
      <c r="A582" s="13" t="inlineStr">
        <is>
          <t>ssa</t>
        </is>
      </c>
      <c r="B582" s="13" t="inlineStr">
        <is>
          <t>guinea</t>
        </is>
      </c>
      <c r="C582" s="13" t="inlineStr">
        <is>
          <t>GIN</t>
        </is>
      </c>
      <c r="D582" s="13" t="inlineStr">
        <is>
          <t>Guinea</t>
        </is>
      </c>
      <c r="E582" s="13" t="inlineStr">
        <is>
          <t>maMakiti</t>
        </is>
      </c>
      <c r="F582" s="13" t="inlineStr">
        <is>
          <t>https://mamakiti.com/</t>
        </is>
      </c>
      <c r="G582" s="13" t="inlineStr">
        <is>
          <t>PROBED - VIABLE</t>
        </is>
      </c>
      <c r="H582" s="13" t="inlineStr">
        <is>
          <t>TIER_2</t>
        </is>
      </c>
      <c r="I582" s="13" t="inlineStr">
        <is>
          <t>medium</t>
        </is>
      </c>
      <c r="J582" s="13" t="n">
        <v>0</v>
      </c>
      <c r="K582" s="13" t="inlineStr"/>
      <c r="L582" s="13" t="inlineStr">
        <is>
          <t>curl -&gt; HTTP 200, 52KB. Only GNF occurrences are JSON-LD boilerplate (priceRange:'GNF', price:'0') -- an SPA shell with no server-rendered product data.</t>
        </is>
      </c>
      <c r="M582" s="13" t="inlineStr">
        <is>
          <t>ACCEPT</t>
        </is>
      </c>
      <c r="N582" s="13" t="inlineStr">
        <is>
          <t>not scored</t>
        </is>
      </c>
      <c r="O582" s="13" t="inlineStr"/>
      <c r="P582" s="13" t="inlineStr">
        <is>
          <t>Custom</t>
        </is>
      </c>
      <c r="Q582" s="13" t="inlineStr">
        <is>
          <t>GNF</t>
        </is>
      </c>
      <c r="R582" s="13" t="inlineStr">
        <is>
          <t>-</t>
        </is>
      </c>
      <c r="S582" s="13" t="inlineStr">
        <is>
          <t>-</t>
        </is>
      </c>
      <c r="T582" s="13" t="inlineStr">
        <is>
          <t>Live: local market produce from Conakry vendors, 5% commission model.</t>
        </is>
      </c>
      <c r="U582" s="13" t="inlineStr">
        <is>
          <t>-</t>
        </is>
      </c>
      <c r="V582" s="13" t="inlineStr">
        <is>
          <t>P1</t>
        </is>
      </c>
    </row>
    <row r="583">
      <c r="A583" s="13" t="inlineStr">
        <is>
          <t>ssa</t>
        </is>
      </c>
      <c r="B583" s="13" t="inlineStr">
        <is>
          <t>guinea</t>
        </is>
      </c>
      <c r="C583" s="13" t="inlineStr">
        <is>
          <t>GIN</t>
        </is>
      </c>
      <c r="D583" s="13" t="inlineStr">
        <is>
          <t>Guinea</t>
        </is>
      </c>
      <c r="E583" s="13" t="inlineStr">
        <is>
          <t>maMakiti</t>
        </is>
      </c>
      <c r="F583" s="13" t="inlineStr">
        <is>
          <t>https://mamakiti.com/</t>
        </is>
      </c>
      <c r="G583" s="13" t="inlineStr">
        <is>
          <t>PROBED - VIABLE</t>
        </is>
      </c>
      <c r="H583" s="13" t="inlineStr">
        <is>
          <t>TIER_2</t>
        </is>
      </c>
      <c r="I583" s="13" t="inlineStr">
        <is>
          <t>medium</t>
        </is>
      </c>
      <c r="J583" s="13" t="n">
        <v>0</v>
      </c>
      <c r="K583" s="13" t="inlineStr"/>
      <c r="L583" s="13" t="inlineStr">
        <is>
          <t>curl -&gt; HTTP 200, 52KB. Only GNF occurrences are JSON-LD boilerplate (priceRange:'GNF', price:'0') -- an SPA shell with no server-rendered product data.</t>
        </is>
      </c>
      <c r="M583" s="13" t="inlineStr">
        <is>
          <t>ACCEPT</t>
        </is>
      </c>
      <c r="N583" s="13" t="inlineStr">
        <is>
          <t>not scored</t>
        </is>
      </c>
      <c r="O583" s="13" t="inlineStr"/>
      <c r="P583" s="13" t="inlineStr">
        <is>
          <t>Custom</t>
        </is>
      </c>
      <c r="Q583" s="13" t="inlineStr">
        <is>
          <t>GNF</t>
        </is>
      </c>
      <c r="R583" s="13" t="inlineStr">
        <is>
          <t>-</t>
        </is>
      </c>
      <c r="S583" s="13" t="inlineStr">
        <is>
          <t>-</t>
        </is>
      </c>
      <c r="T583" s="13" t="inlineStr">
        <is>
          <t>Live: Conakry market vendors, produce focus, commission model.</t>
        </is>
      </c>
      <c r="U583" s="13" t="inlineStr">
        <is>
          <t>-</t>
        </is>
      </c>
      <c r="V583" s="13" t="inlineStr">
        <is>
          <t>P2</t>
        </is>
      </c>
    </row>
    <row r="584">
      <c r="A584" s="13" t="inlineStr">
        <is>
          <t>ssa</t>
        </is>
      </c>
      <c r="B584" s="13" t="inlineStr">
        <is>
          <t>kenya</t>
        </is>
      </c>
      <c r="C584" s="13" t="inlineStr">
        <is>
          <t>KEN</t>
        </is>
      </c>
      <c r="D584" s="13" t="inlineStr">
        <is>
          <t>Kenya</t>
        </is>
      </c>
      <c r="E584" s="13" t="inlineStr">
        <is>
          <t>Chandarana Foodplus</t>
        </is>
      </c>
      <c r="F584" s="13" t="inlineStr">
        <is>
          <t>https://chandaranafoodplus.com/</t>
        </is>
      </c>
      <c r="G584" s="13" t="inlineStr">
        <is>
          <t>NOT PROBED - deduped, already onboarded, or time-boxed</t>
        </is>
      </c>
      <c r="H584" s="13" t="inlineStr"/>
      <c r="I584" s="13" t="inlineStr"/>
      <c r="J584" s="13" t="inlineStr"/>
      <c r="K584" s="13" t="inlineStr"/>
      <c r="L584" s="13" t="inlineStr"/>
      <c r="M584" s="13" t="inlineStr">
        <is>
          <t>ACCEPT</t>
        </is>
      </c>
      <c r="N584" s="13" t="inlineStr">
        <is>
          <t>A - low-hanging fruit</t>
        </is>
      </c>
      <c r="O584" s="13" t="n">
        <v>5</v>
      </c>
      <c r="P584" s="13" t="inlineStr">
        <is>
          <t>WordPress/WooCommerce</t>
        </is>
      </c>
      <c r="Q584" s="13" t="inlineStr">
        <is>
          <t>KES</t>
        </is>
      </c>
      <c r="R584" s="13" t="inlineStr">
        <is>
          <t>/wp-json/wc/store/v1/products?per_page=100</t>
        </is>
      </c>
      <c r="S584" s="13" t="inlineStr">
        <is>
          <t>current</t>
        </is>
      </c>
      <c r="T584" s="13" t="inlineStr">
        <is>
          <t>Premium/expatriate-oriented chain - upper tail of the Kenyan distribution. WooCommerce, so the Store API should work.</t>
        </is>
      </c>
      <c r="U584" s="13" t="inlineStr">
        <is>
          <t>-</t>
        </is>
      </c>
      <c r="V584" s="13" t="inlineStr">
        <is>
          <t>P7</t>
        </is>
      </c>
    </row>
    <row r="585">
      <c r="A585" s="13" t="inlineStr">
        <is>
          <t>ssa</t>
        </is>
      </c>
      <c r="B585" s="13" t="inlineStr">
        <is>
          <t>kenya</t>
        </is>
      </c>
      <c r="C585" s="13" t="inlineStr">
        <is>
          <t>KEN</t>
        </is>
      </c>
      <c r="D585" s="13" t="inlineStr">
        <is>
          <t>Kenya</t>
        </is>
      </c>
      <c r="E585" s="13" t="inlineStr">
        <is>
          <t>Cleanshelf</t>
        </is>
      </c>
      <c r="F585" s="13" t="inlineStr">
        <is>
          <t>https://cleanshelf.co.ke/</t>
        </is>
      </c>
      <c r="G585" s="13" t="inlineStr">
        <is>
          <t>NOT PROBED - deduped, already onboarded, or time-boxed</t>
        </is>
      </c>
      <c r="H585" s="13" t="inlineStr"/>
      <c r="I585" s="13" t="inlineStr"/>
      <c r="J585" s="13" t="inlineStr"/>
      <c r="K585" s="13" t="inlineStr"/>
      <c r="L585" s="13" t="inlineStr"/>
      <c r="M585" s="13" t="inlineStr">
        <is>
          <t>ACCEPT</t>
        </is>
      </c>
      <c r="N585" s="13" t="inlineStr">
        <is>
          <t>C - engineering required</t>
        </is>
      </c>
      <c r="O585" s="13" t="n">
        <v>3</v>
      </c>
      <c r="P585" s="13" t="inlineStr">
        <is>
          <t>Custom</t>
        </is>
      </c>
      <c r="Q585" s="13" t="inlineStr">
        <is>
          <t>KES</t>
        </is>
      </c>
      <c r="R585" s="13" t="inlineStr">
        <is>
          <t>-</t>
        </is>
      </c>
      <c r="S585" s="13" t="inlineStr">
        <is>
          <t>current</t>
        </is>
      </c>
      <c r="T585" s="13" t="inlineStr">
        <is>
          <t>Mid-tier Kenyan chain named among the significant survivors after the Nakumatt, Uchumi and Tuskys collapses.</t>
        </is>
      </c>
      <c r="U585" s="13" t="inlineStr">
        <is>
          <t>-</t>
        </is>
      </c>
      <c r="V585" s="13" t="inlineStr">
        <is>
          <t>P7</t>
        </is>
      </c>
    </row>
    <row r="586">
      <c r="A586" s="13" t="inlineStr">
        <is>
          <t>ssa</t>
        </is>
      </c>
      <c r="B586" s="13" t="inlineStr">
        <is>
          <t>kenya</t>
        </is>
      </c>
      <c r="C586" s="13" t="inlineStr">
        <is>
          <t>KEN</t>
        </is>
      </c>
      <c r="D586" s="13" t="inlineStr">
        <is>
          <t>Kenya</t>
        </is>
      </c>
      <c r="E586" s="13" t="inlineStr">
        <is>
          <t>Eastmatt</t>
        </is>
      </c>
      <c r="F586" s="13" t="inlineStr">
        <is>
          <t>https://eastmatt.co.ke/</t>
        </is>
      </c>
      <c r="G586" s="13" t="inlineStr">
        <is>
          <t>NOT PROBED - deduped, already onboarded, or time-boxed</t>
        </is>
      </c>
      <c r="H586" s="13" t="inlineStr"/>
      <c r="I586" s="13" t="inlineStr"/>
      <c r="J586" s="13" t="inlineStr"/>
      <c r="K586" s="13" t="inlineStr"/>
      <c r="L586" s="13" t="inlineStr"/>
      <c r="M586" s="13" t="inlineStr">
        <is>
          <t>SUSPECT</t>
        </is>
      </c>
      <c r="N586" s="13" t="inlineStr">
        <is>
          <t>C - engineering required</t>
        </is>
      </c>
      <c r="O586" s="13" t="n">
        <v>3</v>
      </c>
      <c r="P586" s="13" t="inlineStr">
        <is>
          <t>Custom</t>
        </is>
      </c>
      <c r="Q586" s="13" t="inlineStr">
        <is>
          <t>KES</t>
        </is>
      </c>
      <c r="R586" s="13" t="inlineStr">
        <is>
          <t>-</t>
        </is>
      </c>
      <c r="S586" s="13" t="inlineStr">
        <is>
          <t>current</t>
        </is>
      </c>
      <c r="T586" s="13" t="inlineStr">
        <is>
          <t>Regional chain with strength outside Nairobi.</t>
        </is>
      </c>
      <c r="U586" s="13" t="inlineStr">
        <is>
          <t>-</t>
        </is>
      </c>
      <c r="V586" s="13" t="inlineStr">
        <is>
          <t>P7</t>
        </is>
      </c>
    </row>
    <row r="587">
      <c r="A587" s="13" t="inlineStr">
        <is>
          <t>ssa</t>
        </is>
      </c>
      <c r="B587" s="13" t="inlineStr">
        <is>
          <t>kenya</t>
        </is>
      </c>
      <c r="C587" s="13" t="inlineStr">
        <is>
          <t>KEN</t>
        </is>
      </c>
      <c r="D587" s="13" t="inlineStr">
        <is>
          <t>Kenya</t>
        </is>
      </c>
      <c r="E587" s="13" t="inlineStr">
        <is>
          <t>Jumia Kenya</t>
        </is>
      </c>
      <c r="F587" s="13" t="inlineStr">
        <is>
          <t>https://www.jumia.co.ke/</t>
        </is>
      </c>
      <c r="G587" s="13" t="inlineStr">
        <is>
          <t>NOT PROBED - deduped, already onboarded, or time-boxed</t>
        </is>
      </c>
      <c r="H587" s="13" t="inlineStr"/>
      <c r="I587" s="13" t="inlineStr"/>
      <c r="J587" s="13" t="inlineStr"/>
      <c r="K587" s="13" t="inlineStr"/>
      <c r="L587" s="13" t="inlineStr"/>
      <c r="M587" s="13" t="inlineStr">
        <is>
          <t>ACCEPT</t>
        </is>
      </c>
      <c r="N587" s="13" t="inlineStr">
        <is>
          <t>C - engineering required</t>
        </is>
      </c>
      <c r="O587" s="13" t="n">
        <v>3</v>
      </c>
      <c r="P587" s="13" t="inlineStr">
        <is>
          <t>Custom</t>
        </is>
      </c>
      <c r="Q587" s="13" t="inlineStr">
        <is>
          <t>KES</t>
        </is>
      </c>
      <c r="R587" s="13" t="inlineStr">
        <is>
          <t>-</t>
        </is>
      </c>
      <c r="S587" s="13" t="inlineStr">
        <is>
          <t>current</t>
        </is>
      </c>
      <c r="T587" s="13" t="inlineStr">
        <is>
          <t>Also hosts a CARREFOUR BRAND STORE (jumia.co.ke/brand-carrefour) - a second, independent observation of Carrefour own-brand prices. Cross-channel price comparison for one brand.</t>
        </is>
      </c>
      <c r="U587" s="13" t="inlineStr">
        <is>
          <t>Jumia's Carrefour store prices differ markedly from carrefour.ke for the same items - that gap is itself a finding, not an error. Record the channel.</t>
        </is>
      </c>
      <c r="V587" s="13" t="inlineStr">
        <is>
          <t>P7</t>
        </is>
      </c>
    </row>
    <row r="588">
      <c r="A588" s="13" t="inlineStr">
        <is>
          <t>ssa</t>
        </is>
      </c>
      <c r="B588" s="13" t="inlineStr">
        <is>
          <t>kenya</t>
        </is>
      </c>
      <c r="C588" s="13" t="inlineStr">
        <is>
          <t>KEN</t>
        </is>
      </c>
      <c r="D588" s="13" t="inlineStr">
        <is>
          <t>Kenya</t>
        </is>
      </c>
      <c r="E588" s="13" t="inlineStr">
        <is>
          <t>Khetias</t>
        </is>
      </c>
      <c r="F588" s="13" t="inlineStr">
        <is>
          <t>https://khetias.com/</t>
        </is>
      </c>
      <c r="G588" s="13" t="inlineStr">
        <is>
          <t>NOT PROBED - deduped, already onboarded, or time-boxed</t>
        </is>
      </c>
      <c r="H588" s="13" t="inlineStr"/>
      <c r="I588" s="13" t="inlineStr"/>
      <c r="J588" s="13" t="inlineStr"/>
      <c r="K588" s="13" t="inlineStr"/>
      <c r="L588" s="13" t="inlineStr"/>
      <c r="M588" s="13" t="inlineStr">
        <is>
          <t>SUSPECT</t>
        </is>
      </c>
      <c r="N588" s="13" t="inlineStr">
        <is>
          <t>C - engineering required</t>
        </is>
      </c>
      <c r="O588" s="13" t="n">
        <v>3</v>
      </c>
      <c r="P588" s="13" t="inlineStr">
        <is>
          <t>Custom</t>
        </is>
      </c>
      <c r="Q588" s="13" t="inlineStr">
        <is>
          <t>KES</t>
        </is>
      </c>
      <c r="R588" s="13" t="inlineStr">
        <is>
          <t>-</t>
        </is>
      </c>
      <c r="S588" s="13" t="inlineStr">
        <is>
          <t>current</t>
        </is>
      </c>
      <c r="T588" s="13" t="inlineStr">
        <is>
          <t>Western Kenya chain - valuable because most Kenyan sources are Nairobi-centric.</t>
        </is>
      </c>
      <c r="U588" s="13" t="inlineStr">
        <is>
          <t>-</t>
        </is>
      </c>
      <c r="V588" s="13" t="inlineStr">
        <is>
          <t>P7</t>
        </is>
      </c>
    </row>
    <row r="589">
      <c r="A589" s="13" t="inlineStr">
        <is>
          <t>ssa</t>
        </is>
      </c>
      <c r="B589" s="13" t="inlineStr">
        <is>
          <t>kenya</t>
        </is>
      </c>
      <c r="C589" s="13" t="inlineStr">
        <is>
          <t>KEN</t>
        </is>
      </c>
      <c r="D589" s="13" t="inlineStr">
        <is>
          <t>Kenya</t>
        </is>
      </c>
      <c r="E589" s="13" t="inlineStr">
        <is>
          <t>Uber Eats Kenya</t>
        </is>
      </c>
      <c r="F589" s="13" t="inlineStr">
        <is>
          <t>https://www.ubereats.com/ke</t>
        </is>
      </c>
      <c r="G589" s="13" t="inlineStr">
        <is>
          <t>NOT PROBED - deduped, already onboarded, or time-boxed</t>
        </is>
      </c>
      <c r="H589" s="13" t="inlineStr"/>
      <c r="I589" s="13" t="inlineStr"/>
      <c r="J589" s="13" t="inlineStr"/>
      <c r="K589" s="13" t="inlineStr"/>
      <c r="L589" s="13" t="inlineStr"/>
      <c r="M589" s="13" t="inlineStr">
        <is>
          <t>SUSPECT</t>
        </is>
      </c>
      <c r="N589" s="13" t="inlineStr">
        <is>
          <t>D - hard / app / index only</t>
        </is>
      </c>
      <c r="O589" s="13" t="n">
        <v>2</v>
      </c>
      <c r="P589" s="13" t="inlineStr">
        <is>
          <t>Custom/Enterprise</t>
        </is>
      </c>
      <c r="Q589" s="13" t="inlineStr">
        <is>
          <t>KES</t>
        </is>
      </c>
      <c r="R589" s="13" t="inlineStr">
        <is>
          <t>-</t>
        </is>
      </c>
      <c r="S589" s="13" t="inlineStr">
        <is>
          <t>current</t>
        </is>
      </c>
      <c r="T589" s="13" t="inlineStr">
        <is>
          <t>Second platform for enumeration.</t>
        </is>
      </c>
      <c r="U589" s="13" t="inlineStr">
        <is>
          <t>-</t>
        </is>
      </c>
      <c r="V589" s="13" t="inlineStr">
        <is>
          <t>P7</t>
        </is>
      </c>
    </row>
    <row r="590">
      <c r="A590" s="13" t="inlineStr">
        <is>
          <t>ssa</t>
        </is>
      </c>
      <c r="B590" s="13" t="inlineStr">
        <is>
          <t>kenya</t>
        </is>
      </c>
      <c r="C590" s="13" t="inlineStr">
        <is>
          <t>KEN</t>
        </is>
      </c>
      <c r="D590" s="13" t="inlineStr">
        <is>
          <t>Kenya</t>
        </is>
      </c>
      <c r="E590" s="13" t="inlineStr">
        <is>
          <t>Carrefour Kenya</t>
        </is>
      </c>
      <c r="F590" s="13" t="inlineStr">
        <is>
          <t>https://www.carrefour.ke/mafken/en/c/ken-bn-home</t>
        </is>
      </c>
      <c r="G590" s="13" t="inlineStr">
        <is>
          <t>PROBED - SKIP</t>
        </is>
      </c>
      <c r="H590" s="13" t="inlineStr">
        <is>
          <t>SKIP</t>
        </is>
      </c>
      <c r="I590" s="13" t="inlineStr">
        <is>
          <t>high</t>
        </is>
      </c>
      <c r="J590" s="13" t="n">
        <v>0</v>
      </c>
      <c r="K590" s="13" t="inlineStr"/>
      <c r="L590" s="13" t="inlineStr">
        <is>
          <t>curl -A &lt;chrome-UA&gt; -&gt; HTTP 403 (75-byte body). Playwright headless goto() -&gt; HTTP 403 (same page, no product data, no Algolia calls observed in the network trace). Both tiers blocked -&gt; stop per protocol.</t>
        </is>
      </c>
      <c r="M590" s="13" t="inlineStr">
        <is>
          <t>ACCEPT</t>
        </is>
      </c>
      <c r="N590" s="13" t="inlineStr">
        <is>
          <t>B - moderate effort</t>
        </is>
      </c>
      <c r="O590" s="13" t="n">
        <v>4</v>
      </c>
      <c r="P590" s="13" t="inlineStr">
        <is>
          <t>Custom (MAF stack)</t>
        </is>
      </c>
      <c r="Q590" s="13" t="inlineStr">
        <is>
          <t>KES</t>
        </is>
      </c>
      <c r="R590" s="13" t="inlineStr">
        <is>
          <t>MAF Algolia XHR; replay with the public app key.</t>
        </is>
      </c>
      <c r="S590" s="13" t="inlineStr">
        <is>
          <t>current, was_price, discount_pct, stock_count, delivery_slot</t>
        </is>
      </c>
      <c r="T590" s="13" t="inlineStr">
        <is>
          <t>Five fields including STOCK COUNT ('Only 1 left', 'Only 2 left') and the next delivery slot. Stock counts are a genuine bonus - they proxy for availability and stockouts, which matter for interpreting price movements in thin markets. Strong staple coverage with per-kg produce (tomato 1kg, banana 1kg, onion 1kg) and clear was/now pairs. MAF/Algolia stack shared with the Gulf, Pakistan, Uganda and Georgia.</t>
        </is>
      </c>
      <c r="U590" s="13" t="inlineStr">
        <is>
          <t>Consistently the cheapest of the big three Kenyan chains, so it is not representative of the national average on its own. Pair with Naivas and Quickmart.</t>
        </is>
      </c>
      <c r="V590" s="13" t="inlineStr">
        <is>
          <t>P7</t>
        </is>
      </c>
    </row>
    <row r="591">
      <c r="A591" s="13" t="inlineStr">
        <is>
          <t>ssa</t>
        </is>
      </c>
      <c r="B591" s="13" t="inlineStr">
        <is>
          <t>kenya</t>
        </is>
      </c>
      <c r="C591" s="13" t="inlineStr">
        <is>
          <t>KEN</t>
        </is>
      </c>
      <c r="D591" s="13" t="inlineStr">
        <is>
          <t>Kenya</t>
        </is>
      </c>
      <c r="E591" s="13" t="inlineStr">
        <is>
          <t>Glovo Kenya</t>
        </is>
      </c>
      <c r="F591" s="13" t="inlineStr">
        <is>
          <t>https://glovoapp.com/ke/</t>
        </is>
      </c>
      <c r="G591" s="13" t="inlineStr">
        <is>
          <t>PROBED - SKIP</t>
        </is>
      </c>
      <c r="H591" s="13" t="inlineStr">
        <is>
          <t>SKIP</t>
        </is>
      </c>
      <c r="I591" s="13" t="inlineStr">
        <is>
          <t>medium</t>
        </is>
      </c>
      <c r="J591" s="13" t="n">
        <v>0</v>
      </c>
      <c r="K591" s="13" t="inlineStr"/>
      <c r="L591" s="13" t="inlineStr">
        <is>
          <t>Not independently re-probed this round; CSV notes catalogue is client-rendered (SPA).</t>
        </is>
      </c>
      <c r="M591" s="13" t="inlineStr">
        <is>
          <t>ACCEPT</t>
        </is>
      </c>
      <c r="N591" s="13" t="inlineStr">
        <is>
          <t>C - engineering required</t>
        </is>
      </c>
      <c r="O591" s="13" t="n">
        <v>3</v>
      </c>
      <c r="P591" s="13" t="inlineStr">
        <is>
          <t>Custom</t>
        </is>
      </c>
      <c r="Q591" s="13" t="inlineStr">
        <is>
          <t>KES</t>
        </is>
      </c>
      <c r="R591" s="13" t="inlineStr">
        <is>
          <t>-</t>
        </is>
      </c>
      <c r="S591" s="13" t="inlineStr">
        <is>
          <t>current</t>
        </is>
      </c>
      <c r="T591" s="13" t="inlineStr">
        <is>
          <t>Enumerates Kenyan partner supermarkets by city.</t>
        </is>
      </c>
      <c r="U591" s="13" t="inlineStr">
        <is>
          <t>Verify Glovo is still trading in Kenya - it exited Ghana in May 2024.</t>
        </is>
      </c>
      <c r="V591" s="13" t="inlineStr">
        <is>
          <t>P7</t>
        </is>
      </c>
    </row>
    <row r="592">
      <c r="A592" s="13" t="inlineStr">
        <is>
          <t>ssa</t>
        </is>
      </c>
      <c r="B592" s="13" t="inlineStr">
        <is>
          <t>kenya</t>
        </is>
      </c>
      <c r="C592" s="13" t="inlineStr">
        <is>
          <t>KEN</t>
        </is>
      </c>
      <c r="D592" s="13" t="inlineStr">
        <is>
          <t>Kenya</t>
        </is>
      </c>
      <c r="E592" s="13" t="inlineStr">
        <is>
          <t>Keekapu</t>
        </is>
      </c>
      <c r="F592" s="13" t="inlineStr">
        <is>
          <t>https://www.keekapu.com/</t>
        </is>
      </c>
      <c r="G592" s="13" t="inlineStr">
        <is>
          <t>PROBED - SKIP</t>
        </is>
      </c>
      <c r="H592" s="13" t="inlineStr">
        <is>
          <t>SKIP</t>
        </is>
      </c>
      <c r="I592" s="13" t="inlineStr">
        <is>
          <t>high</t>
        </is>
      </c>
      <c r="J592" s="13" t="n">
        <v>0</v>
      </c>
      <c r="K592" s="13" t="inlineStr"/>
      <c r="L592" s="13" t="inlineStr">
        <is>
          <t>GET /wp-json/wc/store/v1/products -&gt; HTTP 200 but body is an Angular app shell (index.html, '&lt;div ng-version...') not JSON. The CSV's own EXTRACTION column endpoint is a false lead -- this is not actually a WooCommerce site despite the platform column.</t>
        </is>
      </c>
      <c r="M592" s="13" t="inlineStr">
        <is>
          <t>SUSPECT</t>
        </is>
      </c>
      <c r="N592" s="13" t="inlineStr">
        <is>
          <t>A - low-hanging fruit</t>
        </is>
      </c>
      <c r="O592" s="13" t="n">
        <v>5</v>
      </c>
      <c r="P592" s="13" t="inlineStr">
        <is>
          <t>WordPress/WooCommerce</t>
        </is>
      </c>
      <c r="Q592" s="13" t="inlineStr">
        <is>
          <t>KES</t>
        </is>
      </c>
      <c r="R592" s="13" t="inlineStr">
        <is>
          <t>/wp-json/wc/store/v1/products</t>
        </is>
      </c>
      <c r="S592" s="13" t="inlineStr">
        <is>
          <t>current</t>
        </is>
      </c>
      <c r="T592" s="13" t="inlineStr">
        <is>
          <t>Fresh-produce specialist.</t>
        </is>
      </c>
      <c r="U592" s="13" t="inlineStr">
        <is>
          <t>-</t>
        </is>
      </c>
      <c r="V592" s="13" t="inlineStr">
        <is>
          <t>P7</t>
        </is>
      </c>
    </row>
    <row r="593">
      <c r="A593" s="13" t="inlineStr">
        <is>
          <t>ssa</t>
        </is>
      </c>
      <c r="B593" s="13" t="inlineStr">
        <is>
          <t>kenya</t>
        </is>
      </c>
      <c r="C593" s="13" t="inlineStr">
        <is>
          <t>KEN</t>
        </is>
      </c>
      <c r="D593" s="13" t="inlineStr">
        <is>
          <t>Kenya</t>
        </is>
      </c>
      <c r="E593" s="13" t="inlineStr">
        <is>
          <t>Naivas Online</t>
        </is>
      </c>
      <c r="F593" s="13" t="inlineStr">
        <is>
          <t>https://naivas.online/</t>
        </is>
      </c>
      <c r="G593" s="13" t="inlineStr">
        <is>
          <t>PROBED - SKIP</t>
        </is>
      </c>
      <c r="H593" s="13" t="inlineStr">
        <is>
          <t>SKIP</t>
        </is>
      </c>
      <c r="I593" s="13" t="inlineStr">
        <is>
          <t>high</t>
        </is>
      </c>
      <c r="J593" s="13" t="n">
        <v>0</v>
      </c>
      <c r="K593" s="13" t="inlineStr"/>
      <c r="L593" s="13" t="inlineStr">
        <is>
          <t>curl -&gt; HTTP 301 to https://naivas.online/, follow -&gt; HTTP 403, cf-ray header present (Cloudflare). Not Playwright-verified (time budget); recorded as needs-Playwright-confirmation, not a hard structural block yet.</t>
        </is>
      </c>
      <c r="M593" s="13" t="inlineStr">
        <is>
          <t>ACCEPT</t>
        </is>
      </c>
      <c r="N593" s="13" t="inlineStr">
        <is>
          <t>C - engineering required</t>
        </is>
      </c>
      <c r="O593" s="13" t="n">
        <v>3</v>
      </c>
      <c r="P593" s="13" t="inlineStr">
        <is>
          <t>Custom</t>
        </is>
      </c>
      <c r="Q593" s="13" t="inlineStr">
        <is>
          <t>KES</t>
        </is>
      </c>
      <c r="R593" s="13" t="inlineStr">
        <is>
          <t>-</t>
        </is>
      </c>
      <c r="S593" s="13" t="inlineStr">
        <is>
          <t>current, was_price, discount_pct, save_amount</t>
        </is>
      </c>
      <c r="T593" s="13" t="inlineStr">
        <is>
          <t>Largest Kenyan-owned chain. Four fields including an explicit 'Save KES' amount. Carries a NAIVAS PRIVATE LABEL range priced alongside branded equivalents (Naivas sugar, UHT milk, rice, tomato sauce), which allows a clean own-brand versus branded price gap on identical categories.</t>
        </is>
      </c>
      <c r="U593" s="13" t="inlineStr">
        <is>
          <t>The corporate site naivas.info says 'Page Coming Soon' and links out - the real catalogue is naivas.online. Do not crawl naivas.info.</t>
        </is>
      </c>
      <c r="V593" s="13" t="inlineStr">
        <is>
          <t>P7</t>
        </is>
      </c>
    </row>
    <row r="594">
      <c r="A594" s="13" t="inlineStr">
        <is>
          <t>ssa</t>
        </is>
      </c>
      <c r="B594" s="13" t="inlineStr">
        <is>
          <t>kenya</t>
        </is>
      </c>
      <c r="C594" s="13" t="inlineStr">
        <is>
          <t>KEN</t>
        </is>
      </c>
      <c r="D594" s="13" t="inlineStr">
        <is>
          <t>Kenya</t>
        </is>
      </c>
      <c r="E594" s="13" t="inlineStr">
        <is>
          <t>Greenspoon</t>
        </is>
      </c>
      <c r="F594" s="13" t="inlineStr">
        <is>
          <t>https://greenspoon.co.ke/</t>
        </is>
      </c>
      <c r="G594" s="13" t="inlineStr">
        <is>
          <t>PROBED - VIABLE</t>
        </is>
      </c>
      <c r="H594" s="13" t="inlineStr">
        <is>
          <t>TIER_1B</t>
        </is>
      </c>
      <c r="I594" s="13" t="inlineStr">
        <is>
          <t>low</t>
        </is>
      </c>
      <c r="J594" s="13" t="n">
        <v>40</v>
      </c>
      <c r="K594" s="13" t="inlineStr">
        <is>
          <t>/wp-json/wc/store/v1/products</t>
        </is>
      </c>
      <c r="L594" s="13" t="inlineStr">
        <is>
          <t>GET /wp-json/wc/store/v1/products?per_page=3 -&gt; 200, WooCommerce Store API open no auth. currency_minor_unit=0. Sample 'Hobby Pomegranate Blossom Body Wash' KES 498.</t>
        </is>
      </c>
      <c r="M594" s="13" t="inlineStr">
        <is>
          <t>ACCEPT</t>
        </is>
      </c>
      <c r="N594" s="13" t="inlineStr">
        <is>
          <t>A - low-hanging fruit</t>
        </is>
      </c>
      <c r="O594" s="13" t="n">
        <v>5</v>
      </c>
      <c r="P594" s="13" t="inlineStr">
        <is>
          <t>WordPress/WooCommerce</t>
        </is>
      </c>
      <c r="Q594" s="13" t="inlineStr">
        <is>
          <t>KES</t>
        </is>
      </c>
      <c r="R594" s="13" t="inlineStr">
        <is>
          <t>/wp-json/wc/store/v1/products?per_page=100</t>
        </is>
      </c>
      <c r="S594" s="13" t="inlineStr">
        <is>
          <t>current</t>
        </is>
      </c>
      <c r="T594" s="13" t="inlineStr">
        <is>
          <t>Organic/artisan grocer with named local producers. WooCommerce.</t>
        </is>
      </c>
      <c r="U594" s="13" t="inlineStr">
        <is>
          <t>-</t>
        </is>
      </c>
      <c r="V594" s="13" t="inlineStr">
        <is>
          <t>P7</t>
        </is>
      </c>
    </row>
    <row r="595">
      <c r="A595" s="13" t="inlineStr">
        <is>
          <t>ssa</t>
        </is>
      </c>
      <c r="B595" s="13" t="inlineStr">
        <is>
          <t>kenya</t>
        </is>
      </c>
      <c r="C595" s="13" t="inlineStr">
        <is>
          <t>KEN</t>
        </is>
      </c>
      <c r="D595" s="13" t="inlineStr">
        <is>
          <t>Kenya</t>
        </is>
      </c>
      <c r="E595" s="13" t="inlineStr">
        <is>
          <t>Quickmart</t>
        </is>
      </c>
      <c r="F595" s="13" t="inlineStr">
        <is>
          <t>https://www.quickmart.co.ke/</t>
        </is>
      </c>
      <c r="G595" s="13" t="inlineStr">
        <is>
          <t>PROBED - VIABLE</t>
        </is>
      </c>
      <c r="H595" s="13" t="inlineStr">
        <is>
          <t>TIER_2</t>
        </is>
      </c>
      <c r="I595" s="13" t="inlineStr">
        <is>
          <t>medium</t>
        </is>
      </c>
      <c r="J595" s="13" t="n">
        <v>0</v>
      </c>
      <c r="K595" s="13" t="inlineStr"/>
      <c r="L595" s="13" t="inlineStr">
        <is>
          <t>curl -&gt; HTTP 200 (46.8KB, no product data, no framework fingerprint). Playwright homepage load + 9s wait -&gt; only 3 network responses, all non-product (Google Maps JS). Confirms CSV's own note: catalogue requires a store/location selection step before any product data loads; a single homepage render never reaches it.</t>
        </is>
      </c>
      <c r="M595" s="13" t="inlineStr">
        <is>
          <t>ACCEPT</t>
        </is>
      </c>
      <c r="N595" s="13" t="inlineStr">
        <is>
          <t>C - engineering required</t>
        </is>
      </c>
      <c r="O595" s="13" t="n">
        <v>3</v>
      </c>
      <c r="P595" s="13" t="inlineStr">
        <is>
          <t>Custom</t>
        </is>
      </c>
      <c r="Q595" s="13" t="inlineStr">
        <is>
          <t>KES</t>
        </is>
      </c>
      <c r="R595" s="13" t="inlineStr">
        <is>
          <t>Set location, then walk categories; repeat per town.</t>
        </is>
      </c>
      <c r="S595" s="13" t="inlineStr">
        <is>
          <t>current, q_points</t>
        </is>
      </c>
      <c r="T595" s="13" t="inlineStr">
        <is>
          <t>STRONG: 50,000+ products with same-day delivery in Nairobi, Mombasa, Kisumu and 16 more towns - 19 towns total, the widest verified geographic reach of any Kenyan grocer in this database. Runs the Q Soko platform. Nineteen-town coverage makes it the best single Kenyan source for spatial price dispersion.</t>
        </is>
      </c>
      <c r="U595" s="13" t="inlineStr">
        <is>
          <t>Store/location must be selected before the catalogue populates; crawl per town to build the spatial panel rather than accepting a default.</t>
        </is>
      </c>
      <c r="V595" s="13" t="inlineStr">
        <is>
          <t>P7</t>
        </is>
      </c>
    </row>
    <row r="596">
      <c r="A596" s="13" t="inlineStr">
        <is>
          <t>ssa</t>
        </is>
      </c>
      <c r="B596" s="13" t="inlineStr">
        <is>
          <t>lesotho</t>
        </is>
      </c>
      <c r="C596" s="13" t="inlineStr">
        <is>
          <t>LSO</t>
        </is>
      </c>
      <c r="D596" s="13" t="inlineStr">
        <is>
          <t>Lesotho</t>
        </is>
      </c>
      <c r="E596" s="13" t="inlineStr">
        <is>
          <t>LocalBites Lesotho</t>
        </is>
      </c>
      <c r="F596" s="13" t="inlineStr">
        <is>
          <t>https://store.localbites.co.ls/</t>
        </is>
      </c>
      <c r="G596" s="13" t="inlineStr">
        <is>
          <t>PROBED - SKIP</t>
        </is>
      </c>
      <c r="H596" s="13" t="inlineStr">
        <is>
          <t>SKIP</t>
        </is>
      </c>
      <c r="I596" s="13" t="inlineStr">
        <is>
          <t>medium</t>
        </is>
      </c>
      <c r="J596" s="13" t="n">
        <v>0</v>
      </c>
      <c r="K596" s="13" t="inlineStr">
        <is>
          <t>none found</t>
        </is>
      </c>
      <c r="L596" s="13" t="inlineStr">
        <is>
          <t>curl 200, 346KB homepage, but GET /products.json?limit=250 -&gt; 404 -- not actually a Shopify storefront at the root domain despite one incidental 'Shopify' string match on the homepage (likely an unrelated script/analytics reference, alongside one 'Woocommerce' string too). Matches CSV's own note that groceries are flagged 'coming soon'.</t>
        </is>
      </c>
      <c r="M596" s="13" t="inlineStr">
        <is>
          <t>ACCEPT</t>
        </is>
      </c>
      <c r="N596" s="13" t="inlineStr">
        <is>
          <t>not scored</t>
        </is>
      </c>
      <c r="O596" s="13" t="inlineStr"/>
      <c r="P596" s="13" t="inlineStr">
        <is>
          <t>Custom</t>
        </is>
      </c>
      <c r="Q596" s="13" t="inlineStr">
        <is>
          <t>LSL</t>
        </is>
      </c>
      <c r="R596" s="13" t="inlineStr">
        <is>
          <t>-</t>
        </is>
      </c>
      <c r="S596" s="13" t="inlineStr">
        <is>
          <t>-</t>
        </is>
      </c>
      <c r="T596" s="13" t="inlineStr">
        <is>
          <t>Live: L prices, Maseru; groceries flagged 'coming soon' but food/liquor live.</t>
        </is>
      </c>
      <c r="U596" s="13" t="inlineStr">
        <is>
          <t>-</t>
        </is>
      </c>
      <c r="V596" s="13" t="inlineStr">
        <is>
          <t>P1</t>
        </is>
      </c>
    </row>
    <row r="597">
      <c r="A597" s="13" t="inlineStr">
        <is>
          <t>ssa</t>
        </is>
      </c>
      <c r="B597" s="13" t="inlineStr">
        <is>
          <t>lesotho</t>
        </is>
      </c>
      <c r="C597" s="13" t="inlineStr">
        <is>
          <t>LSO</t>
        </is>
      </c>
      <c r="D597" s="13" t="inlineStr">
        <is>
          <t>Lesotho</t>
        </is>
      </c>
      <c r="E597" s="13" t="inlineStr">
        <is>
          <t>Pick n Pay Lesotho</t>
        </is>
      </c>
      <c r="F597" s="13" t="inlineStr">
        <is>
          <t>https://www.pnp.co.ls/</t>
        </is>
      </c>
      <c r="G597" s="13" t="inlineStr">
        <is>
          <t>PROBED - SKIP</t>
        </is>
      </c>
      <c r="H597" s="13" t="inlineStr">
        <is>
          <t>SKIP</t>
        </is>
      </c>
      <c r="I597" s="13" t="inlineStr">
        <is>
          <t>low</t>
        </is>
      </c>
      <c r="J597" s="13" t="n">
        <v>0</v>
      </c>
      <c r="K597" s="13" t="inlineStr"/>
      <c r="L597" s="13" t="inlineStr">
        <is>
          <t>curl exit 000 (connection failure / no response) on both the initial probe and a retry.</t>
        </is>
      </c>
      <c r="M597" s="13" t="inlineStr">
        <is>
          <t>SUSPECT</t>
        </is>
      </c>
      <c r="N597" s="13" t="inlineStr">
        <is>
          <t>not scored</t>
        </is>
      </c>
      <c r="O597" s="13" t="inlineStr"/>
      <c r="P597" s="13" t="inlineStr">
        <is>
          <t>Custom</t>
        </is>
      </c>
      <c r="Q597" s="13" t="inlineStr">
        <is>
          <t>LSL</t>
        </is>
      </c>
      <c r="R597" s="13" t="inlineStr">
        <is>
          <t>-</t>
        </is>
      </c>
      <c r="S597" s="13" t="inlineStr">
        <is>
          <t>-</t>
        </is>
      </c>
      <c r="T597" s="13" t="inlineStr">
        <is>
          <t>Carried from v2; verify - PnP franchise sites often redirect to the SA parent.</t>
        </is>
      </c>
      <c r="U597" s="13" t="inlineStr">
        <is>
          <t>-</t>
        </is>
      </c>
      <c r="V597" s="13" t="inlineStr">
        <is>
          <t>P1</t>
        </is>
      </c>
    </row>
    <row r="598">
      <c r="A598" s="13" t="inlineStr">
        <is>
          <t>ssa</t>
        </is>
      </c>
      <c r="B598" s="13" t="inlineStr">
        <is>
          <t>lesotho</t>
        </is>
      </c>
      <c r="C598" s="13" t="inlineStr">
        <is>
          <t>LSO</t>
        </is>
      </c>
      <c r="D598" s="13" t="inlineStr">
        <is>
          <t>Lesotho</t>
        </is>
      </c>
      <c r="E598" s="13" t="inlineStr">
        <is>
          <t>Shoprite Lesotho</t>
        </is>
      </c>
      <c r="F598" s="13" t="inlineStr">
        <is>
          <t>https://www.shoprite.co.ls/</t>
        </is>
      </c>
      <c r="G598" s="13" t="inlineStr">
        <is>
          <t>PROBED - SKIP</t>
        </is>
      </c>
      <c r="H598" s="13" t="inlineStr">
        <is>
          <t>SKIP</t>
        </is>
      </c>
      <c r="I598" s="13" t="inlineStr">
        <is>
          <t>high</t>
        </is>
      </c>
      <c r="J598" s="13" t="n">
        <v>0</v>
      </c>
      <c r="K598" s="13" t="inlineStr">
        <is>
          <t>n/a -- no e-commerce surface exists</t>
        </is>
      </c>
      <c r="L598" s="13" t="inlineStr">
        <is>
          <t>curl 200, 30.5KB, HTTP/AWS CloudFront. But this is a corporate AEM (Adobe Experience Manager) brochure site: all internal links are /content/shopriteafrica/ls/en/{home,contact-us,explore-shoprite,explore-shoprite/baby,explore-shoprite/butchery,explore-shoprite/liquorshop,recipes,specials,store-locator}.html -- marketing/brand pages, recipes, and a store locator, not a product catalog or online-ordering flow. No product prices, no cart, no per-SKU pages anywhere in the site structure.</t>
        </is>
      </c>
      <c r="M598" s="13" t="inlineStr">
        <is>
          <t>SUSPECT</t>
        </is>
      </c>
      <c r="N598" s="13" t="inlineStr">
        <is>
          <t>not scored</t>
        </is>
      </c>
      <c r="O598" s="13" t="inlineStr"/>
      <c r="P598" s="13" t="inlineStr">
        <is>
          <t>Custom</t>
        </is>
      </c>
      <c r="Q598" s="13" t="inlineStr">
        <is>
          <t>LSL</t>
        </is>
      </c>
      <c r="R598" s="13" t="inlineStr">
        <is>
          <t>-</t>
        </is>
      </c>
      <c r="S598" s="13" t="inlineStr">
        <is>
          <t>-</t>
        </is>
      </c>
      <c r="T598" s="13" t="inlineStr">
        <is>
          <t>Shoprite retains Lesotho (Southern Africa core) but confirm before use.</t>
        </is>
      </c>
      <c r="U598" s="13" t="inlineStr">
        <is>
          <t>-</t>
        </is>
      </c>
      <c r="V598" s="13" t="inlineStr">
        <is>
          <t>P1</t>
        </is>
      </c>
    </row>
    <row r="599">
      <c r="A599" s="13" t="inlineStr">
        <is>
          <t>ssa</t>
        </is>
      </c>
      <c r="B599" s="13" t="inlineStr">
        <is>
          <t>lesotho</t>
        </is>
      </c>
      <c r="C599" s="13" t="inlineStr">
        <is>
          <t>LSO</t>
        </is>
      </c>
      <c r="D599" s="13" t="inlineStr">
        <is>
          <t>Lesotho</t>
        </is>
      </c>
      <c r="E599" s="13" t="inlineStr">
        <is>
          <t>Lesotho Virtual Mall</t>
        </is>
      </c>
      <c r="F599" s="13" t="inlineStr">
        <is>
          <t>https://www.lesothovirtualmall.co.ls/store/m-grocery/</t>
        </is>
      </c>
      <c r="G599" s="13" t="inlineStr">
        <is>
          <t>PROBED - VIABLE</t>
        </is>
      </c>
      <c r="H599" s="13" t="inlineStr">
        <is>
          <t>TIER_1B</t>
        </is>
      </c>
      <c r="I599" s="13" t="inlineStr">
        <is>
          <t>low</t>
        </is>
      </c>
      <c r="J599" s="13" t="n">
        <v>65</v>
      </c>
      <c r="K599" s="13" t="inlineStr">
        <is>
          <t>/wp-json/wc/store/v1/products?per_page=100</t>
        </is>
      </c>
      <c r="L599" s="13" t="inlineStr">
        <is>
          <t>WooCommerce Store API confirmed: GET https://www.lesothovirtualmall.co.ls/wp-json/wc/store/v1/products?per_page=20 -&gt; 200, 190KB, 1080+ products. Sample: '1/4 Chicken - Njays Menu' price=8800, currency_minor_unit=2 -&gt; M88.00. GOTCHA: the API's currency_code field returns 'TMT' (Turkmenistan Manat's ISO code, clearly a site misconfiguration) while currency_symbol is 'm' (Maloti) and the price scale matches real Lesotho pricing -- hardcode LSL, do not trust the currency_code field from this API.</t>
        </is>
      </c>
      <c r="M599" s="13" t="inlineStr">
        <is>
          <t>ACCEPT</t>
        </is>
      </c>
      <c r="N599" s="13" t="inlineStr">
        <is>
          <t>not scored</t>
        </is>
      </c>
      <c r="O599" s="13" t="inlineStr"/>
      <c r="P599" s="13" t="inlineStr">
        <is>
          <t>WordPress/WooCommerce</t>
        </is>
      </c>
      <c r="Q599" s="13" t="inlineStr">
        <is>
          <t>LSL</t>
        </is>
      </c>
      <c r="R599" s="13" t="inlineStr">
        <is>
          <t>-</t>
        </is>
      </c>
      <c r="S599" s="13" t="inlineStr">
        <is>
          <t>-</t>
        </is>
      </c>
      <c r="T599" s="13" t="inlineStr">
        <is>
          <t>STRONG: 1,080 products with maloti (m) prices, WooCommerce, variant ranges.</t>
        </is>
      </c>
      <c r="U599" s="13" t="inlineStr">
        <is>
          <t>-</t>
        </is>
      </c>
      <c r="V599" s="13" t="inlineStr">
        <is>
          <t>P1</t>
        </is>
      </c>
    </row>
    <row r="600">
      <c r="A600" s="13" t="inlineStr">
        <is>
          <t>ssa</t>
        </is>
      </c>
      <c r="B600" s="13" t="inlineStr">
        <is>
          <t>lesotho</t>
        </is>
      </c>
      <c r="C600" s="13" t="inlineStr">
        <is>
          <t>LSO</t>
        </is>
      </c>
      <c r="D600" s="13" t="inlineStr">
        <is>
          <t>Lesotho</t>
        </is>
      </c>
      <c r="E600" s="13" t="inlineStr">
        <is>
          <t>Lesotho Virtual Mall - M Grocery</t>
        </is>
      </c>
      <c r="F600" s="13" t="inlineStr">
        <is>
          <t>https://www.lesothovirtualmall.co.ls/store/m-grocery/</t>
        </is>
      </c>
      <c r="G600" s="13" t="inlineStr">
        <is>
          <t>PROBED - VIABLE</t>
        </is>
      </c>
      <c r="H600" s="13" t="inlineStr">
        <is>
          <t>TIER_1B</t>
        </is>
      </c>
      <c r="I600" s="13" t="inlineStr">
        <is>
          <t>low</t>
        </is>
      </c>
      <c r="J600" s="13" t="n">
        <v>65</v>
      </c>
      <c r="K600" s="13" t="inlineStr">
        <is>
          <t>/wp-json/wc/store/v1/products?per_page=100</t>
        </is>
      </c>
      <c r="L600" s="13" t="inlineStr">
        <is>
          <t>WooCommerce Store API confirmed: GET https://www.lesothovirtualmall.co.ls/wp-json/wc/store/v1/products?per_page=20 -&gt; 200, 190KB, 1080+ products. Sample: '1/4 Chicken - Njays Menu' price=8800, currency_minor_unit=2 -&gt; M88.00. GOTCHA: the API's currency_code field returns 'TMT' (Turkmenistan Manat's ISO code, clearly a site misconfiguration) while currency_symbol is 'm' (Maloti) and the price scale matches real Lesotho pricing -- hardcode LSL, do not trust the currency_code field from this API.</t>
        </is>
      </c>
      <c r="M600" s="13" t="inlineStr">
        <is>
          <t>ACCEPT</t>
        </is>
      </c>
      <c r="N600" s="13" t="inlineStr">
        <is>
          <t>not scored</t>
        </is>
      </c>
      <c r="O600" s="13" t="inlineStr"/>
      <c r="P600" s="13" t="inlineStr">
        <is>
          <t>WordPress/WooCommerce</t>
        </is>
      </c>
      <c r="Q600" s="13" t="inlineStr">
        <is>
          <t>LSL</t>
        </is>
      </c>
      <c r="R600" s="13" t="inlineStr">
        <is>
          <t>-</t>
        </is>
      </c>
      <c r="S600" s="13" t="inlineStr">
        <is>
          <t>-</t>
        </is>
      </c>
      <c r="T600" s="13" t="inlineStr">
        <is>
          <t>CONFIRMED 1,080 products, maloti (m) prices, WooCommerce variant ranges (potatoes m17.80-88.80). Sesotho product notes on some lines.</t>
        </is>
      </c>
      <c r="U600" s="13" t="inlineStr">
        <is>
          <t>-</t>
        </is>
      </c>
      <c r="V600" s="13" t="inlineStr">
        <is>
          <t>P2</t>
        </is>
      </c>
    </row>
    <row r="601">
      <c r="A601" s="13" t="inlineStr">
        <is>
          <t>ssa</t>
        </is>
      </c>
      <c r="B601" s="13" t="inlineStr">
        <is>
          <t>lesotho</t>
        </is>
      </c>
      <c r="C601" s="13" t="inlineStr">
        <is>
          <t>LSO</t>
        </is>
      </c>
      <c r="D601" s="13" t="inlineStr">
        <is>
          <t>Lesotho</t>
        </is>
      </c>
      <c r="E601" s="13" t="inlineStr">
        <is>
          <t>Wiza Shopping</t>
        </is>
      </c>
      <c r="F601" s="13" t="inlineStr">
        <is>
          <t>https://wizashopping.co.ls/</t>
        </is>
      </c>
      <c r="G601" s="13" t="inlineStr">
        <is>
          <t>PROBED - VIABLE</t>
        </is>
      </c>
      <c r="H601" s="13" t="inlineStr">
        <is>
          <t>TIER_1B</t>
        </is>
      </c>
      <c r="I601" s="13" t="inlineStr">
        <is>
          <t>low</t>
        </is>
      </c>
      <c r="J601" s="13" t="n">
        <v>15</v>
      </c>
      <c r="K601" s="13" t="inlineStr">
        <is>
          <t>/wp-json/wc/store/v1/products?per_page=100</t>
        </is>
      </c>
      <c r="L601" s="13" t="inlineStr">
        <is>
          <t>WooCommerce Store API confirmed: GET https://wizashopping.co.ls/wp-json/wc/store/v1/products?per_page=20 -&gt; 200, 63KB. Sample: 'Pork Chops per KG' price=11555 -&gt; M115.55 (per-kg meat pricing).</t>
        </is>
      </c>
      <c r="M601" s="13" t="inlineStr">
        <is>
          <t>ACCEPT</t>
        </is>
      </c>
      <c r="N601" s="13" t="inlineStr">
        <is>
          <t>not scored</t>
        </is>
      </c>
      <c r="O601" s="13" t="inlineStr"/>
      <c r="P601" s="13" t="inlineStr">
        <is>
          <t>WordPress/WooCommerce</t>
        </is>
      </c>
      <c r="Q601" s="13" t="inlineStr">
        <is>
          <t>LSL</t>
        </is>
      </c>
      <c r="R601" s="13" t="inlineStr">
        <is>
          <t>-</t>
        </is>
      </c>
      <c r="S601" s="13" t="inlineStr">
        <is>
          <t>-</t>
        </is>
      </c>
      <c r="T601" s="13" t="inlineStr">
        <is>
          <t>Live price-COMPARISON hub across Lesotho retailers - unusually valuable, gives multi-retailer prices.</t>
        </is>
      </c>
      <c r="U601" s="13" t="inlineStr">
        <is>
          <t>-</t>
        </is>
      </c>
      <c r="V601" s="13" t="inlineStr">
        <is>
          <t>P1</t>
        </is>
      </c>
    </row>
    <row r="602">
      <c r="A602" s="13" t="inlineStr">
        <is>
          <t>ssa</t>
        </is>
      </c>
      <c r="B602" s="13" t="inlineStr">
        <is>
          <t>madagascar</t>
        </is>
      </c>
      <c r="C602" s="13" t="inlineStr">
        <is>
          <t>MDG</t>
        </is>
      </c>
      <c r="D602" s="13" t="inlineStr">
        <is>
          <t>Madagascar</t>
        </is>
      </c>
      <c r="E602" s="13" t="inlineStr">
        <is>
          <t>GOPLUS Madagascar</t>
        </is>
      </c>
      <c r="F602" s="13" t="inlineStr">
        <is>
          <t>https://goplus.arato.mg/</t>
        </is>
      </c>
      <c r="G602" s="13" t="inlineStr">
        <is>
          <t>NOT PROBED - deduped, already onboarded, or time-boxed</t>
        </is>
      </c>
      <c r="H602" s="13" t="inlineStr"/>
      <c r="I602" s="13" t="inlineStr"/>
      <c r="J602" s="13" t="inlineStr"/>
      <c r="K602" s="13" t="inlineStr"/>
      <c r="L602" s="13" t="inlineStr"/>
      <c r="M602" s="13" t="inlineStr">
        <is>
          <t>SUSPECT</t>
        </is>
      </c>
      <c r="N602" s="13" t="inlineStr">
        <is>
          <t>not scored</t>
        </is>
      </c>
      <c r="O602" s="13" t="inlineStr"/>
      <c r="P602" s="13" t="inlineStr">
        <is>
          <t>Custom</t>
        </is>
      </c>
      <c r="Q602" s="13" t="inlineStr">
        <is>
          <t>MGA</t>
        </is>
      </c>
      <c r="R602" s="13" t="inlineStr">
        <is>
          <t>-</t>
        </is>
      </c>
      <c r="S602" s="13" t="inlineStr">
        <is>
          <t>-</t>
        </is>
      </c>
      <c r="T602" s="13" t="inlineStr">
        <is>
          <t>Live with Ar price filter but catalogue skews to electronics/school supplies.</t>
        </is>
      </c>
      <c r="U602" s="13" t="inlineStr">
        <is>
          <t>-</t>
        </is>
      </c>
      <c r="V602" s="13" t="inlineStr">
        <is>
          <t>P1</t>
        </is>
      </c>
    </row>
    <row r="603">
      <c r="A603" s="13" t="inlineStr">
        <is>
          <t>ssa</t>
        </is>
      </c>
      <c r="B603" s="13" t="inlineStr">
        <is>
          <t>madagascar</t>
        </is>
      </c>
      <c r="C603" s="13" t="inlineStr">
        <is>
          <t>MDG</t>
        </is>
      </c>
      <c r="D603" s="13" t="inlineStr">
        <is>
          <t>Madagascar</t>
        </is>
      </c>
      <c r="E603" s="13" t="inlineStr">
        <is>
          <t>Bazariko.mg</t>
        </is>
      </c>
      <c r="F603" s="13" t="inlineStr">
        <is>
          <t>https://bazariko.mg/</t>
        </is>
      </c>
      <c r="G603" s="13" t="inlineStr">
        <is>
          <t>PROBED - VIABLE</t>
        </is>
      </c>
      <c r="H603" s="13" t="inlineStr">
        <is>
          <t>TIER_1A</t>
        </is>
      </c>
      <c r="I603" s="13" t="inlineStr">
        <is>
          <t>low</t>
        </is>
      </c>
      <c r="J603" s="13" t="n">
        <v>90</v>
      </c>
      <c r="K603" s="13" t="inlineStr">
        <is>
          <t>SSR HTML</t>
        </is>
      </c>
      <c r="L603" s="13" t="inlineStr">
        <is>
          <t>GET / -&gt; 200, 90KB. Real Ar prices: 'Ar 6 000', 'Ar 5 000', 'Ar 12 000' with strike-through promo pattern per prior research.</t>
        </is>
      </c>
      <c r="M603" s="13" t="inlineStr">
        <is>
          <t>ACCEPT</t>
        </is>
      </c>
      <c r="N603" s="13" t="inlineStr">
        <is>
          <t>not scored</t>
        </is>
      </c>
      <c r="O603" s="13" t="inlineStr"/>
      <c r="P603" s="13" t="inlineStr">
        <is>
          <t>Custom</t>
        </is>
      </c>
      <c r="Q603" s="13" t="inlineStr">
        <is>
          <t>MGA</t>
        </is>
      </c>
      <c r="R603" s="13" t="inlineStr">
        <is>
          <t>-</t>
        </is>
      </c>
      <c r="S603" s="13" t="inlineStr">
        <is>
          <t>-</t>
        </is>
      </c>
      <c r="T603" s="13" t="inlineStr">
        <is>
          <t>STRONG: Ar prices with strike-through promotions, full supermarket taxonomy, 24/7.</t>
        </is>
      </c>
      <c r="U603" s="13" t="inlineStr">
        <is>
          <t>-</t>
        </is>
      </c>
      <c r="V603" s="13" t="inlineStr">
        <is>
          <t>P1</t>
        </is>
      </c>
    </row>
    <row r="604">
      <c r="A604" s="13" t="inlineStr">
        <is>
          <t>ssa</t>
        </is>
      </c>
      <c r="B604" s="13" t="inlineStr">
        <is>
          <t>madagascar</t>
        </is>
      </c>
      <c r="C604" s="13" t="inlineStr">
        <is>
          <t>MDG</t>
        </is>
      </c>
      <c r="D604" s="13" t="inlineStr">
        <is>
          <t>Madagascar</t>
        </is>
      </c>
      <c r="E604" s="13" t="inlineStr">
        <is>
          <t>KIBO Madagascar</t>
        </is>
      </c>
      <c r="F604" s="13" t="inlineStr">
        <is>
          <t>https://www.kibo.mg/</t>
        </is>
      </c>
      <c r="G604" s="13" t="inlineStr">
        <is>
          <t>PROBED - VIABLE</t>
        </is>
      </c>
      <c r="H604" s="13" t="inlineStr">
        <is>
          <t>TIER_2</t>
        </is>
      </c>
      <c r="I604" s="13" t="inlineStr">
        <is>
          <t>low</t>
        </is>
      </c>
      <c r="J604" s="13" t="n">
        <v>20</v>
      </c>
      <c r="K604" s="13" t="inlineStr">
        <is>
          <t>unresolved -- PrestaShop platform confirmed but real category id not found this pass</t>
        </is>
      </c>
      <c r="L604" s="13" t="inlineStr">
        <is>
          <t>GET / -&gt; 200, 64KB, PrestaShop fingerprint confirmed. Guessed category id /216-epicerie -&gt; 200 but no Ar/MGA price pattern matched either page.</t>
        </is>
      </c>
      <c r="M604" s="13" t="inlineStr">
        <is>
          <t>ACCEPT</t>
        </is>
      </c>
      <c r="N604" s="13" t="inlineStr">
        <is>
          <t>not scored</t>
        </is>
      </c>
      <c r="O604" s="13" t="inlineStr"/>
      <c r="P604" s="13" t="inlineStr">
        <is>
          <t>Custom</t>
        </is>
      </c>
      <c r="Q604" s="13" t="inlineStr">
        <is>
          <t>MGA</t>
        </is>
      </c>
      <c r="R604" s="13" t="inlineStr">
        <is>
          <t>-</t>
        </is>
      </c>
      <c r="S604" s="13" t="inlineStr">
        <is>
          <t>-</t>
        </is>
      </c>
      <c r="T604" s="13" t="inlineStr">
        <is>
          <t>Live: cash-and-carry with drive and delivery, 1,000+ Top Budget own-brand lines.</t>
        </is>
      </c>
      <c r="U604" s="13" t="inlineStr">
        <is>
          <t>-</t>
        </is>
      </c>
      <c r="V604" s="13" t="inlineStr">
        <is>
          <t>P1</t>
        </is>
      </c>
    </row>
    <row r="605">
      <c r="A605" s="13" t="inlineStr">
        <is>
          <t>ssa</t>
        </is>
      </c>
      <c r="B605" s="13" t="inlineStr">
        <is>
          <t>madagascar</t>
        </is>
      </c>
      <c r="C605" s="13" t="inlineStr">
        <is>
          <t>MDG</t>
        </is>
      </c>
      <c r="D605" s="13" t="inlineStr">
        <is>
          <t>Madagascar</t>
        </is>
      </c>
      <c r="E605" s="13" t="inlineStr">
        <is>
          <t>Leader Price Madagascar</t>
        </is>
      </c>
      <c r="F605" s="13" t="inlineStr">
        <is>
          <t>https://www.leaderprice.mg/</t>
        </is>
      </c>
      <c r="G605" s="13" t="inlineStr">
        <is>
          <t>PROBED - VIABLE</t>
        </is>
      </c>
      <c r="H605" s="13" t="inlineStr">
        <is>
          <t>TIER_1A</t>
        </is>
      </c>
      <c r="I605" s="13" t="inlineStr">
        <is>
          <t>low</t>
        </is>
      </c>
      <c r="J605" s="13" t="n">
        <v>120</v>
      </c>
      <c r="K605" s="13" t="inlineStr">
        <is>
          <t>SSR HTML</t>
        </is>
      </c>
      <c r="L605" s="13" t="inlineStr">
        <is>
          <t>GET / -&gt; 200, 50KB. One confirmed price on the homepage: '50.000Ar'. Did not crawl category pages to verify the claimed ~4,000-reference breadth directly this pass.</t>
        </is>
      </c>
      <c r="M605" s="13" t="inlineStr">
        <is>
          <t>ACCEPT</t>
        </is>
      </c>
      <c r="N605" s="13" t="inlineStr">
        <is>
          <t>not scored</t>
        </is>
      </c>
      <c r="O605" s="13" t="inlineStr"/>
      <c r="P605" s="13" t="inlineStr">
        <is>
          <t>Custom</t>
        </is>
      </c>
      <c r="Q605" s="13" t="inlineStr">
        <is>
          <t>MGA</t>
        </is>
      </c>
      <c r="R605" s="13" t="inlineStr">
        <is>
          <t>-</t>
        </is>
      </c>
      <c r="S605" s="13" t="inlineStr">
        <is>
          <t>-</t>
        </is>
      </c>
      <c r="T605" s="13" t="inlineStr">
        <is>
          <t>Live: ~4,000 references, 9 stores, MVola payment. First drive in Madagascar.</t>
        </is>
      </c>
      <c r="U605" s="13" t="inlineStr">
        <is>
          <t>-</t>
        </is>
      </c>
      <c r="V605" s="13" t="inlineStr">
        <is>
          <t>P1</t>
        </is>
      </c>
    </row>
    <row r="606">
      <c r="A606" s="13" t="inlineStr">
        <is>
          <t>ssa</t>
        </is>
      </c>
      <c r="B606" s="13" t="inlineStr">
        <is>
          <t>madagascar</t>
        </is>
      </c>
      <c r="C606" s="13" t="inlineStr">
        <is>
          <t>MDG</t>
        </is>
      </c>
      <c r="D606" s="13" t="inlineStr">
        <is>
          <t>Madagascar</t>
        </is>
      </c>
      <c r="E606" s="13" t="inlineStr">
        <is>
          <t>Supermarche.mg</t>
        </is>
      </c>
      <c r="F606" s="13" t="inlineStr">
        <is>
          <t>https://supermarche.mg/</t>
        </is>
      </c>
      <c r="G606" s="13" t="inlineStr">
        <is>
          <t>PROBED - VIABLE</t>
        </is>
      </c>
      <c r="H606" s="13" t="inlineStr">
        <is>
          <t>TIER_1A</t>
        </is>
      </c>
      <c r="I606" s="13" t="inlineStr">
        <is>
          <t>low</t>
        </is>
      </c>
      <c r="J606" s="13" t="n">
        <v>80</v>
      </c>
      <c r="K606" s="13" t="inlineStr">
        <is>
          <t>PrestaShop SSR category HTML at mescourses.mg</t>
        </is>
      </c>
      <c r="L606" s="13" t="inlineStr">
        <is>
          <t>https://supermarche.mg/ 302-redirects to https://mescourses.mg/fr/ (HTTPS cert on the old domain doesn't match, hence a first probe returned curl error 60 -- resolved with -kL to follow the redirect). Landing page confirms PrestaShop fingerprint + real MGA prices ('300 Ar', '333 Ar', '923 Ar', '612 Ar') + class='price' / 'price_content' nodes.</t>
        </is>
      </c>
      <c r="M606" s="13" t="inlineStr">
        <is>
          <t>ACCEPT</t>
        </is>
      </c>
      <c r="N606" s="13" t="inlineStr">
        <is>
          <t>not scored</t>
        </is>
      </c>
      <c r="O606" s="13" t="inlineStr"/>
      <c r="P606" s="13" t="inlineStr">
        <is>
          <t>Custom</t>
        </is>
      </c>
      <c r="Q606" s="13" t="inlineStr">
        <is>
          <t>MGA</t>
        </is>
      </c>
      <c r="R606" s="13" t="inlineStr">
        <is>
          <t>-</t>
        </is>
      </c>
      <c r="S606" s="13" t="inlineStr">
        <is>
          <t>-</t>
        </is>
      </c>
      <c r="T606" s="13" t="inlineStr">
        <is>
          <t>Live: Antananarivo online grocery, investor-backed (Miarakap), fresh and Vita Malagasy focus.</t>
        </is>
      </c>
      <c r="U606" s="13" t="inlineStr">
        <is>
          <t>-</t>
        </is>
      </c>
      <c r="V606" s="13" t="inlineStr">
        <is>
          <t>P1</t>
        </is>
      </c>
    </row>
    <row r="607">
      <c r="A607" s="13" t="inlineStr">
        <is>
          <t>ssa</t>
        </is>
      </c>
      <c r="B607" s="13" t="inlineStr">
        <is>
          <t>mozambique</t>
        </is>
      </c>
      <c r="C607" s="13" t="inlineStr">
        <is>
          <t>MOZ</t>
        </is>
      </c>
      <c r="D607" s="13" t="inlineStr">
        <is>
          <t>Mozambique</t>
        </is>
      </c>
      <c r="E607" s="13" t="inlineStr">
        <is>
          <t>EntregaMoz</t>
        </is>
      </c>
      <c r="F607" s="13" t="inlineStr">
        <is>
          <t>https://entregamoz.com/</t>
        </is>
      </c>
      <c r="G607" s="13" t="inlineStr">
        <is>
          <t>NOT PROBED - deduped, already onboarded, or time-boxed</t>
        </is>
      </c>
      <c r="H607" s="13" t="inlineStr"/>
      <c r="I607" s="13" t="inlineStr"/>
      <c r="J607" s="13" t="inlineStr"/>
      <c r="K607" s="13" t="inlineStr"/>
      <c r="L607" s="13" t="inlineStr"/>
      <c r="M607" s="13" t="inlineStr">
        <is>
          <t>REJECT</t>
        </is>
      </c>
      <c r="N607" s="13" t="inlineStr">
        <is>
          <t>not scored</t>
        </is>
      </c>
      <c r="O607" s="13" t="inlineStr"/>
      <c r="P607" s="13" t="inlineStr">
        <is>
          <t>Custom</t>
        </is>
      </c>
      <c r="Q607" s="13" t="inlineStr">
        <is>
          <t>MZN</t>
        </is>
      </c>
      <c r="R607" s="13" t="inlineStr">
        <is>
          <t>-</t>
        </is>
      </c>
      <c r="S607" s="13" t="inlineStr">
        <is>
          <t>-</t>
        </is>
      </c>
      <c r="T607" s="13" t="inlineStr">
        <is>
          <t>SEEDED DEMO DATA. The identical products at identical prices (Rice 5kg 350 MZN, Cooking Oil 1L 180 MZN, Fresh Bread 50 MZN, Milk 1L 80 MZN) are listed under BOTH 'Supermercado Ideal' and 'Farmacia Saude - Nampula'. A pharmacy selling rice and bread at prices identical to a supermarket is seeded catalogue data, not real inventory. The tell is cross-vendor price identity, not scale.</t>
        </is>
      </c>
      <c r="U607" s="13" t="inlineStr">
        <is>
          <t>-</t>
        </is>
      </c>
      <c r="V607" s="13" t="inlineStr">
        <is>
          <t>P3</t>
        </is>
      </c>
    </row>
    <row r="608">
      <c r="A608" s="13" t="inlineStr">
        <is>
          <t>ssa</t>
        </is>
      </c>
      <c r="B608" s="13" t="inlineStr">
        <is>
          <t>mozambique</t>
        </is>
      </c>
      <c r="C608" s="13" t="inlineStr">
        <is>
          <t>MOZ</t>
        </is>
      </c>
      <c r="D608" s="13" t="inlineStr">
        <is>
          <t>Mozambique</t>
        </is>
      </c>
      <c r="E608" s="13" t="inlineStr">
        <is>
          <t>Casa Bhay Supermercado</t>
        </is>
      </c>
      <c r="F608" s="13" t="inlineStr">
        <is>
          <t>http://krolyc.co.mz/</t>
        </is>
      </c>
      <c r="G608" s="13" t="inlineStr">
        <is>
          <t>PROBED - SKIP</t>
        </is>
      </c>
      <c r="H608" s="13" t="inlineStr">
        <is>
          <t>SKIP</t>
        </is>
      </c>
      <c r="I608" s="13" t="inlineStr">
        <is>
          <t>high</t>
        </is>
      </c>
      <c r="J608" s="13" t="n">
        <v>0</v>
      </c>
      <c r="K608" s="13" t="inlineStr"/>
      <c r="L608" s="13" t="inlineStr">
        <is>
          <t>GET / -&gt; HTTP 403, 103-byte body.</t>
        </is>
      </c>
      <c r="M608" s="13" t="inlineStr">
        <is>
          <t>SUSPECT</t>
        </is>
      </c>
      <c r="N608" s="13" t="inlineStr">
        <is>
          <t>not scored</t>
        </is>
      </c>
      <c r="O608" s="13" t="inlineStr"/>
      <c r="P608" s="13" t="inlineStr">
        <is>
          <t>Custom</t>
        </is>
      </c>
      <c r="Q608" s="13" t="inlineStr">
        <is>
          <t>MZN</t>
        </is>
      </c>
      <c r="R608" s="13" t="inlineStr">
        <is>
          <t>-</t>
        </is>
      </c>
      <c r="S608" s="13" t="inlineStr">
        <is>
          <t>-</t>
        </is>
      </c>
      <c r="T608" s="13" t="inlineStr">
        <is>
          <t>Physical supermarket in Matola with a web presence; catalogue depth unverified.</t>
        </is>
      </c>
      <c r="U608" s="13" t="inlineStr">
        <is>
          <t>-</t>
        </is>
      </c>
      <c r="V608" s="13" t="inlineStr">
        <is>
          <t>P3</t>
        </is>
      </c>
    </row>
    <row r="609">
      <c r="A609" s="13" t="inlineStr">
        <is>
          <t>ssa</t>
        </is>
      </c>
      <c r="B609" s="13" t="inlineStr">
        <is>
          <t>mozambique</t>
        </is>
      </c>
      <c r="C609" s="13" t="inlineStr">
        <is>
          <t>MOZ</t>
        </is>
      </c>
      <c r="D609" s="13" t="inlineStr">
        <is>
          <t>Mozambique</t>
        </is>
      </c>
      <c r="E609" s="13" t="inlineStr">
        <is>
          <t>TaAqui Delivery</t>
        </is>
      </c>
      <c r="F609" s="13" t="inlineStr">
        <is>
          <t>https://www.taaqui.co.mz/</t>
        </is>
      </c>
      <c r="G609" s="13" t="inlineStr">
        <is>
          <t>PROBED - SKIP</t>
        </is>
      </c>
      <c r="H609" s="13" t="inlineStr">
        <is>
          <t>SKIP</t>
        </is>
      </c>
      <c r="I609" s="13" t="inlineStr">
        <is>
          <t>medium</t>
        </is>
      </c>
      <c r="J609" s="13" t="n">
        <v>0</v>
      </c>
      <c r="K609" s="13" t="inlineStr">
        <is>
          <t>n/a (Mall/supermarket vertical confirmed to sit behind the app per prior research)</t>
        </is>
      </c>
      <c r="L609" s="13" t="inlineStr">
        <is>
          <t>GET / -&gt; 200, 46KB. __NEXT_DATA__ present and parsed; pageProps only contains 'configData' (business/branding config) and 'landingPageData' -- no product/catalog data hydrated into the homepage payload.</t>
        </is>
      </c>
      <c r="M609" s="13" t="inlineStr">
        <is>
          <t>SUSPECT</t>
        </is>
      </c>
      <c r="N609" s="13" t="inlineStr">
        <is>
          <t>not scored</t>
        </is>
      </c>
      <c r="O609" s="13" t="inlineStr"/>
      <c r="P609" s="13" t="inlineStr">
        <is>
          <t>Custom</t>
        </is>
      </c>
      <c r="Q609" s="13" t="inlineStr">
        <is>
          <t>MZN</t>
        </is>
      </c>
      <c r="R609" s="13" t="inlineStr">
        <is>
          <t>-</t>
        </is>
      </c>
      <c r="S609" s="13" t="inlineStr">
        <is>
          <t>-</t>
        </is>
      </c>
      <c r="T609" s="13" t="inlineStr">
        <is>
          <t>Real Mozambican platform (TaAqui Mozambique S.A., Maputo) with a Mall and supermarket vertical, but the catalogue sits behind the app.</t>
        </is>
      </c>
      <c r="U609" s="13" t="inlineStr">
        <is>
          <t>-</t>
        </is>
      </c>
      <c r="V609" s="13" t="inlineStr">
        <is>
          <t>P3</t>
        </is>
      </c>
    </row>
    <row r="610">
      <c r="A610" s="13" t="inlineStr">
        <is>
          <t>ssa</t>
        </is>
      </c>
      <c r="B610" s="13" t="inlineStr">
        <is>
          <t>mozambique</t>
        </is>
      </c>
      <c r="C610" s="13" t="inlineStr">
        <is>
          <t>MOZ</t>
        </is>
      </c>
      <c r="D610" s="13" t="inlineStr">
        <is>
          <t>Mozambique</t>
        </is>
      </c>
      <c r="E610" s="13" t="inlineStr">
        <is>
          <t>RECHEIO Cash &amp; Carry</t>
        </is>
      </c>
      <c r="F610" s="13" t="inlineStr">
        <is>
          <t>https://recheio.co.mz/</t>
        </is>
      </c>
      <c r="G610" s="13" t="inlineStr">
        <is>
          <t>PROBED - VIABLE</t>
        </is>
      </c>
      <c r="H610" s="13" t="inlineStr">
        <is>
          <t>TIER_1A</t>
        </is>
      </c>
      <c r="I610" s="13" t="inlineStr">
        <is>
          <t>medium</t>
        </is>
      </c>
      <c r="J610" s="13" t="n">
        <v>120</v>
      </c>
      <c r="K610" s="13" t="inlineStr">
        <is>
          <t>unresolved exact product endpoint -- category page confirmed live</t>
        </is>
      </c>
      <c r="L610" s="13" t="inlineStr">
        <is>
          <t>GET / -&gt; 200, 141KB. Attempted category page GET /loja/mercearia -&gt; 200, 40KB, real title 'Mercearia ao Melhor Preco em Mocambique' confirming the category exists live, but no price-class markup surfaced in that page's raw HTML this pass (likely paginated/AJAX-loaded product grid).</t>
        </is>
      </c>
      <c r="M610" s="13" t="inlineStr">
        <is>
          <t>ACCEPT</t>
        </is>
      </c>
      <c r="N610" s="13" t="inlineStr">
        <is>
          <t>not scored</t>
        </is>
      </c>
      <c r="O610" s="13" t="inlineStr"/>
      <c r="P610" s="13" t="inlineStr">
        <is>
          <t>Custom</t>
        </is>
      </c>
      <c r="Q610" s="13" t="inlineStr">
        <is>
          <t>MZN</t>
        </is>
      </c>
      <c r="R610" s="13" t="inlineStr">
        <is>
          <t>-</t>
        </is>
      </c>
      <c r="S610" s="13" t="inlineStr">
        <is>
          <t>-</t>
        </is>
      </c>
      <c r="T610" s="13" t="inlineStr">
        <is>
          <t>STRONG: 1,456 products in the mercearia category alone, Mt prices, full aisle taxonomy (mercearia, lacticinios, carne e peixe, bebidas, vegetais, bebe, lanches, loja asiatica). Store selector for Matola. Best Mozambique source.</t>
        </is>
      </c>
      <c r="U610" s="13" t="inlineStr">
        <is>
          <t>-</t>
        </is>
      </c>
      <c r="V610" s="13" t="inlineStr">
        <is>
          <t>P3</t>
        </is>
      </c>
    </row>
    <row r="611">
      <c r="A611" s="13" t="inlineStr">
        <is>
          <t>ssa</t>
        </is>
      </c>
      <c r="B611" s="13" t="inlineStr">
        <is>
          <t>mozambique</t>
        </is>
      </c>
      <c r="C611" s="13" t="inlineStr">
        <is>
          <t>MOZ</t>
        </is>
      </c>
      <c r="D611" s="13" t="inlineStr">
        <is>
          <t>Mozambique</t>
        </is>
      </c>
      <c r="E611" s="13" t="inlineStr">
        <is>
          <t>VIP Supermercado</t>
        </is>
      </c>
      <c r="F611" s="13" t="inlineStr">
        <is>
          <t>https://vipspar.com/</t>
        </is>
      </c>
      <c r="G611" s="13" t="inlineStr">
        <is>
          <t>PROBED - VIABLE</t>
        </is>
      </c>
      <c r="H611" s="13" t="inlineStr">
        <is>
          <t>TIER_1B</t>
        </is>
      </c>
      <c r="I611" s="13" t="inlineStr">
        <is>
          <t>low</t>
        </is>
      </c>
      <c r="J611" s="13" t="n">
        <v>30</v>
      </c>
      <c r="K611" s="13" t="inlineStr">
        <is>
          <t>/wp-json/wc/store/products?per_page=100&amp;page=N (note: NOT /wc/store/v1/ -- this WooCommerce install exposes the pre-v1 Store API namespace only)</t>
        </is>
      </c>
      <c r="L611" s="13" t="inlineStr">
        <is>
          <t>wc/store/v1/products 404'd, but the older non-versioned route works: GET /wp-json/wc/store/products?per_page=5 -&gt; 200, real JSON. Sample: 'LOTUS RICE ARROZ JASMIN' price=680 MZN (currency_minor_unit=0, no division needed), 'AMANHECER ARROZ INTEGRAL 1KG' price=190 MZN, 'DIVELLA ARBORIO ARROZ 1KG' price=750 MZN.</t>
        </is>
      </c>
      <c r="M611" s="13" t="inlineStr">
        <is>
          <t>ACCEPT</t>
        </is>
      </c>
      <c r="N611" s="13" t="inlineStr">
        <is>
          <t>not scored</t>
        </is>
      </c>
      <c r="O611" s="13" t="inlineStr"/>
      <c r="P611" s="13" t="inlineStr">
        <is>
          <t>WordPress/WooCommerce</t>
        </is>
      </c>
      <c r="Q611" s="13" t="inlineStr">
        <is>
          <t>MZN</t>
        </is>
      </c>
      <c r="R611" s="13" t="inlineStr">
        <is>
          <t>-</t>
        </is>
      </c>
      <c r="S611" s="13" t="inlineStr">
        <is>
          <t>-</t>
        </is>
      </c>
      <c r="T611" s="13" t="inlineStr">
        <is>
          <t>STRONG: MT prices with strike-through originals across branded grocery. WooCommerce multi-vendor ('Sold By: VIP Maputo'), so the Store API should work.</t>
        </is>
      </c>
      <c r="U611" s="13" t="inlineStr">
        <is>
          <t>-</t>
        </is>
      </c>
      <c r="V611" s="13" t="inlineStr">
        <is>
          <t>P3</t>
        </is>
      </c>
    </row>
    <row r="612">
      <c r="A612" s="13" t="inlineStr">
        <is>
          <t>ssa</t>
        </is>
      </c>
      <c r="B612" s="13" t="inlineStr">
        <is>
          <t>mauritania</t>
        </is>
      </c>
      <c r="C612" s="13" t="inlineStr">
        <is>
          <t>MRT</t>
        </is>
      </c>
      <c r="D612" s="13" t="inlineStr">
        <is>
          <t>Mauritania</t>
        </is>
      </c>
      <c r="E612" s="13" t="inlineStr">
        <is>
          <t>KoumbiMarket</t>
        </is>
      </c>
      <c r="F612" s="13" t="inlineStr">
        <is>
          <t>https://koumbimarket.eu/services/grocery-delivery</t>
        </is>
      </c>
      <c r="G612" s="13" t="inlineStr">
        <is>
          <t>PROBED - SKIP</t>
        </is>
      </c>
      <c r="H612" s="13" t="inlineStr">
        <is>
          <t>SKIP</t>
        </is>
      </c>
      <c r="I612" s="13" t="inlineStr">
        <is>
          <t>high</t>
        </is>
      </c>
      <c r="J612" s="13" t="n">
        <v>0</v>
      </c>
      <c r="K612" s="13" t="inlineStr"/>
      <c r="L612" s="13" t="inlineStr">
        <is>
          <t>TLS handshake failure (LibreSSL sslv3 alert handshake failure) on HTTPS; HTTP fallback returned a bare 409 with a 16-byte body. Domain resolves (185.158.133.1) but the server is not serving usably.</t>
        </is>
      </c>
      <c r="M612" s="13" t="inlineStr">
        <is>
          <t>SUSPECT</t>
        </is>
      </c>
      <c r="N612" s="13" t="inlineStr">
        <is>
          <t>not scored</t>
        </is>
      </c>
      <c r="O612" s="13" t="inlineStr"/>
      <c r="P612" s="13" t="inlineStr">
        <is>
          <t>Custom</t>
        </is>
      </c>
      <c r="Q612" s="13" t="inlineStr">
        <is>
          <t>EUR?</t>
        </is>
      </c>
      <c r="R612" s="13" t="inlineStr">
        <is>
          <t>-</t>
        </is>
      </c>
      <c r="S612" s="13" t="inlineStr">
        <is>
          <t>-</t>
        </is>
      </c>
      <c r="T612" s="13" t="inlineStr">
        <is>
          <t>T2 CONCERN: .eu domain. Describes itself as Mauritanian grocery delivery - confirm currency and domicile.</t>
        </is>
      </c>
      <c r="U612" s="13" t="inlineStr">
        <is>
          <t>-</t>
        </is>
      </c>
      <c r="V612" s="13" t="inlineStr">
        <is>
          <t>P1</t>
        </is>
      </c>
    </row>
    <row r="613">
      <c r="A613" s="13" t="inlineStr">
        <is>
          <t>ssa</t>
        </is>
      </c>
      <c r="B613" s="13" t="inlineStr">
        <is>
          <t>mauritania</t>
        </is>
      </c>
      <c r="C613" s="13" t="inlineStr">
        <is>
          <t>MRT</t>
        </is>
      </c>
      <c r="D613" s="13" t="inlineStr">
        <is>
          <t>Mauritania</t>
        </is>
      </c>
      <c r="E613" s="13" t="inlineStr">
        <is>
          <t>Tchoop</t>
        </is>
      </c>
      <c r="F613" s="13" t="inlineStr">
        <is>
          <t>https://www.tchoopapp.com/</t>
        </is>
      </c>
      <c r="G613" s="13" t="inlineStr">
        <is>
          <t>PROBED - SKIP</t>
        </is>
      </c>
      <c r="H613" s="13" t="inlineStr">
        <is>
          <t>SKIP</t>
        </is>
      </c>
      <c r="I613" s="13" t="inlineStr">
        <is>
          <t>medium</t>
        </is>
      </c>
      <c r="J613" s="13" t="n">
        <v>0</v>
      </c>
      <c r="K613" s="13" t="inlineStr"/>
      <c r="L613" s="13" t="inlineStr">
        <is>
          <t>GET / -&gt; 200, only 8.5KB -- app-marketing landing page. 'MRU' appears twice in body text but no product/price markup.</t>
        </is>
      </c>
      <c r="M613" s="13" t="inlineStr">
        <is>
          <t>ACCEPT</t>
        </is>
      </c>
      <c r="N613" s="13" t="inlineStr">
        <is>
          <t>not scored</t>
        </is>
      </c>
      <c r="O613" s="13" t="inlineStr"/>
      <c r="P613" s="13" t="inlineStr">
        <is>
          <t>Custom</t>
        </is>
      </c>
      <c r="Q613" s="13" t="inlineStr">
        <is>
          <t>MRU</t>
        </is>
      </c>
      <c r="R613" s="13" t="inlineStr">
        <is>
          <t>-</t>
        </is>
      </c>
      <c r="S613" s="13" t="inlineStr">
        <is>
          <t>-</t>
        </is>
      </c>
      <c r="T613" s="13" t="inlineStr">
        <is>
          <t>Live: 200+ restaurants, supermarkets vertical, Nouakchott.</t>
        </is>
      </c>
      <c r="U613" s="13" t="inlineStr">
        <is>
          <t>-</t>
        </is>
      </c>
      <c r="V613" s="13" t="inlineStr">
        <is>
          <t>P1</t>
        </is>
      </c>
    </row>
    <row r="614">
      <c r="A614" s="13" t="inlineStr">
        <is>
          <t>ssa</t>
        </is>
      </c>
      <c r="B614" s="13" t="inlineStr">
        <is>
          <t>mauritania</t>
        </is>
      </c>
      <c r="C614" s="13" t="inlineStr">
        <is>
          <t>MRT</t>
        </is>
      </c>
      <c r="D614" s="13" t="inlineStr">
        <is>
          <t>Mauritania</t>
        </is>
      </c>
      <c r="E614" s="13" t="inlineStr">
        <is>
          <t>Almersoul</t>
        </is>
      </c>
      <c r="F614" s="13" t="inlineStr">
        <is>
          <t>https://www.marsarim.com/fr</t>
        </is>
      </c>
      <c r="G614" s="13" t="inlineStr">
        <is>
          <t>PROBED - VIABLE</t>
        </is>
      </c>
      <c r="H614" s="13" t="inlineStr">
        <is>
          <t>TIER_2</t>
        </is>
      </c>
      <c r="I614" s="13" t="inlineStr">
        <is>
          <t>medium</t>
        </is>
      </c>
      <c r="J614" s="13" t="n">
        <v>0</v>
      </c>
      <c r="K614" s="13" t="inlineStr">
        <is>
          <t>unresolved -- needs Playwright</t>
        </is>
      </c>
      <c r="L614" s="13" t="inlineStr">
        <is>
          <t>GET /fr -&gt; 200, 26KB, but is an Angular SPA (&lt;base href="/"&gt;, no SSR content) -- no MRU/product text in raw HTML.</t>
        </is>
      </c>
      <c r="M614" s="13" t="inlineStr">
        <is>
          <t>SUSPECT</t>
        </is>
      </c>
      <c r="N614" s="13" t="inlineStr">
        <is>
          <t>not scored</t>
        </is>
      </c>
      <c r="O614" s="13" t="inlineStr"/>
      <c r="P614" s="13" t="inlineStr">
        <is>
          <t>Custom</t>
        </is>
      </c>
      <c r="Q614" s="13" t="inlineStr">
        <is>
          <t>MRU</t>
        </is>
      </c>
      <c r="R614" s="13" t="inlineStr">
        <is>
          <t>-</t>
        </is>
      </c>
      <c r="S614" s="13" t="inlineStr">
        <is>
          <t>-</t>
        </is>
      </c>
      <c r="T614" s="13" t="inlineStr">
        <is>
          <t>Live: Market vertical, Sedad/Bankily/Masrvi payments; catalogue depth unclear.</t>
        </is>
      </c>
      <c r="U614" s="13" t="inlineStr">
        <is>
          <t>-</t>
        </is>
      </c>
      <c r="V614" s="13" t="inlineStr">
        <is>
          <t>P1</t>
        </is>
      </c>
    </row>
    <row r="615">
      <c r="A615" s="13" t="inlineStr">
        <is>
          <t>ssa</t>
        </is>
      </c>
      <c r="B615" s="13" t="inlineStr">
        <is>
          <t>mauritania</t>
        </is>
      </c>
      <c r="C615" s="13" t="inlineStr">
        <is>
          <t>MRT</t>
        </is>
      </c>
      <c r="D615" s="13" t="inlineStr">
        <is>
          <t>Mauritania</t>
        </is>
      </c>
      <c r="E615" s="13" t="inlineStr">
        <is>
          <t>GROX (Migross)</t>
        </is>
      </c>
      <c r="F615" s="13" t="inlineStr">
        <is>
          <t>https://groxmarket.com/</t>
        </is>
      </c>
      <c r="G615" s="13" t="inlineStr">
        <is>
          <t>PROBED - VIABLE</t>
        </is>
      </c>
      <c r="H615" s="13" t="inlineStr">
        <is>
          <t>TIER_1B</t>
        </is>
      </c>
      <c r="I615" s="13" t="inlineStr">
        <is>
          <t>low</t>
        </is>
      </c>
      <c r="J615" s="13" t="n">
        <v>100</v>
      </c>
      <c r="K615" s="13" t="inlineStr">
        <is>
          <t>/products.json?limit=250&amp;page=N</t>
        </is>
      </c>
      <c r="L615" s="13" t="inlineStr">
        <is>
          <t>GET / -&gt; 200, 233KB, Shopify fingerprint confirmed + real MRU prices: '400 MRU' x2 in raw HTML.</t>
        </is>
      </c>
      <c r="M615" s="13" t="inlineStr">
        <is>
          <t>ACCEPT</t>
        </is>
      </c>
      <c r="N615" s="13" t="inlineStr">
        <is>
          <t>not scored</t>
        </is>
      </c>
      <c r="O615" s="13" t="inlineStr"/>
      <c r="P615" s="13" t="inlineStr">
        <is>
          <t>Custom</t>
        </is>
      </c>
      <c r="Q615" s="13" t="inlineStr">
        <is>
          <t>MRU</t>
        </is>
      </c>
      <c r="R615" s="13" t="inlineStr">
        <is>
          <t>-</t>
        </is>
      </c>
      <c r="S615" s="13" t="inlineStr">
        <is>
          <t>-</t>
        </is>
      </c>
      <c r="T615" s="13" t="inlineStr">
        <is>
          <t>Live: modern supermarket plus delivery, Nouakchott, bilingual FR/AR.</t>
        </is>
      </c>
      <c r="U615" s="13" t="inlineStr">
        <is>
          <t>-</t>
        </is>
      </c>
      <c r="V615" s="13" t="inlineStr">
        <is>
          <t>P1</t>
        </is>
      </c>
    </row>
    <row r="616">
      <c r="A616" s="13" t="inlineStr">
        <is>
          <t>ssa</t>
        </is>
      </c>
      <c r="B616" s="13" t="inlineStr">
        <is>
          <t>mauritania</t>
        </is>
      </c>
      <c r="C616" s="13" t="inlineStr">
        <is>
          <t>MRT</t>
        </is>
      </c>
      <c r="D616" s="13" t="inlineStr">
        <is>
          <t>Mauritania</t>
        </is>
      </c>
      <c r="E616" s="13" t="inlineStr">
        <is>
          <t>Maurikilchi</t>
        </is>
      </c>
      <c r="F616" s="13" t="inlineStr">
        <is>
          <t>https://maurikilchi.com/</t>
        </is>
      </c>
      <c r="G616" s="13" t="inlineStr">
        <is>
          <t>PROBED - VIABLE</t>
        </is>
      </c>
      <c r="H616" s="13" t="inlineStr">
        <is>
          <t>TIER_2</t>
        </is>
      </c>
      <c r="I616" s="13" t="inlineStr">
        <is>
          <t>medium</t>
        </is>
      </c>
      <c r="J616" s="13" t="n">
        <v>0</v>
      </c>
      <c r="K616" s="13" t="inlineStr">
        <is>
          <t>unresolved -- needs Playwright/API sniff (Inertia typically proxies a JSON endpoint per-page-visit)</t>
        </is>
      </c>
      <c r="L616" s="13" t="inlineStr">
        <is>
          <t>GET / -&gt; 200, only 1,024 bytes -- pure Laravel Inertia.js SPA shell (data-page="app" JSON marker, single div#app, no SSR content).</t>
        </is>
      </c>
      <c r="M616" s="13" t="inlineStr">
        <is>
          <t>ACCEPT</t>
        </is>
      </c>
      <c r="N616" s="13" t="inlineStr">
        <is>
          <t>not scored</t>
        </is>
      </c>
      <c r="O616" s="13" t="inlineStr"/>
      <c r="P616" s="13" t="inlineStr">
        <is>
          <t>Custom</t>
        </is>
      </c>
      <c r="Q616" s="13" t="inlineStr">
        <is>
          <t>MRU</t>
        </is>
      </c>
      <c r="R616" s="13" t="inlineStr">
        <is>
          <t>-</t>
        </is>
      </c>
      <c r="S616" s="13" t="inlineStr">
        <is>
          <t>-</t>
        </is>
      </c>
      <c r="T616" s="13" t="inlineStr">
        <is>
          <t>Live marketplace with a dedicated Supermarche category tree.</t>
        </is>
      </c>
      <c r="U616" s="13" t="inlineStr">
        <is>
          <t>-</t>
        </is>
      </c>
      <c r="V616" s="13" t="inlineStr">
        <is>
          <t>P1</t>
        </is>
      </c>
    </row>
    <row r="617">
      <c r="A617" s="13" t="inlineStr">
        <is>
          <t>ssa</t>
        </is>
      </c>
      <c r="B617" s="13" t="inlineStr">
        <is>
          <t>mauritania</t>
        </is>
      </c>
      <c r="C617" s="13" t="inlineStr">
        <is>
          <t>MRT</t>
        </is>
      </c>
      <c r="D617" s="13" t="inlineStr">
        <is>
          <t>Mauritania</t>
        </is>
      </c>
      <c r="E617" s="13" t="inlineStr">
        <is>
          <t>Supermarche Galerie TATA</t>
        </is>
      </c>
      <c r="F617" s="13" t="inlineStr">
        <is>
          <t>http://galerietata.com/</t>
        </is>
      </c>
      <c r="G617" s="13" t="inlineStr">
        <is>
          <t>PROBED - VIABLE</t>
        </is>
      </c>
      <c r="H617" s="13" t="inlineStr">
        <is>
          <t>TIER_1A</t>
        </is>
      </c>
      <c r="I617" s="13" t="inlineStr">
        <is>
          <t>low</t>
        </is>
      </c>
      <c r="J617" s="13" t="n">
        <v>90</v>
      </c>
      <c r="K617" s="13" t="inlineStr">
        <is>
          <t>PrestaShop SSR category HTML</t>
        </is>
      </c>
      <c r="L617" s="13" t="inlineStr">
        <is>
          <t>GET / -&gt; 200, 241KB, PrestaShop fingerprint confirmed + real MRU prices: '0,00MRU', '170,00MRU' x2 in raw HTML.</t>
        </is>
      </c>
      <c r="M617" s="13" t="inlineStr">
        <is>
          <t>ACCEPT</t>
        </is>
      </c>
      <c r="N617" s="13" t="inlineStr">
        <is>
          <t>not scored</t>
        </is>
      </c>
      <c r="O617" s="13" t="inlineStr"/>
      <c r="P617" s="13" t="inlineStr">
        <is>
          <t>PrestaShop</t>
        </is>
      </c>
      <c r="Q617" s="13" t="inlineStr">
        <is>
          <t>MRU</t>
        </is>
      </c>
      <c r="R617" s="13" t="inlineStr">
        <is>
          <t>-</t>
        </is>
      </c>
      <c r="S617" s="13" t="inlineStr">
        <is>
          <t>-</t>
        </is>
      </c>
      <c r="T617" s="13" t="inlineStr">
        <is>
          <t>STRONG: MRU prices across a full grocery catalogue; PrestaShop, so paginated category HTML.</t>
        </is>
      </c>
      <c r="U617" s="13" t="inlineStr">
        <is>
          <t>-</t>
        </is>
      </c>
      <c r="V617" s="13" t="inlineStr">
        <is>
          <t>P1</t>
        </is>
      </c>
    </row>
    <row r="618">
      <c r="A618" s="13" t="inlineStr">
        <is>
          <t>ssa</t>
        </is>
      </c>
      <c r="B618" s="13" t="inlineStr">
        <is>
          <t>malawi</t>
        </is>
      </c>
      <c r="C618" s="13" t="inlineStr">
        <is>
          <t>MWI</t>
        </is>
      </c>
      <c r="D618" s="13" t="inlineStr">
        <is>
          <t>Malawi</t>
        </is>
      </c>
      <c r="E618" s="13" t="inlineStr">
        <is>
          <t>Africanos Malawi</t>
        </is>
      </c>
      <c r="F618" s="13" t="inlineStr">
        <is>
          <t>https://africanosmalawi.com/</t>
        </is>
      </c>
      <c r="G618" s="13" t="inlineStr">
        <is>
          <t>NOT PROBED - deduped, already onboarded, or time-boxed</t>
        </is>
      </c>
      <c r="H618" s="13" t="inlineStr"/>
      <c r="I618" s="13" t="inlineStr"/>
      <c r="J618" s="13" t="inlineStr"/>
      <c r="K618" s="13" t="inlineStr"/>
      <c r="L618" s="13" t="inlineStr"/>
      <c r="M618" s="13" t="inlineStr">
        <is>
          <t>REJECT</t>
        </is>
      </c>
      <c r="N618" s="13" t="inlineStr">
        <is>
          <t>not scored</t>
        </is>
      </c>
      <c r="O618" s="13" t="inlineStr"/>
      <c r="P618" s="13" t="inlineStr">
        <is>
          <t>WordPress/WooCommerce</t>
        </is>
      </c>
      <c r="Q618" s="13" t="inlineStr">
        <is>
          <t>GBP</t>
        </is>
      </c>
      <c r="R618" s="13" t="inlineStr">
        <is>
          <t>-</t>
        </is>
      </c>
      <c r="S618" s="13" t="inlineStr">
        <is>
          <t>-</t>
        </is>
      </c>
      <c r="T618" s="13" t="inlineStr">
        <is>
          <t>T1/T2 FAIL: prices in pounds sterling. Explicitly 'for friends and family... if you work and live abroad'. Diaspora remittance shop.</t>
        </is>
      </c>
      <c r="U618" s="13" t="inlineStr">
        <is>
          <t>-</t>
        </is>
      </c>
      <c r="V618" s="13" t="inlineStr">
        <is>
          <t>P2</t>
        </is>
      </c>
    </row>
    <row r="619">
      <c r="A619" s="13" t="inlineStr">
        <is>
          <t>ssa</t>
        </is>
      </c>
      <c r="B619" s="13" t="inlineStr">
        <is>
          <t>malawi</t>
        </is>
      </c>
      <c r="C619" s="13" t="inlineStr">
        <is>
          <t>MWI</t>
        </is>
      </c>
      <c r="D619" s="13" t="inlineStr">
        <is>
          <t>Malawi</t>
        </is>
      </c>
      <c r="E619" s="13" t="inlineStr">
        <is>
          <t>SPCTRM Grocery Lilongwe</t>
        </is>
      </c>
      <c r="F619" s="13" t="inlineStr">
        <is>
          <t>https://spctrmafrica.com/grocery-delivery-lilongwe/</t>
        </is>
      </c>
      <c r="G619" s="13" t="inlineStr">
        <is>
          <t>NOT PROBED - deduped, already onboarded, or time-boxed</t>
        </is>
      </c>
      <c r="H619" s="13" t="inlineStr"/>
      <c r="I619" s="13" t="inlineStr"/>
      <c r="J619" s="13" t="inlineStr"/>
      <c r="K619" s="13" t="inlineStr"/>
      <c r="L619" s="13" t="inlineStr"/>
      <c r="M619" s="13" t="inlineStr">
        <is>
          <t>SUSPECT</t>
        </is>
      </c>
      <c r="N619" s="13" t="inlineStr">
        <is>
          <t>not scored</t>
        </is>
      </c>
      <c r="O619" s="13" t="inlineStr"/>
      <c r="P619" s="13" t="inlineStr">
        <is>
          <t>Custom</t>
        </is>
      </c>
      <c r="Q619" s="13" t="inlineStr">
        <is>
          <t>MWK</t>
        </is>
      </c>
      <c r="R619" s="13" t="inlineStr">
        <is>
          <t>-</t>
        </is>
      </c>
      <c r="S619" s="13" t="inlineStr">
        <is>
          <t>-</t>
        </is>
      </c>
      <c r="T619" s="13" t="inlineStr">
        <is>
          <t>WhatsApp-mediated ordering; prices confirmed per order, not published. Low scrape value.</t>
        </is>
      </c>
      <c r="U619" s="13" t="inlineStr">
        <is>
          <t>-</t>
        </is>
      </c>
      <c r="V619" s="13" t="inlineStr">
        <is>
          <t>P1</t>
        </is>
      </c>
    </row>
    <row r="620">
      <c r="A620" s="13" t="inlineStr">
        <is>
          <t>ssa</t>
        </is>
      </c>
      <c r="B620" s="13" t="inlineStr">
        <is>
          <t>malawi</t>
        </is>
      </c>
      <c r="C620" s="13" t="inlineStr">
        <is>
          <t>MWI</t>
        </is>
      </c>
      <c r="D620" s="13" t="inlineStr">
        <is>
          <t>Malawi</t>
        </is>
      </c>
      <c r="E620" s="13" t="inlineStr">
        <is>
          <t>Add2Cart Malawi</t>
        </is>
      </c>
      <c r="F620" s="13" t="inlineStr">
        <is>
          <t>https://www.add2cartmw.com/</t>
        </is>
      </c>
      <c r="G620" s="13" t="inlineStr">
        <is>
          <t>PROBED - VIABLE</t>
        </is>
      </c>
      <c r="H620" s="13" t="inlineStr">
        <is>
          <t>TIER_1B</t>
        </is>
      </c>
      <c r="I620" s="13" t="inlineStr">
        <is>
          <t>low</t>
        </is>
      </c>
      <c r="J620" s="13" t="n">
        <v>100</v>
      </c>
      <c r="K620" s="13" t="inlineStr">
        <is>
          <t>/products.json?limit=250&amp;page=N</t>
        </is>
      </c>
      <c r="L620" s="13" t="inlineStr">
        <is>
          <t>GET /products.json?limit=5 -&gt; 200, real Shopify JSON payload. Sample product: 'BIG TREE APPY 500ML', vendor 'Add 2 Cart Malawi', tags ['Grocery','Lilongwe','Malawi','Online Shopping'].</t>
        </is>
      </c>
      <c r="M620" s="13" t="inlineStr">
        <is>
          <t>ACCEPT</t>
        </is>
      </c>
      <c r="N620" s="13" t="inlineStr">
        <is>
          <t>not scored</t>
        </is>
      </c>
      <c r="O620" s="13" t="inlineStr"/>
      <c r="P620" s="13" t="inlineStr">
        <is>
          <t>Custom</t>
        </is>
      </c>
      <c r="Q620" s="13" t="inlineStr">
        <is>
          <t>MWK</t>
        </is>
      </c>
      <c r="R620" s="13" t="inlineStr">
        <is>
          <t>-</t>
        </is>
      </c>
      <c r="S620" s="13" t="inlineStr">
        <is>
          <t>-</t>
        </is>
      </c>
      <c r="T620" s="13" t="inlineStr">
        <is>
          <t>Live: Mk prices across groceries and household.</t>
        </is>
      </c>
      <c r="U620" s="13" t="inlineStr">
        <is>
          <t>-</t>
        </is>
      </c>
      <c r="V620" s="13" t="inlineStr">
        <is>
          <t>P1</t>
        </is>
      </c>
    </row>
    <row r="621">
      <c r="A621" s="13" t="inlineStr">
        <is>
          <t>ssa</t>
        </is>
      </c>
      <c r="B621" s="13" t="inlineStr">
        <is>
          <t>malawi</t>
        </is>
      </c>
      <c r="C621" s="13" t="inlineStr">
        <is>
          <t>MWI</t>
        </is>
      </c>
      <c r="D621" s="13" t="inlineStr">
        <is>
          <t>Malawi</t>
        </is>
      </c>
      <c r="E621" s="13" t="inlineStr">
        <is>
          <t>Add2Cart Malawi</t>
        </is>
      </c>
      <c r="F621" s="13" t="inlineStr">
        <is>
          <t>https://www.add2cartmw.com/</t>
        </is>
      </c>
      <c r="G621" s="13" t="inlineStr">
        <is>
          <t>PROBED - VIABLE</t>
        </is>
      </c>
      <c r="H621" s="13" t="inlineStr">
        <is>
          <t>TIER_1B</t>
        </is>
      </c>
      <c r="I621" s="13" t="inlineStr">
        <is>
          <t>low</t>
        </is>
      </c>
      <c r="J621" s="13" t="n">
        <v>100</v>
      </c>
      <c r="K621" s="13" t="inlineStr">
        <is>
          <t>/products.json?limit=250&amp;page=N</t>
        </is>
      </c>
      <c r="L621" s="13" t="inlineStr">
        <is>
          <t>GET /products.json?limit=5 -&gt; 200, real Shopify JSON payload. Sample product: 'BIG TREE APPY 500ML', vendor 'Add 2 Cart Malawi', tags ['Grocery','Lilongwe','Malawi','Online Shopping'].</t>
        </is>
      </c>
      <c r="M621" s="13" t="inlineStr">
        <is>
          <t>ACCEPT</t>
        </is>
      </c>
      <c r="N621" s="13" t="inlineStr">
        <is>
          <t>not scored</t>
        </is>
      </c>
      <c r="O621" s="13" t="inlineStr"/>
      <c r="P621" s="13" t="inlineStr">
        <is>
          <t>Custom</t>
        </is>
      </c>
      <c r="Q621" s="13" t="inlineStr">
        <is>
          <t>MWK</t>
        </is>
      </c>
      <c r="R621" s="13" t="inlineStr">
        <is>
          <t>-</t>
        </is>
      </c>
      <c r="S621" s="13" t="inlineStr">
        <is>
          <t>-</t>
        </is>
      </c>
      <c r="T621" s="13" t="inlineStr">
        <is>
          <t>Live: Mk prices across groceries, spices, household. Note banner says store setup is being finalised - catalogue may be partial.</t>
        </is>
      </c>
      <c r="U621" s="13" t="inlineStr">
        <is>
          <t>-</t>
        </is>
      </c>
      <c r="V621" s="13" t="inlineStr">
        <is>
          <t>P2</t>
        </is>
      </c>
    </row>
    <row r="622">
      <c r="A622" s="13" t="inlineStr">
        <is>
          <t>ssa</t>
        </is>
      </c>
      <c r="B622" s="13" t="inlineStr">
        <is>
          <t>malawi</t>
        </is>
      </c>
      <c r="C622" s="13" t="inlineStr">
        <is>
          <t>MWI</t>
        </is>
      </c>
      <c r="D622" s="13" t="inlineStr">
        <is>
          <t>Malawi</t>
        </is>
      </c>
      <c r="E622" s="13" t="inlineStr">
        <is>
          <t>DoorShoppin</t>
        </is>
      </c>
      <c r="F622" s="13" t="inlineStr">
        <is>
          <t>https://doorshoppin.com/Doorshoppin/category.php?cat_id=Groceries</t>
        </is>
      </c>
      <c r="G622" s="13" t="inlineStr">
        <is>
          <t>PROBED - VIABLE</t>
        </is>
      </c>
      <c r="H622" s="13" t="inlineStr">
        <is>
          <t>TIER_1A</t>
        </is>
      </c>
      <c r="I622" s="13" t="inlineStr">
        <is>
          <t>low</t>
        </is>
      </c>
      <c r="J622" s="13" t="n">
        <v>55</v>
      </c>
      <c r="K622" s="13" t="inlineStr">
        <is>
          <t>category.php (SSR PHP; index.php homepage is broken -- 'Catalog unavailable', hit the category URL directly)</t>
        </is>
      </c>
      <c r="L622" s="13" t="inlineStr">
        <is>
          <t>GET category.php?cat_id=Groceries -&gt; 200, 808KB. Real MK prices with class='price': 'MK10,899', 'MK4,499', 'MK6,799', 'MK17,999', 'MK19,999'. 501 grocery products confirmed per prior research.</t>
        </is>
      </c>
      <c r="M622" s="13" t="inlineStr">
        <is>
          <t>ACCEPT</t>
        </is>
      </c>
      <c r="N622" s="13" t="inlineStr">
        <is>
          <t>not scored</t>
        </is>
      </c>
      <c r="O622" s="13" t="inlineStr"/>
      <c r="P622" s="13" t="inlineStr">
        <is>
          <t>Custom/PHP</t>
        </is>
      </c>
      <c r="Q622" s="13" t="inlineStr">
        <is>
          <t>MWK</t>
        </is>
      </c>
      <c r="R622" s="13" t="inlineStr">
        <is>
          <t>-</t>
        </is>
      </c>
      <c r="S622" s="13" t="inlineStr">
        <is>
          <t>-</t>
        </is>
      </c>
      <c r="T622" s="13" t="inlineStr">
        <is>
          <t>STRONG: 501 grocery products with MK prices, server-rendered PHP category pages.</t>
        </is>
      </c>
      <c r="U622" s="13" t="inlineStr">
        <is>
          <t>-</t>
        </is>
      </c>
      <c r="V622" s="13" t="inlineStr">
        <is>
          <t>P1</t>
        </is>
      </c>
    </row>
    <row r="623">
      <c r="A623" s="13" t="inlineStr">
        <is>
          <t>ssa</t>
        </is>
      </c>
      <c r="B623" s="13" t="inlineStr">
        <is>
          <t>malawi</t>
        </is>
      </c>
      <c r="C623" s="13" t="inlineStr">
        <is>
          <t>MWI</t>
        </is>
      </c>
      <c r="D623" s="13" t="inlineStr">
        <is>
          <t>Malawi</t>
        </is>
      </c>
      <c r="E623" s="13" t="inlineStr">
        <is>
          <t>DoorShoppin - Groceries</t>
        </is>
      </c>
      <c r="F623" s="13" t="inlineStr">
        <is>
          <t>https://doorshoppin.com/Doorshoppin/category.php?cat_id=Groceries</t>
        </is>
      </c>
      <c r="G623" s="13" t="inlineStr">
        <is>
          <t>PROBED - VIABLE</t>
        </is>
      </c>
      <c r="H623" s="13" t="inlineStr">
        <is>
          <t>TIER_1A</t>
        </is>
      </c>
      <c r="I623" s="13" t="inlineStr">
        <is>
          <t>low</t>
        </is>
      </c>
      <c r="J623" s="13" t="n">
        <v>55</v>
      </c>
      <c r="K623" s="13" t="inlineStr">
        <is>
          <t>category.php (SSR PHP; index.php homepage is broken -- 'Catalog unavailable', hit the category URL directly)</t>
        </is>
      </c>
      <c r="L623" s="13" t="inlineStr">
        <is>
          <t>GET category.php?cat_id=Groceries -&gt; 200, 808KB. Real MK prices with class='price': 'MK10,899', 'MK4,499', 'MK6,799', 'MK17,999', 'MK19,999'. 501 grocery products confirmed per prior research.</t>
        </is>
      </c>
      <c r="M623" s="13" t="inlineStr">
        <is>
          <t>ACCEPT</t>
        </is>
      </c>
      <c r="N623" s="13" t="inlineStr">
        <is>
          <t>not scored</t>
        </is>
      </c>
      <c r="O623" s="13" t="inlineStr"/>
      <c r="P623" s="13" t="inlineStr">
        <is>
          <t>Custom/PHP</t>
        </is>
      </c>
      <c r="Q623" s="13" t="inlineStr">
        <is>
          <t>MWK</t>
        </is>
      </c>
      <c r="R623" s="13" t="inlineStr">
        <is>
          <t>-</t>
        </is>
      </c>
      <c r="S623" s="13" t="inlineStr">
        <is>
          <t>-</t>
        </is>
      </c>
      <c r="T623" s="13" t="inlineStr">
        <is>
          <t>CONFIRMED 501 grocery products with MK prices. WARNING: the index.php homepage returns 'Catalog unavailable - failed to load products'; the category.php path works. Scrape the category URL directly, not the homepage.</t>
        </is>
      </c>
      <c r="U623" s="13" t="inlineStr">
        <is>
          <t>-</t>
        </is>
      </c>
      <c r="V623" s="13" t="inlineStr">
        <is>
          <t>P2</t>
        </is>
      </c>
    </row>
    <row r="624">
      <c r="A624" s="13" t="inlineStr">
        <is>
          <t>ssa</t>
        </is>
      </c>
      <c r="B624" s="13" t="inlineStr">
        <is>
          <t>malawi</t>
        </is>
      </c>
      <c r="C624" s="13" t="inlineStr">
        <is>
          <t>MWI</t>
        </is>
      </c>
      <c r="D624" s="13" t="inlineStr">
        <is>
          <t>Malawi</t>
        </is>
      </c>
      <c r="E624" s="13" t="inlineStr">
        <is>
          <t>EasyMart Malawi</t>
        </is>
      </c>
      <c r="F624" s="13" t="inlineStr">
        <is>
          <t>https://easymartmalawi.com/</t>
        </is>
      </c>
      <c r="G624" s="13" t="inlineStr">
        <is>
          <t>PROBED - VIABLE</t>
        </is>
      </c>
      <c r="H624" s="13" t="inlineStr">
        <is>
          <t>TIER_2</t>
        </is>
      </c>
      <c r="I624" s="13" t="inlineStr">
        <is>
          <t>medium</t>
        </is>
      </c>
      <c r="J624" s="13" t="n">
        <v>0</v>
      </c>
      <c r="K624" s="13" t="inlineStr">
        <is>
          <t>unresolved -- needs Playwright/API sniff against the new build</t>
        </is>
      </c>
      <c r="L624" s="13" t="inlineStr">
        <is>
          <t>GET / -&gt; 200, only 562 bytes -- the site has been rebuilt as a Vite/React SPA shell (empty div id='root') since the prior audit, which had verified server-rendered placeholder-like prices with a x1000 units convention. That evidence is now stale.</t>
        </is>
      </c>
      <c r="M624" s="13" t="inlineStr">
        <is>
          <t>SUSPECT</t>
        </is>
      </c>
      <c r="N624" s="13" t="inlineStr">
        <is>
          <t>not scored</t>
        </is>
      </c>
      <c r="O624" s="13" t="inlineStr"/>
      <c r="P624" s="13" t="inlineStr">
        <is>
          <t>Custom</t>
        </is>
      </c>
      <c r="Q624" s="13" t="inlineStr">
        <is>
          <t>MWK</t>
        </is>
      </c>
      <c r="R624" s="13" t="inlineStr">
        <is>
          <t>-</t>
        </is>
      </c>
      <c r="S624" s="13" t="inlineStr">
        <is>
          <t>-</t>
        </is>
      </c>
      <c r="T624" s="13" t="inlineStr">
        <is>
          <t>Live with MWK labels but prices look like placeholders (MWK 3.49 for bread). Verify before use. [SUPERSEDED by pass-3 correction - reinstated as ACCEPT, thousands notation]</t>
        </is>
      </c>
      <c r="U624" s="13" t="inlineStr">
        <is>
          <t>-</t>
        </is>
      </c>
      <c r="V624" s="13" t="inlineStr">
        <is>
          <t>P1</t>
        </is>
      </c>
    </row>
    <row r="625">
      <c r="A625" s="13" t="inlineStr">
        <is>
          <t>ssa</t>
        </is>
      </c>
      <c r="B625" s="13" t="inlineStr">
        <is>
          <t>malawi</t>
        </is>
      </c>
      <c r="C625" s="13" t="inlineStr">
        <is>
          <t>MWI</t>
        </is>
      </c>
      <c r="D625" s="13" t="inlineStr">
        <is>
          <t>Malawi</t>
        </is>
      </c>
      <c r="E625" s="13" t="inlineStr">
        <is>
          <t>EasyMart Malawi</t>
        </is>
      </c>
      <c r="F625" s="13" t="inlineStr">
        <is>
          <t>https://easymartmalawi.com/</t>
        </is>
      </c>
      <c r="G625" s="13" t="inlineStr">
        <is>
          <t>PROBED - VIABLE</t>
        </is>
      </c>
      <c r="H625" s="13" t="inlineStr">
        <is>
          <t>TIER_2</t>
        </is>
      </c>
      <c r="I625" s="13" t="inlineStr">
        <is>
          <t>medium</t>
        </is>
      </c>
      <c r="J625" s="13" t="n">
        <v>0</v>
      </c>
      <c r="K625" s="13" t="inlineStr">
        <is>
          <t>unresolved -- needs Playwright/API sniff against the new build</t>
        </is>
      </c>
      <c r="L625" s="13" t="inlineStr">
        <is>
          <t>GET / -&gt; 200, only 562 bytes -- the site has been rebuilt as a Vite/React SPA shell (empty div id='root') since the prior audit, which had verified server-rendered placeholder-like prices with a x1000 units convention. That evidence is now stale.</t>
        </is>
      </c>
      <c r="M625" s="13" t="inlineStr">
        <is>
          <t>REJECT</t>
        </is>
      </c>
      <c r="N625" s="13" t="inlineStr">
        <is>
          <t>not scored</t>
        </is>
      </c>
      <c r="O625" s="13" t="inlineStr"/>
      <c r="P625" s="13" t="inlineStr">
        <is>
          <t>Custom</t>
        </is>
      </c>
      <c r="Q625" s="13" t="inlineStr">
        <is>
          <t>MWK</t>
        </is>
      </c>
      <c r="R625" s="13" t="inlineStr">
        <is>
          <t>-</t>
        </is>
      </c>
      <c r="S625" s="13" t="inlineStr">
        <is>
          <t>-</t>
        </is>
      </c>
      <c r="T625" s="13" t="inlineStr">
        <is>
          <t>CONFIRMED placeholder data: bread MWK 3.49, milk MWK 1.99, rice MWK 8.99. [REVERSED IN PASS 3 -&gt; ACCEPT. Benchmarking showed milk 1.99x1000=1,990 vs benchmark 2,070 and tomatoes 2.49x1000=2,490 vs 2,220. This is THOUSANDS NOTATION, a units convention, not fake data. Record scale_factor=1000.]</t>
        </is>
      </c>
      <c r="U625" s="13" t="inlineStr">
        <is>
          <t>-</t>
        </is>
      </c>
      <c r="V625" s="13" t="inlineStr">
        <is>
          <t>P2</t>
        </is>
      </c>
    </row>
    <row r="626">
      <c r="A626" s="13" t="inlineStr">
        <is>
          <t>ssa</t>
        </is>
      </c>
      <c r="B626" s="13" t="inlineStr">
        <is>
          <t>malawi</t>
        </is>
      </c>
      <c r="C626" s="13" t="inlineStr">
        <is>
          <t>MWI</t>
        </is>
      </c>
      <c r="D626" s="13" t="inlineStr">
        <is>
          <t>Malawi</t>
        </is>
      </c>
      <c r="E626" s="13" t="inlineStr">
        <is>
          <t>Tambala Market</t>
        </is>
      </c>
      <c r="F626" s="13" t="inlineStr">
        <is>
          <t>https://www.tambalamarket.store/categories/food-beverages</t>
        </is>
      </c>
      <c r="G626" s="13" t="inlineStr">
        <is>
          <t>PROBED - VIABLE</t>
        </is>
      </c>
      <c r="H626" s="13" t="inlineStr">
        <is>
          <t>TIER_1A</t>
        </is>
      </c>
      <c r="I626" s="13" t="inlineStr">
        <is>
          <t>low</t>
        </is>
      </c>
      <c r="J626" s="13" t="n">
        <v>8</v>
      </c>
      <c r="K626" s="13" t="inlineStr">
        <is>
          <t>SSR HTML</t>
        </is>
      </c>
      <c r="L626" s="13" t="inlineStr">
        <is>
          <t>GET /categories/food-beverages -&gt; 200, 338KB, multiple 'MWK' matches in raw HTML.</t>
        </is>
      </c>
      <c r="M626" s="13" t="inlineStr">
        <is>
          <t>ACCEPT</t>
        </is>
      </c>
      <c r="N626" s="13" t="inlineStr">
        <is>
          <t>not scored</t>
        </is>
      </c>
      <c r="O626" s="13" t="inlineStr"/>
      <c r="P626" s="13" t="inlineStr">
        <is>
          <t>Custom</t>
        </is>
      </c>
      <c r="Q626" s="13" t="inlineStr">
        <is>
          <t>MWK</t>
        </is>
      </c>
      <c r="R626" s="13" t="inlineStr">
        <is>
          <t>-</t>
        </is>
      </c>
      <c r="S626" s="13" t="inlineStr">
        <is>
          <t>-</t>
        </is>
      </c>
      <c r="T626" s="13" t="inlineStr">
        <is>
          <t>Live: MWK prices, multi-seller, food &amp; beverage category.</t>
        </is>
      </c>
      <c r="U626" s="13" t="inlineStr">
        <is>
          <t>-</t>
        </is>
      </c>
      <c r="V626" s="13" t="inlineStr">
        <is>
          <t>P1</t>
        </is>
      </c>
    </row>
    <row r="627">
      <c r="A627" s="13" t="inlineStr">
        <is>
          <t>ssa</t>
        </is>
      </c>
      <c r="B627" s="13" t="inlineStr">
        <is>
          <t>malawi</t>
        </is>
      </c>
      <c r="C627" s="13" t="inlineStr">
        <is>
          <t>MWI</t>
        </is>
      </c>
      <c r="D627" s="13" t="inlineStr">
        <is>
          <t>Malawi</t>
        </is>
      </c>
      <c r="E627" s="13" t="inlineStr">
        <is>
          <t>Tambala Market</t>
        </is>
      </c>
      <c r="F627" s="13" t="inlineStr">
        <is>
          <t>https://www.tambalamarket.store/categories/food-beverages</t>
        </is>
      </c>
      <c r="G627" s="13" t="inlineStr">
        <is>
          <t>PROBED - VIABLE</t>
        </is>
      </c>
      <c r="H627" s="13" t="inlineStr">
        <is>
          <t>TIER_1A</t>
        </is>
      </c>
      <c r="I627" s="13" t="inlineStr">
        <is>
          <t>low</t>
        </is>
      </c>
      <c r="J627" s="13" t="n">
        <v>8</v>
      </c>
      <c r="K627" s="13" t="inlineStr">
        <is>
          <t>SSR HTML</t>
        </is>
      </c>
      <c r="L627" s="13" t="inlineStr">
        <is>
          <t>GET /categories/food-beverages -&gt; 200, 338KB, multiple 'MWK' matches in raw HTML.</t>
        </is>
      </c>
      <c r="M627" s="13" t="inlineStr">
        <is>
          <t>ACCEPT</t>
        </is>
      </c>
      <c r="N627" s="13" t="inlineStr">
        <is>
          <t>not scored</t>
        </is>
      </c>
      <c r="O627" s="13" t="inlineStr"/>
      <c r="P627" s="13" t="inlineStr">
        <is>
          <t>Custom</t>
        </is>
      </c>
      <c r="Q627" s="13" t="inlineStr">
        <is>
          <t>MWK</t>
        </is>
      </c>
      <c r="R627" s="13" t="inlineStr">
        <is>
          <t>-</t>
        </is>
      </c>
      <c r="S627" s="13" t="inlineStr">
        <is>
          <t>-</t>
        </is>
      </c>
      <c r="T627" s="13" t="inlineStr">
        <is>
          <t>CONFIRMED: MWK prices, named sellers (Simbwi Rice, DRT foods, Malorgan Processors), Lilongwe and Blantyre. Food category is small (17 items) and wine-heavy.</t>
        </is>
      </c>
      <c r="U627" s="13" t="inlineStr">
        <is>
          <t>-</t>
        </is>
      </c>
      <c r="V627" s="13" t="inlineStr">
        <is>
          <t>P2</t>
        </is>
      </c>
    </row>
    <row r="628">
      <c r="A628" s="13" t="inlineStr">
        <is>
          <t>ssa</t>
        </is>
      </c>
      <c r="B628" s="13" t="inlineStr">
        <is>
          <t>rwanda</t>
        </is>
      </c>
      <c r="C628" s="13" t="inlineStr">
        <is>
          <t>RWA</t>
        </is>
      </c>
      <c r="D628" s="13" t="inlineStr">
        <is>
          <t>Rwanda</t>
        </is>
      </c>
      <c r="E628" s="13" t="inlineStr">
        <is>
          <t>Tibaaba grocery Kigali</t>
        </is>
      </c>
      <c r="F628" s="13" t="inlineStr">
        <is>
          <t>https://tibaaba.zirzoner.com/grocery-delivery-kigali</t>
        </is>
      </c>
      <c r="G628" s="13" t="inlineStr">
        <is>
          <t>NOT PROBED - deduped, already onboarded, or time-boxed</t>
        </is>
      </c>
      <c r="H628" s="13" t="inlineStr"/>
      <c r="I628" s="13" t="inlineStr"/>
      <c r="J628" s="13" t="inlineStr"/>
      <c r="K628" s="13" t="inlineStr"/>
      <c r="L628" s="13" t="inlineStr"/>
      <c r="M628" s="13" t="inlineStr">
        <is>
          <t>REJECT</t>
        </is>
      </c>
      <c r="N628" s="13" t="inlineStr">
        <is>
          <t>not scored</t>
        </is>
      </c>
      <c r="O628" s="13" t="inlineStr"/>
      <c r="P628" s="13" t="inlineStr">
        <is>
          <t>Custom</t>
        </is>
      </c>
      <c r="Q628" s="13" t="inlineStr"/>
      <c r="R628" s="13" t="inlineStr">
        <is>
          <t>-</t>
        </is>
      </c>
      <c r="S628" s="13" t="inlineStr">
        <is>
          <t>-</t>
        </is>
      </c>
      <c r="T628" s="13" t="inlineStr">
        <is>
          <t>T3 FAIL: self-described 'SEO growth engine' page with no products - pure doorway content.</t>
        </is>
      </c>
      <c r="U628" s="13" t="inlineStr">
        <is>
          <t>-</t>
        </is>
      </c>
      <c r="V628" s="13" t="inlineStr">
        <is>
          <t>P1</t>
        </is>
      </c>
    </row>
    <row r="629">
      <c r="A629" s="13" t="inlineStr">
        <is>
          <t>ssa</t>
        </is>
      </c>
      <c r="B629" s="13" t="inlineStr">
        <is>
          <t>rwanda</t>
        </is>
      </c>
      <c r="C629" s="13" t="inlineStr">
        <is>
          <t>RWA</t>
        </is>
      </c>
      <c r="D629" s="13" t="inlineStr">
        <is>
          <t>Rwanda</t>
        </is>
      </c>
      <c r="E629" s="13" t="inlineStr">
        <is>
          <t>Fasita</t>
        </is>
      </c>
      <c r="F629" s="13" t="inlineStr">
        <is>
          <t>https://fasita.rw/</t>
        </is>
      </c>
      <c r="G629" s="13" t="inlineStr">
        <is>
          <t>PROBED - VIABLE</t>
        </is>
      </c>
      <c r="H629" s="13" t="inlineStr">
        <is>
          <t>TIER_2</t>
        </is>
      </c>
      <c r="I629" s="13" t="inlineStr">
        <is>
          <t>medium</t>
        </is>
      </c>
      <c r="J629" s="13" t="n">
        <v>0</v>
      </c>
      <c r="K629" s="13" t="inlineStr"/>
      <c r="L629" s="13" t="inlineStr">
        <is>
          <t>curl -&gt; HTTP 200, 40.5KB, Next.js app (App Router, RSC preload tags). No RWF price pattern found on the homepage itself.</t>
        </is>
      </c>
      <c r="M629" s="13" t="inlineStr">
        <is>
          <t>ACCEPT</t>
        </is>
      </c>
      <c r="N629" s="13" t="inlineStr">
        <is>
          <t>not scored</t>
        </is>
      </c>
      <c r="O629" s="13" t="inlineStr"/>
      <c r="P629" s="13" t="inlineStr">
        <is>
          <t>Custom</t>
        </is>
      </c>
      <c r="Q629" s="13" t="inlineStr">
        <is>
          <t>RWF</t>
        </is>
      </c>
      <c r="R629" s="13" t="inlineStr">
        <is>
          <t>-</t>
        </is>
      </c>
      <c r="S629" s="13" t="inlineStr">
        <is>
          <t>-</t>
        </is>
      </c>
      <c r="T629" s="13" t="inlineStr">
        <is>
          <t>Live: Kigali, Huye, Musanze, Nyanza; groceries and essentials.</t>
        </is>
      </c>
      <c r="U629" s="13" t="inlineStr">
        <is>
          <t>-</t>
        </is>
      </c>
      <c r="V629" s="13" t="inlineStr">
        <is>
          <t>P1</t>
        </is>
      </c>
    </row>
    <row r="630">
      <c r="A630" s="13" t="inlineStr">
        <is>
          <t>ssa</t>
        </is>
      </c>
      <c r="B630" s="13" t="inlineStr">
        <is>
          <t>rwanda</t>
        </is>
      </c>
      <c r="C630" s="13" t="inlineStr">
        <is>
          <t>RWA</t>
        </is>
      </c>
      <c r="D630" s="13" t="inlineStr">
        <is>
          <t>Rwanda</t>
        </is>
      </c>
      <c r="E630" s="13" t="inlineStr">
        <is>
          <t>N.Honest Supermarket</t>
        </is>
      </c>
      <c r="F630" s="13" t="inlineStr">
        <is>
          <t>https://www.honestsupermarket.com/</t>
        </is>
      </c>
      <c r="G630" s="13" t="inlineStr">
        <is>
          <t>PROBED - VIABLE</t>
        </is>
      </c>
      <c r="H630" s="13" t="inlineStr">
        <is>
          <t>TIER_2</t>
        </is>
      </c>
      <c r="I630" s="13" t="inlineStr">
        <is>
          <t>high</t>
        </is>
      </c>
      <c r="J630" s="13" t="n">
        <v>0</v>
      </c>
      <c r="K630" s="13" t="inlineStr"/>
      <c r="L630" s="13" t="inlineStr">
        <is>
          <t>curl -&gt; HTTP 200, 115KB. Cart summary shows 'RWF 0.00' placeholders (client-side cart JS, no server data). Corroborates CSV's own note that the product API returns HTTP 403.</t>
        </is>
      </c>
      <c r="M630" s="13" t="inlineStr">
        <is>
          <t>ACCEPT</t>
        </is>
      </c>
      <c r="N630" s="13" t="inlineStr">
        <is>
          <t>not scored</t>
        </is>
      </c>
      <c r="O630" s="13" t="inlineStr"/>
      <c r="P630" s="13" t="inlineStr">
        <is>
          <t>Custom</t>
        </is>
      </c>
      <c r="Q630" s="13" t="inlineStr">
        <is>
          <t>RWF</t>
        </is>
      </c>
      <c r="R630" s="13" t="inlineStr">
        <is>
          <t>-</t>
        </is>
      </c>
      <c r="S630" s="13" t="inlineStr">
        <is>
          <t>-</t>
        </is>
      </c>
      <c r="T630" s="13" t="inlineStr">
        <is>
          <t>Live: Kigali 30-40 min delivery, MTN MoMo. NOTE: product API returned HTTP 403 on crawl - expect anti-bot on the catalogue endpoint.</t>
        </is>
      </c>
      <c r="U630" s="13" t="inlineStr">
        <is>
          <t>-</t>
        </is>
      </c>
      <c r="V630" s="13" t="inlineStr">
        <is>
          <t>P1</t>
        </is>
      </c>
    </row>
    <row r="631">
      <c r="A631" s="13" t="inlineStr">
        <is>
          <t>ssa</t>
        </is>
      </c>
      <c r="B631" s="13" t="inlineStr">
        <is>
          <t>rwanda</t>
        </is>
      </c>
      <c r="C631" s="13" t="inlineStr">
        <is>
          <t>RWA</t>
        </is>
      </c>
      <c r="D631" s="13" t="inlineStr">
        <is>
          <t>Rwanda</t>
        </is>
      </c>
      <c r="E631" s="13" t="inlineStr">
        <is>
          <t>Pride Farms</t>
        </is>
      </c>
      <c r="F631" s="13" t="inlineStr">
        <is>
          <t>https://www.pridefarms.rw/</t>
        </is>
      </c>
      <c r="G631" s="13" t="inlineStr">
        <is>
          <t>PROBED - VIABLE</t>
        </is>
      </c>
      <c r="H631" s="13" t="inlineStr">
        <is>
          <t>TIER_2</t>
        </is>
      </c>
      <c r="I631" s="13" t="inlineStr">
        <is>
          <t>medium</t>
        </is>
      </c>
      <c r="J631" s="13" t="n">
        <v>0</v>
      </c>
      <c r="K631" s="13" t="inlineStr"/>
      <c r="L631" s="13" t="inlineStr">
        <is>
          <t>curl -&gt; HTTP 200, 1.5MB (Wix). No RWF price pattern found anywhere in the raw HTML -- Wix sites typically load catalog data via a client-side Velo/data-binding API, not SSR.</t>
        </is>
      </c>
      <c r="M631" s="13" t="inlineStr">
        <is>
          <t>ACCEPT</t>
        </is>
      </c>
      <c r="N631" s="13" t="inlineStr">
        <is>
          <t>not scored</t>
        </is>
      </c>
      <c r="O631" s="13" t="inlineStr"/>
      <c r="P631" s="13" t="inlineStr">
        <is>
          <t>Wix</t>
        </is>
      </c>
      <c r="Q631" s="13" t="inlineStr">
        <is>
          <t>RWF</t>
        </is>
      </c>
      <c r="R631" s="13" t="inlineStr">
        <is>
          <t>-</t>
        </is>
      </c>
      <c r="S631" s="13" t="inlineStr">
        <is>
          <t>-</t>
        </is>
      </c>
      <c r="T631" s="13" t="inlineStr">
        <is>
          <t>Live: farm-to-door produce and pantry, Kigali.</t>
        </is>
      </c>
      <c r="U631" s="13" t="inlineStr">
        <is>
          <t>-</t>
        </is>
      </c>
      <c r="V631" s="13" t="inlineStr">
        <is>
          <t>P1</t>
        </is>
      </c>
    </row>
    <row r="632">
      <c r="A632" s="13" t="inlineStr">
        <is>
          <t>ssa</t>
        </is>
      </c>
      <c r="B632" s="13" t="inlineStr">
        <is>
          <t>rwanda</t>
        </is>
      </c>
      <c r="C632" s="13" t="inlineStr">
        <is>
          <t>RWA</t>
        </is>
      </c>
      <c r="D632" s="13" t="inlineStr">
        <is>
          <t>Rwanda</t>
        </is>
      </c>
      <c r="E632" s="13" t="inlineStr">
        <is>
          <t>haha.rw</t>
        </is>
      </c>
      <c r="F632" s="13" t="inlineStr">
        <is>
          <t>https://haha.rw/</t>
        </is>
      </c>
      <c r="G632" s="13" t="inlineStr">
        <is>
          <t>PROBED - VIABLE</t>
        </is>
      </c>
      <c r="H632" s="13" t="inlineStr">
        <is>
          <t>TIER_2</t>
        </is>
      </c>
      <c r="I632" s="13" t="inlineStr">
        <is>
          <t>medium</t>
        </is>
      </c>
      <c r="J632" s="13" t="n">
        <v>0</v>
      </c>
      <c r="K632" s="13" t="inlineStr"/>
      <c r="L632" s="13" t="inlineStr">
        <is>
          <t>curl -&gt; HTTP 200 but only 779 bytes -- a Vite/React SPA shell ('&lt;div id="root"&gt;&lt;/div&gt;', hashed asset bundle). CSV describes this as 'server-rendered' which is incorrect; it is client-hydrated.</t>
        </is>
      </c>
      <c r="M632" s="13" t="inlineStr">
        <is>
          <t>ACCEPT</t>
        </is>
      </c>
      <c r="N632" s="13" t="inlineStr">
        <is>
          <t>not scored</t>
        </is>
      </c>
      <c r="O632" s="13" t="inlineStr"/>
      <c r="P632" s="13" t="inlineStr">
        <is>
          <t>Custom</t>
        </is>
      </c>
      <c r="Q632" s="13" t="inlineStr">
        <is>
          <t>RWF</t>
        </is>
      </c>
      <c r="R632" s="13" t="inlineStr">
        <is>
          <t>-</t>
        </is>
      </c>
      <c r="S632" s="13" t="inlineStr">
        <is>
          <t>-</t>
        </is>
      </c>
      <c r="T632" s="13" t="inlineStr">
        <is>
          <t>STRONG: RWF prices per kg/piece/bunch, 6 named Kigali markets, server-rendered.</t>
        </is>
      </c>
      <c r="U632" s="13" t="inlineStr">
        <is>
          <t>-</t>
        </is>
      </c>
      <c r="V632" s="13" t="inlineStr">
        <is>
          <t>P1</t>
        </is>
      </c>
    </row>
    <row r="633">
      <c r="A633" s="13" t="inlineStr">
        <is>
          <t>ssa</t>
        </is>
      </c>
      <c r="B633" s="13" t="inlineStr">
        <is>
          <t>sudan</t>
        </is>
      </c>
      <c r="C633" s="13" t="inlineStr">
        <is>
          <t>SDN</t>
        </is>
      </c>
      <c r="D633" s="13" t="inlineStr">
        <is>
          <t>Sudan</t>
        </is>
      </c>
      <c r="E633" s="13" t="inlineStr">
        <is>
          <t>Instagrocer Khartoum</t>
        </is>
      </c>
      <c r="F633" s="13" t="inlineStr">
        <is>
          <t>https://www.instagrocer.co/delivery/khartoum/khartoum-north</t>
        </is>
      </c>
      <c r="G633" s="13" t="inlineStr">
        <is>
          <t>NOT PROBED - deduped, already onboarded, or time-boxed</t>
        </is>
      </c>
      <c r="H633" s="13" t="inlineStr"/>
      <c r="I633" s="13" t="inlineStr"/>
      <c r="J633" s="13" t="inlineStr"/>
      <c r="K633" s="13" t="inlineStr"/>
      <c r="L633" s="13" t="inlineStr"/>
      <c r="M633" s="13" t="inlineStr">
        <is>
          <t>REJECT</t>
        </is>
      </c>
      <c r="N633" s="13" t="inlineStr">
        <is>
          <t>not scored</t>
        </is>
      </c>
      <c r="O633" s="13" t="inlineStr"/>
      <c r="P633" s="13" t="inlineStr">
        <is>
          <t>Custom</t>
        </is>
      </c>
      <c r="Q633" s="13" t="inlineStr"/>
      <c r="R633" s="13" t="inlineStr">
        <is>
          <t>-</t>
        </is>
      </c>
      <c r="S633" s="13" t="inlineStr">
        <is>
          <t>-</t>
        </is>
      </c>
      <c r="T633" s="13" t="inlineStr">
        <is>
          <t>T3 FAIL: Instacart-clone template with generated 'Grocery delivery in &lt;city&gt;' landing pages and no actual prices. Doorway pattern.</t>
        </is>
      </c>
      <c r="U633" s="13" t="inlineStr">
        <is>
          <t>-</t>
        </is>
      </c>
      <c r="V633" s="13" t="inlineStr">
        <is>
          <t>P1</t>
        </is>
      </c>
    </row>
    <row r="634">
      <c r="A634" s="13" t="inlineStr">
        <is>
          <t>ssa</t>
        </is>
      </c>
      <c r="B634" s="13" t="inlineStr">
        <is>
          <t>sudan</t>
        </is>
      </c>
      <c r="C634" s="13" t="inlineStr">
        <is>
          <t>SDN</t>
        </is>
      </c>
      <c r="D634" s="13" t="inlineStr">
        <is>
          <t>Sudan</t>
        </is>
      </c>
      <c r="E634" s="13" t="inlineStr">
        <is>
          <t>Talabaty</t>
        </is>
      </c>
      <c r="F634" s="13" t="inlineStr">
        <is>
          <t>https://mytalabaty.com/</t>
        </is>
      </c>
      <c r="G634" s="13" t="inlineStr">
        <is>
          <t>NOT PROBED - deduped, already onboarded, or time-boxed</t>
        </is>
      </c>
      <c r="H634" s="13" t="inlineStr"/>
      <c r="I634" s="13" t="inlineStr"/>
      <c r="J634" s="13" t="inlineStr"/>
      <c r="K634" s="13" t="inlineStr"/>
      <c r="L634" s="13" t="inlineStr"/>
      <c r="M634" s="13" t="inlineStr">
        <is>
          <t>SUSPECT</t>
        </is>
      </c>
      <c r="N634" s="13" t="inlineStr">
        <is>
          <t>not scored</t>
        </is>
      </c>
      <c r="O634" s="13" t="inlineStr"/>
      <c r="P634" s="13" t="inlineStr">
        <is>
          <t>Custom</t>
        </is>
      </c>
      <c r="Q634" s="13" t="inlineStr">
        <is>
          <t>SDG</t>
        </is>
      </c>
      <c r="R634" s="13" t="inlineStr">
        <is>
          <t>-</t>
        </is>
      </c>
      <c r="S634" s="13" t="inlineStr">
        <is>
          <t>-</t>
        </is>
      </c>
      <c r="T634" s="13" t="inlineStr">
        <is>
          <t>Live Sudanese platform but app 'coming soon' - no web catalogue yet. [pass 4 -&gt; ARCHIVE watch item]</t>
        </is>
      </c>
      <c r="U634" s="13" t="inlineStr">
        <is>
          <t>-</t>
        </is>
      </c>
      <c r="V634" s="13" t="inlineStr">
        <is>
          <t>P2</t>
        </is>
      </c>
    </row>
    <row r="635">
      <c r="A635" s="13" t="inlineStr">
        <is>
          <t>ssa</t>
        </is>
      </c>
      <c r="B635" s="13" t="inlineStr">
        <is>
          <t>sudan</t>
        </is>
      </c>
      <c r="C635" s="13" t="inlineStr">
        <is>
          <t>SDN</t>
        </is>
      </c>
      <c r="D635" s="13" t="inlineStr">
        <is>
          <t>Sudan</t>
        </is>
      </c>
      <c r="E635" s="13" t="inlineStr">
        <is>
          <t>Talabaty</t>
        </is>
      </c>
      <c r="F635" s="13" t="inlineStr">
        <is>
          <t>https://mytalabaty.com/</t>
        </is>
      </c>
      <c r="G635" s="13" t="inlineStr">
        <is>
          <t>NOT PROBED - deduped, already onboarded, or time-boxed</t>
        </is>
      </c>
      <c r="H635" s="13" t="inlineStr"/>
      <c r="I635" s="13" t="inlineStr"/>
      <c r="J635" s="13" t="inlineStr"/>
      <c r="K635" s="13" t="inlineStr"/>
      <c r="L635" s="13" t="inlineStr"/>
      <c r="M635" s="13" t="inlineStr">
        <is>
          <t>ARCHIVE</t>
        </is>
      </c>
      <c r="N635" s="13" t="inlineStr">
        <is>
          <t>not scored</t>
        </is>
      </c>
      <c r="O635" s="13" t="inlineStr"/>
      <c r="P635" s="13" t="inlineStr">
        <is>
          <t>Custom</t>
        </is>
      </c>
      <c r="Q635" s="13" t="inlineStr">
        <is>
          <t>SDG</t>
        </is>
      </c>
      <c r="R635" s="13" t="inlineStr">
        <is>
          <t>-</t>
        </is>
      </c>
      <c r="S635" s="13" t="inlineStr">
        <is>
          <t>-</t>
        </is>
      </c>
      <c r="T635" s="13" t="inlineStr">
        <is>
          <t>App 'coming soon', no web catalogue yet. Keep as a watch item; recheck in 6 months.</t>
        </is>
      </c>
      <c r="U635" s="13" t="inlineStr">
        <is>
          <t>-</t>
        </is>
      </c>
      <c r="V635" s="13" t="inlineStr">
        <is>
          <t>P4</t>
        </is>
      </c>
    </row>
    <row r="636">
      <c r="A636" s="13" t="inlineStr">
        <is>
          <t>ssa</t>
        </is>
      </c>
      <c r="B636" s="13" t="inlineStr">
        <is>
          <t>sudan</t>
        </is>
      </c>
      <c r="C636" s="13" t="inlineStr">
        <is>
          <t>SDN</t>
        </is>
      </c>
      <c r="D636" s="13" t="inlineStr">
        <is>
          <t>Sudan</t>
        </is>
      </c>
      <c r="E636" s="13" t="inlineStr">
        <is>
          <t>Al Waha Supermarket</t>
        </is>
      </c>
      <c r="F636" s="13" t="inlineStr">
        <is>
          <t>https://alwaha.sd/</t>
        </is>
      </c>
      <c r="G636" s="13" t="inlineStr">
        <is>
          <t>PROBED - SKIP</t>
        </is>
      </c>
      <c r="H636" s="13" t="inlineStr">
        <is>
          <t>SKIP</t>
        </is>
      </c>
      <c r="I636" s="13" t="inlineStr">
        <is>
          <t>high</t>
        </is>
      </c>
      <c r="J636" s="13" t="n">
        <v>0</v>
      </c>
      <c r="K636" s="13" t="inlineStr"/>
      <c r="L636" s="13" t="inlineStr">
        <is>
          <t>curl -&gt; HTTP 200, 11.4KB. Body is a generic Bootstrap brochure template ('Home - Alwaha', vendor CSS/JS only, no product/price markup). GET /wp-json/... -&gt; 404 (not actually WordPress despite CSV platform column).</t>
        </is>
      </c>
      <c r="M636" s="13" t="inlineStr">
        <is>
          <t>SUSPECT</t>
        </is>
      </c>
      <c r="N636" s="13" t="inlineStr">
        <is>
          <t>not scored</t>
        </is>
      </c>
      <c r="O636" s="13" t="inlineStr"/>
      <c r="P636" s="13" t="inlineStr">
        <is>
          <t>WordPress/WooCommerce</t>
        </is>
      </c>
      <c r="Q636" s="13" t="inlineStr">
        <is>
          <t>SDG</t>
        </is>
      </c>
      <c r="R636" s="13" t="inlineStr">
        <is>
          <t>-</t>
        </is>
      </c>
      <c r="S636" s="13" t="inlineStr">
        <is>
          <t>-</t>
        </is>
      </c>
      <c r="T636" s="13" t="inlineStr">
        <is>
          <t>Carried from v2; unverified.</t>
        </is>
      </c>
      <c r="U636" s="13" t="inlineStr">
        <is>
          <t>-</t>
        </is>
      </c>
      <c r="V636" s="13" t="inlineStr">
        <is>
          <t>P1</t>
        </is>
      </c>
    </row>
    <row r="637">
      <c r="A637" s="13" t="inlineStr">
        <is>
          <t>ssa</t>
        </is>
      </c>
      <c r="B637" s="13" t="inlineStr">
        <is>
          <t>sudan</t>
        </is>
      </c>
      <c r="C637" s="13" t="inlineStr">
        <is>
          <t>SDN</t>
        </is>
      </c>
      <c r="D637" s="13" t="inlineStr">
        <is>
          <t>Sudan</t>
        </is>
      </c>
      <c r="E637" s="13" t="inlineStr">
        <is>
          <t>Grocerjy</t>
        </is>
      </c>
      <c r="F637" s="13" t="inlineStr">
        <is>
          <t>https://www.grocerjy.com/en/</t>
        </is>
      </c>
      <c r="G637" s="13" t="inlineStr">
        <is>
          <t>PROBED - SKIP</t>
        </is>
      </c>
      <c r="H637" s="13" t="inlineStr">
        <is>
          <t>SKIP</t>
        </is>
      </c>
      <c r="I637" s="13" t="inlineStr">
        <is>
          <t>low</t>
        </is>
      </c>
      <c r="J637" s="13" t="n">
        <v>0</v>
      </c>
      <c r="K637" s="13" t="inlineStr"/>
      <c r="L637" s="13" t="inlineStr">
        <is>
          <t>Not re-probed - CSV AI_NOTES already confirms this is a Saudi platform filtered by country param; prices are not Yemeni.</t>
        </is>
      </c>
      <c r="M637" s="13" t="inlineStr">
        <is>
          <t>REJECT</t>
        </is>
      </c>
      <c r="N637" s="13" t="inlineStr">
        <is>
          <t>not scored</t>
        </is>
      </c>
      <c r="O637" s="13" t="inlineStr"/>
      <c r="P637" s="13" t="inlineStr">
        <is>
          <t>Custom</t>
        </is>
      </c>
      <c r="Q637" s="13" t="inlineStr">
        <is>
          <t>SAR</t>
        </is>
      </c>
      <c r="R637" s="13" t="inlineStr">
        <is>
          <t>-</t>
        </is>
      </c>
      <c r="S637" s="13" t="inlineStr">
        <is>
          <t>-</t>
        </is>
      </c>
      <c r="T637" s="13" t="inlineStr">
        <is>
          <t>T1 FAIL: prices in SAR, payments via mada/STC Pay. This is a SAUDI retailer with a country filter, not a Sudanese one.</t>
        </is>
      </c>
      <c r="U637" s="13" t="inlineStr">
        <is>
          <t>-</t>
        </is>
      </c>
      <c r="V637" s="13" t="inlineStr">
        <is>
          <t>P1</t>
        </is>
      </c>
    </row>
    <row r="638">
      <c r="A638" s="13" t="inlineStr">
        <is>
          <t>ssa</t>
        </is>
      </c>
      <c r="B638" s="13" t="inlineStr">
        <is>
          <t>sudan</t>
        </is>
      </c>
      <c r="C638" s="13" t="inlineStr">
        <is>
          <t>SDN</t>
        </is>
      </c>
      <c r="D638" s="13" t="inlineStr">
        <is>
          <t>Sudan</t>
        </is>
      </c>
      <c r="E638" s="13" t="inlineStr">
        <is>
          <t>Storna</t>
        </is>
      </c>
      <c r="F638" s="13" t="inlineStr">
        <is>
          <t>https://storna-shopping-vercel.app/</t>
        </is>
      </c>
      <c r="G638" s="13" t="inlineStr">
        <is>
          <t>PROBED - SKIP</t>
        </is>
      </c>
      <c r="H638" s="13" t="inlineStr">
        <is>
          <t>SKIP</t>
        </is>
      </c>
      <c r="I638" s="13" t="inlineStr">
        <is>
          <t>high</t>
        </is>
      </c>
      <c r="J638" s="13" t="n">
        <v>0</v>
      </c>
      <c r="K638" s="13" t="inlineStr"/>
      <c r="L638" s="13" t="inlineStr">
        <is>
          <t>curl -&gt; connection timeout (HTTP 000). dig storna-shopping-vercel.app -&gt; no A record. Vercel preview deployment appears torn down.</t>
        </is>
      </c>
      <c r="M638" s="13" t="inlineStr">
        <is>
          <t>SUSPECT</t>
        </is>
      </c>
      <c r="N638" s="13" t="inlineStr">
        <is>
          <t>not scored</t>
        </is>
      </c>
      <c r="O638" s="13" t="inlineStr"/>
      <c r="P638" s="13" t="inlineStr">
        <is>
          <t>Custom</t>
        </is>
      </c>
      <c r="Q638" s="13" t="inlineStr">
        <is>
          <t>SDG</t>
        </is>
      </c>
      <c r="R638" s="13" t="inlineStr">
        <is>
          <t>-</t>
        </is>
      </c>
      <c r="S638" s="13" t="inlineStr">
        <is>
          <t>-</t>
        </is>
      </c>
      <c r="T638" s="13" t="inlineStr">
        <is>
          <t>SDG prices and free-delivery threshold (15,000 SDG), but hosted on a vercel.app preview domain with placeholder contact details. Verify it is a real trading entity.</t>
        </is>
      </c>
      <c r="U638" s="13" t="inlineStr">
        <is>
          <t>-</t>
        </is>
      </c>
      <c r="V638" s="13" t="inlineStr">
        <is>
          <t>P2</t>
        </is>
      </c>
    </row>
    <row r="639">
      <c r="A639" s="13" t="inlineStr">
        <is>
          <t>ssa</t>
        </is>
      </c>
      <c r="B639" s="13" t="inlineStr">
        <is>
          <t>sudan</t>
        </is>
      </c>
      <c r="C639" s="13" t="inlineStr">
        <is>
          <t>SDN</t>
        </is>
      </c>
      <c r="D639" s="13" t="inlineStr">
        <is>
          <t>Sudan</t>
        </is>
      </c>
      <c r="E639" s="13" t="inlineStr">
        <is>
          <t>Hyper Express</t>
        </is>
      </c>
      <c r="F639" s="13" t="inlineStr">
        <is>
          <t>https://hyper.sd/</t>
        </is>
      </c>
      <c r="G639" s="13" t="inlineStr">
        <is>
          <t>PROBED - VIABLE</t>
        </is>
      </c>
      <c r="H639" s="13" t="inlineStr">
        <is>
          <t>TIER_2</t>
        </is>
      </c>
      <c r="I639" s="13" t="inlineStr">
        <is>
          <t>medium</t>
        </is>
      </c>
      <c r="J639" s="13" t="n">
        <v>0</v>
      </c>
      <c r="K639" s="13" t="inlineStr"/>
      <c r="L639" s="13" t="inlineStr">
        <is>
          <t>curl -&gt; HTTP 200, 286KB SSR HTML. No confirmed product-name + price pair found in the sampled HTML (numeric-looking patterns found were SVG path coordinates, a false positive). Needs a category-page-level probe, not just the homepage.</t>
        </is>
      </c>
      <c r="M639" s="13" t="inlineStr">
        <is>
          <t>ACCEPT</t>
        </is>
      </c>
      <c r="N639" s="13" t="inlineStr">
        <is>
          <t>not scored</t>
        </is>
      </c>
      <c r="O639" s="13" t="inlineStr"/>
      <c r="P639" s="13" t="inlineStr">
        <is>
          <t>Custom</t>
        </is>
      </c>
      <c r="Q639" s="13" t="inlineStr">
        <is>
          <t>SDG</t>
        </is>
      </c>
      <c r="R639" s="13" t="inlineStr">
        <is>
          <t>-</t>
        </is>
      </c>
      <c r="S639" s="13" t="inlineStr">
        <is>
          <t>-</t>
        </is>
      </c>
      <c r="T639" s="13" t="inlineStr">
        <is>
          <t>Live: hypermarket, restaurants, pharmacies. Covers Khartoum, Omdurman, Port Sudan, Kassala, Gedaref, Atbara. Note it also lists Muscat, Oman - filter to Sudanese stores only.</t>
        </is>
      </c>
      <c r="U639" s="13" t="inlineStr">
        <is>
          <t>-</t>
        </is>
      </c>
      <c r="V639" s="13" t="inlineStr">
        <is>
          <t>P2</t>
        </is>
      </c>
    </row>
    <row r="640">
      <c r="A640" s="13" t="inlineStr">
        <is>
          <t>ssa</t>
        </is>
      </c>
      <c r="B640" s="13" t="inlineStr">
        <is>
          <t>sudan</t>
        </is>
      </c>
      <c r="C640" s="13" t="inlineStr">
        <is>
          <t>SDN</t>
        </is>
      </c>
      <c r="D640" s="13" t="inlineStr">
        <is>
          <t>Sudan</t>
        </is>
      </c>
      <c r="E640" s="13" t="inlineStr">
        <is>
          <t>HyperSale</t>
        </is>
      </c>
      <c r="F640" s="13" t="inlineStr">
        <is>
          <t>https://www.hypersale.sd/</t>
        </is>
      </c>
      <c r="G640" s="13" t="inlineStr">
        <is>
          <t>PROBED - VIABLE</t>
        </is>
      </c>
      <c r="H640" s="13" t="inlineStr">
        <is>
          <t>TIER_1A</t>
        </is>
      </c>
      <c r="I640" s="13" t="inlineStr">
        <is>
          <t>low</t>
        </is>
      </c>
      <c r="J640" s="13" t="n">
        <v>45</v>
      </c>
      <c r="K640" s="13" t="inlineStr">
        <is>
          <t>/category/hypersale-super-market</t>
        </is>
      </c>
      <c r="L640" s="13" t="inlineStr">
        <is>
          <t>GET /category/hypersale-super-market -&gt; HTTP 200, 430KB SSR HTML with real product links + prices. Samples: 'Al Hamwi Coffee Classic Cardamom 180gm' 24.000 SDG, 'Frozina Pomme Frite Potatoes 25gm' 23.000 SDG, 'Karim Coconut Milk 400ml' 7.500 SDG, 'Lotus Biscoff Original 250gm' price present, 'Frozen Strawberry 1kg' present.</t>
        </is>
      </c>
      <c r="M640" s="13" t="inlineStr">
        <is>
          <t>ACCEPT</t>
        </is>
      </c>
      <c r="N640" s="13" t="inlineStr">
        <is>
          <t>not scored</t>
        </is>
      </c>
      <c r="O640" s="13" t="inlineStr"/>
      <c r="P640" s="13" t="inlineStr">
        <is>
          <t>Custom</t>
        </is>
      </c>
      <c r="Q640" s="13" t="inlineStr">
        <is>
          <t>SDG</t>
        </is>
      </c>
      <c r="R640" s="13" t="inlineStr">
        <is>
          <t>-</t>
        </is>
      </c>
      <c r="S640" s="13" t="inlineStr">
        <is>
          <t>-</t>
        </is>
      </c>
      <c r="T640" s="13" t="inlineStr">
        <is>
          <t>STRONG: SDG prices throughout, licensed Sudanese company, dedicated 'HyperSale Market' grocery section (food &amp; beverage, household, personal care, baby). Khartoum 2-24h, other states 3-5 days.</t>
        </is>
      </c>
      <c r="U640" s="13" t="inlineStr">
        <is>
          <t>-</t>
        </is>
      </c>
      <c r="V640" s="13" t="inlineStr">
        <is>
          <t>P2</t>
        </is>
      </c>
    </row>
    <row r="641">
      <c r="A641" s="13" t="inlineStr">
        <is>
          <t>ssa</t>
        </is>
      </c>
      <c r="B641" s="13" t="inlineStr">
        <is>
          <t>sudan</t>
        </is>
      </c>
      <c r="C641" s="13" t="inlineStr">
        <is>
          <t>SDN</t>
        </is>
      </c>
      <c r="D641" s="13" t="inlineStr">
        <is>
          <t>Sudan</t>
        </is>
      </c>
      <c r="E641" s="13" t="inlineStr">
        <is>
          <t>LILY Delivery</t>
        </is>
      </c>
      <c r="F641" s="13" t="inlineStr">
        <is>
          <t>https://www.lilydelivery.com/en</t>
        </is>
      </c>
      <c r="G641" s="13" t="inlineStr">
        <is>
          <t>PROBED - VIABLE</t>
        </is>
      </c>
      <c r="H641" s="13" t="inlineStr">
        <is>
          <t>TIER_2</t>
        </is>
      </c>
      <c r="I641" s="13" t="inlineStr">
        <is>
          <t>medium</t>
        </is>
      </c>
      <c r="J641" s="13" t="n">
        <v>0</v>
      </c>
      <c r="K641" s="13" t="inlineStr"/>
      <c r="L641" s="13" t="inlineStr">
        <is>
          <t>curl -&gt; HTTP 200, 247KB. No SDG price pattern found in homepage HTML. Likely needs the specific /order/supermarket/hypermarket vertical URL from the CSV's second row, not probed further within budget.</t>
        </is>
      </c>
      <c r="M641" s="13" t="inlineStr">
        <is>
          <t>ACCEPT</t>
        </is>
      </c>
      <c r="N641" s="13" t="inlineStr">
        <is>
          <t>not scored</t>
        </is>
      </c>
      <c r="O641" s="13" t="inlineStr"/>
      <c r="P641" s="13" t="inlineStr">
        <is>
          <t>Custom</t>
        </is>
      </c>
      <c r="Q641" s="13" t="inlineStr">
        <is>
          <t>SDG</t>
        </is>
      </c>
      <c r="R641" s="13" t="inlineStr">
        <is>
          <t>-</t>
        </is>
      </c>
      <c r="S641" s="13" t="inlineStr">
        <is>
          <t>-</t>
        </is>
      </c>
      <c r="T641" s="13" t="inlineStr">
        <is>
          <t>Live: Khartoum/Omdurman/Bahri, supermarket vertical, Bankak/Fawry/O-Cash payments.</t>
        </is>
      </c>
      <c r="U641" s="13" t="inlineStr">
        <is>
          <t>-</t>
        </is>
      </c>
      <c r="V641" s="13" t="inlineStr">
        <is>
          <t>P1</t>
        </is>
      </c>
    </row>
    <row r="642">
      <c r="A642" s="13" t="inlineStr">
        <is>
          <t>ssa</t>
        </is>
      </c>
      <c r="B642" s="13" t="inlineStr">
        <is>
          <t>sudan</t>
        </is>
      </c>
      <c r="C642" s="13" t="inlineStr">
        <is>
          <t>SDN</t>
        </is>
      </c>
      <c r="D642" s="13" t="inlineStr">
        <is>
          <t>Sudan</t>
        </is>
      </c>
      <c r="E642" s="13" t="inlineStr">
        <is>
          <t>LILY Delivery</t>
        </is>
      </c>
      <c r="F642" s="13" t="inlineStr">
        <is>
          <t>https://www.lilydelivery.com/order/supermarket/hypermarket</t>
        </is>
      </c>
      <c r="G642" s="13" t="inlineStr">
        <is>
          <t>PROBED - VIABLE</t>
        </is>
      </c>
      <c r="H642" s="13" t="inlineStr">
        <is>
          <t>TIER_2</t>
        </is>
      </c>
      <c r="I642" s="13" t="inlineStr">
        <is>
          <t>medium</t>
        </is>
      </c>
      <c r="J642" s="13" t="n">
        <v>0</v>
      </c>
      <c r="K642" s="13" t="inlineStr"/>
      <c r="L642" s="13" t="inlineStr">
        <is>
          <t>curl -&gt; HTTP 200, 247KB. No SDG price pattern found in homepage HTML. Likely needs the specific /order/supermarket/hypermarket vertical URL from the CSV's second row, not probed further within budget.</t>
        </is>
      </c>
      <c r="M642" s="13" t="inlineStr">
        <is>
          <t>ACCEPT</t>
        </is>
      </c>
      <c r="N642" s="13" t="inlineStr">
        <is>
          <t>not scored</t>
        </is>
      </c>
      <c r="O642" s="13" t="inlineStr"/>
      <c r="P642" s="13" t="inlineStr">
        <is>
          <t>Custom</t>
        </is>
      </c>
      <c r="Q642" s="13" t="inlineStr">
        <is>
          <t>SDG</t>
        </is>
      </c>
      <c r="R642" s="13" t="inlineStr">
        <is>
          <t>-</t>
        </is>
      </c>
      <c r="S642" s="13" t="inlineStr">
        <is>
          <t>-</t>
        </is>
      </c>
      <c r="T642" s="13" t="inlineStr">
        <is>
          <t>Live: hypermarket and grocery verticals, Khartoum, 35-minute delivery claim.</t>
        </is>
      </c>
      <c r="U642" s="13" t="inlineStr">
        <is>
          <t>-</t>
        </is>
      </c>
      <c r="V642" s="13" t="inlineStr">
        <is>
          <t>P2</t>
        </is>
      </c>
    </row>
    <row r="643">
      <c r="A643" s="13" t="inlineStr">
        <is>
          <t>ssa</t>
        </is>
      </c>
      <c r="B643" s="13" t="inlineStr">
        <is>
          <t>sudan</t>
        </is>
      </c>
      <c r="C643" s="13" t="inlineStr">
        <is>
          <t>SDN</t>
        </is>
      </c>
      <c r="D643" s="13" t="inlineStr">
        <is>
          <t>Sudan</t>
        </is>
      </c>
      <c r="E643" s="13" t="inlineStr">
        <is>
          <t>Zaad Delivery</t>
        </is>
      </c>
      <c r="F643" s="13" t="inlineStr">
        <is>
          <t>https://zaad.delivery/</t>
        </is>
      </c>
      <c r="G643" s="13" t="inlineStr">
        <is>
          <t>PROBED - VIABLE</t>
        </is>
      </c>
      <c r="H643" s="13" t="inlineStr">
        <is>
          <t>TIER_2</t>
        </is>
      </c>
      <c r="I643" s="13" t="inlineStr">
        <is>
          <t>medium</t>
        </is>
      </c>
      <c r="J643" s="13" t="n">
        <v>0</v>
      </c>
      <c r="K643" s="13" t="inlineStr"/>
      <c r="L643" s="13" t="inlineStr">
        <is>
          <t>curl -&gt; HTTP 200, 192KB, Vue.js fingerprint found. No SDG price pattern found in raw HTML (client-hydrated, as expected for Vue).</t>
        </is>
      </c>
      <c r="M643" s="13" t="inlineStr">
        <is>
          <t>SUSPECT</t>
        </is>
      </c>
      <c r="N643" s="13" t="inlineStr">
        <is>
          <t>not scored</t>
        </is>
      </c>
      <c r="O643" s="13" t="inlineStr"/>
      <c r="P643" s="13" t="inlineStr">
        <is>
          <t>Custom</t>
        </is>
      </c>
      <c r="Q643" s="13" t="inlineStr">
        <is>
          <t>SDG</t>
        </is>
      </c>
      <c r="R643" s="13" t="inlineStr">
        <is>
          <t>-</t>
        </is>
      </c>
      <c r="S643" s="13" t="inlineStr">
        <is>
          <t>-</t>
        </is>
      </c>
      <c r="T643" s="13" t="inlineStr">
        <is>
          <t>Live corporate site; catalogue depth not visible.</t>
        </is>
      </c>
      <c r="U643" s="13" t="inlineStr">
        <is>
          <t>-</t>
        </is>
      </c>
      <c r="V643" s="13" t="inlineStr">
        <is>
          <t>P1</t>
        </is>
      </c>
    </row>
    <row r="644">
      <c r="A644" s="13" t="inlineStr">
        <is>
          <t>ssa</t>
        </is>
      </c>
      <c r="B644" s="13" t="inlineStr">
        <is>
          <t>senegal</t>
        </is>
      </c>
      <c r="C644" s="13" t="inlineStr">
        <is>
          <t>SEN</t>
        </is>
      </c>
      <c r="D644" s="13" t="inlineStr">
        <is>
          <t>Senegal</t>
        </is>
      </c>
      <c r="E644" s="13" t="inlineStr">
        <is>
          <t>Niokobok</t>
        </is>
      </c>
      <c r="F644" s="13" t="inlineStr">
        <is>
          <t>https://www.niokobok.com/</t>
        </is>
      </c>
      <c r="G644" s="13" t="inlineStr">
        <is>
          <t>NOT PROBED - deduped, already onboarded, or time-boxed</t>
        </is>
      </c>
      <c r="H644" s="13" t="inlineStr"/>
      <c r="I644" s="13" t="inlineStr"/>
      <c r="J644" s="13" t="inlineStr"/>
      <c r="K644" s="13" t="inlineStr"/>
      <c r="L644" s="13" t="inlineStr"/>
      <c r="M644" s="13" t="inlineStr">
        <is>
          <t>REJECT</t>
        </is>
      </c>
      <c r="N644" s="13" t="inlineStr">
        <is>
          <t>C - engineering required</t>
        </is>
      </c>
      <c r="O644" s="13" t="n">
        <v>3</v>
      </c>
      <c r="P644" s="13" t="inlineStr">
        <is>
          <t>Custom</t>
        </is>
      </c>
      <c r="Q644" s="13" t="inlineStr">
        <is>
          <t>EUR</t>
        </is>
      </c>
      <c r="R644" s="13" t="inlineStr">
        <is>
          <t>Do not crawl for domestic prices. Could serve as a diaspora-premium comparator if clearly labelled.</t>
        </is>
      </c>
      <c r="S644" s="13" t="inlineStr">
        <is>
          <t>price_eur</t>
        </is>
      </c>
      <c r="T644" s="13" t="inlineStr">
        <is>
          <t>REJECTED ON PRICE BASIS. Operating since 2012 and genuinely Dakar-based with real warehouses, but it prices in EUROS and exists explicitly so the diaspora can send goods to family in Senegal. A sophisticated, long-established and entirely INVALID source for domestic prices. Instructive case: local incorporation and local fulfilment do NOT make prices domestic.</t>
        </is>
      </c>
      <c r="U644" s="13" t="inlineStr">
        <is>
          <t>Easy to accept by mistake because it is Senegalese-operated with Dakar addresses. The currency is the giveaway.</t>
        </is>
      </c>
      <c r="V644" s="13" t="inlineStr">
        <is>
          <t>P6</t>
        </is>
      </c>
    </row>
    <row r="645">
      <c r="A645" s="13" t="inlineStr">
        <is>
          <t>ssa</t>
        </is>
      </c>
      <c r="B645" s="13" t="inlineStr">
        <is>
          <t>senegal</t>
        </is>
      </c>
      <c r="C645" s="13" t="inlineStr">
        <is>
          <t>SEN</t>
        </is>
      </c>
      <c r="D645" s="13" t="inlineStr">
        <is>
          <t>Senegal</t>
        </is>
      </c>
      <c r="E645" s="13" t="inlineStr">
        <is>
          <t>Exclusif (Casino Senegal)</t>
        </is>
      </c>
      <c r="F645" s="13" t="inlineStr">
        <is>
          <t>https://exclusif.sn/</t>
        </is>
      </c>
      <c r="G645" s="13" t="inlineStr">
        <is>
          <t>PROBED - SKIP</t>
        </is>
      </c>
      <c r="H645" s="13" t="inlineStr">
        <is>
          <t>SKIP</t>
        </is>
      </c>
      <c r="I645" s="13" t="inlineStr">
        <is>
          <t>high</t>
        </is>
      </c>
      <c r="J645" s="13" t="n">
        <v>0</v>
      </c>
      <c r="K645" s="13" t="inlineStr"/>
      <c r="L645" s="13" t="inlineStr">
        <is>
          <t>DNS NXDOMAIN (host exclusif.sn not found). Domain is dead.</t>
        </is>
      </c>
      <c r="M645" s="13" t="inlineStr">
        <is>
          <t>SUSPECT</t>
        </is>
      </c>
      <c r="N645" s="13" t="inlineStr">
        <is>
          <t>C - engineering required</t>
        </is>
      </c>
      <c r="O645" s="13" t="n">
        <v>3</v>
      </c>
      <c r="P645" s="13" t="inlineStr">
        <is>
          <t>Custom</t>
        </is>
      </c>
      <c r="Q645" s="13" t="inlineStr">
        <is>
          <t>XOF</t>
        </is>
      </c>
      <c r="R645" s="13" t="inlineStr">
        <is>
          <t>-</t>
        </is>
      </c>
      <c r="S645" s="13" t="inlineStr">
        <is>
          <t>current</t>
        </is>
      </c>
      <c r="T645" s="13" t="inlineStr">
        <is>
          <t>Casino-group banner in Dakar.</t>
        </is>
      </c>
      <c r="U645" s="13" t="inlineStr">
        <is>
          <t>-</t>
        </is>
      </c>
      <c r="V645" s="13" t="inlineStr">
        <is>
          <t>P6</t>
        </is>
      </c>
    </row>
    <row r="646">
      <c r="A646" s="13" t="inlineStr">
        <is>
          <t>ssa</t>
        </is>
      </c>
      <c r="B646" s="13" t="inlineStr">
        <is>
          <t>senegal</t>
        </is>
      </c>
      <c r="C646" s="13" t="inlineStr">
        <is>
          <t>SEN</t>
        </is>
      </c>
      <c r="D646" s="13" t="inlineStr">
        <is>
          <t>Senegal</t>
        </is>
      </c>
      <c r="E646" s="13" t="inlineStr">
        <is>
          <t>Glovo Senegal</t>
        </is>
      </c>
      <c r="F646" s="13" t="inlineStr">
        <is>
          <t>https://glovoapp.com/sn/</t>
        </is>
      </c>
      <c r="G646" s="13" t="inlineStr">
        <is>
          <t>PROBED - SKIP</t>
        </is>
      </c>
      <c r="H646" s="13" t="inlineStr">
        <is>
          <t>SKIP</t>
        </is>
      </c>
      <c r="I646" s="13" t="inlineStr">
        <is>
          <t>medium</t>
        </is>
      </c>
      <c r="J646" s="13" t="n">
        <v>0</v>
      </c>
      <c r="K646" s="13" t="inlineStr"/>
      <c r="L646" s="13" t="inlineStr">
        <is>
          <t>Not independently re-probed this round; CSV notes catalogue is client-rendered (SPA).</t>
        </is>
      </c>
      <c r="M646" s="13" t="inlineStr">
        <is>
          <t>SUSPECT</t>
        </is>
      </c>
      <c r="N646" s="13" t="inlineStr">
        <is>
          <t>C - engineering required</t>
        </is>
      </c>
      <c r="O646" s="13" t="n">
        <v>3</v>
      </c>
      <c r="P646" s="13" t="inlineStr">
        <is>
          <t>Custom</t>
        </is>
      </c>
      <c r="Q646" s="13" t="inlineStr">
        <is>
          <t>XOF</t>
        </is>
      </c>
      <c r="R646" s="13" t="inlineStr">
        <is>
          <t>-</t>
        </is>
      </c>
      <c r="S646" s="13" t="inlineStr">
        <is>
          <t>current</t>
        </is>
      </c>
      <c r="T646" s="13" t="inlineStr">
        <is>
          <t>Check operator presence before building - Glovo has exited several African markets.</t>
        </is>
      </c>
      <c r="U646" s="13" t="inlineStr">
        <is>
          <t>Verify trading status first; a country path proves nothing.</t>
        </is>
      </c>
      <c r="V646" s="13" t="inlineStr">
        <is>
          <t>P6</t>
        </is>
      </c>
    </row>
    <row r="647">
      <c r="A647" s="13" t="inlineStr">
        <is>
          <t>ssa</t>
        </is>
      </c>
      <c r="B647" s="13" t="inlineStr">
        <is>
          <t>senegal</t>
        </is>
      </c>
      <c r="C647" s="13" t="inlineStr">
        <is>
          <t>SEN</t>
        </is>
      </c>
      <c r="D647" s="13" t="inlineStr">
        <is>
          <t>Senegal</t>
        </is>
      </c>
      <c r="E647" s="13" t="inlineStr">
        <is>
          <t>Jumia Senegal</t>
        </is>
      </c>
      <c r="F647" s="13" t="inlineStr">
        <is>
          <t>https://www.jumia.sn/epicerie/</t>
        </is>
      </c>
      <c r="G647" s="13" t="inlineStr">
        <is>
          <t>PROBED - SKIP</t>
        </is>
      </c>
      <c r="H647" s="13" t="inlineStr">
        <is>
          <t>SKIP</t>
        </is>
      </c>
      <c r="I647" s="13" t="inlineStr">
        <is>
          <t>high</t>
        </is>
      </c>
      <c r="J647" s="13" t="n">
        <v>0</v>
      </c>
      <c r="K647" s="13" t="inlineStr"/>
      <c r="L647" s="13" t="inlineStr">
        <is>
          <t>GET /epicerie/ -&gt; HTTP 403, response headers show cf-mitigated: challenge + CSP referencing challenges.cloudflare.com -- genuine Cloudflare interactive challenge, not a plain 403.</t>
        </is>
      </c>
      <c r="M647" s="13" t="inlineStr">
        <is>
          <t>ACCEPT</t>
        </is>
      </c>
      <c r="N647" s="13" t="inlineStr">
        <is>
          <t>C - engineering required</t>
        </is>
      </c>
      <c r="O647" s="13" t="n">
        <v>3</v>
      </c>
      <c r="P647" s="13" t="inlineStr">
        <is>
          <t>Custom</t>
        </is>
      </c>
      <c r="Q647" s="13" t="inlineStr">
        <is>
          <t>XOF</t>
        </is>
      </c>
      <c r="R647" s="13" t="inlineStr">
        <is>
          <t>-</t>
        </is>
      </c>
      <c r="S647" s="13" t="inlineStr">
        <is>
          <t>current, discount_pct</t>
        </is>
      </c>
      <c r="T647" s="13" t="inlineStr">
        <is>
          <t>Server-rendered FCFA with discount percentages; strong on rice (Thiof 25kg), oils and tinned goods - the core Senegalese staple basket.</t>
        </is>
      </c>
      <c r="U647" s="13" t="inlineStr">
        <is>
          <t>-</t>
        </is>
      </c>
      <c r="V647" s="13" t="inlineStr">
        <is>
          <t>P6</t>
        </is>
      </c>
    </row>
    <row r="648">
      <c r="A648" s="13" t="inlineStr">
        <is>
          <t>ssa</t>
        </is>
      </c>
      <c r="B648" s="13" t="inlineStr">
        <is>
          <t>senegal</t>
        </is>
      </c>
      <c r="C648" s="13" t="inlineStr">
        <is>
          <t>SEN</t>
        </is>
      </c>
      <c r="D648" s="13" t="inlineStr">
        <is>
          <t>Senegal</t>
        </is>
      </c>
      <c r="E648" s="13" t="inlineStr">
        <is>
          <t>Jumia Senegal supermarche</t>
        </is>
      </c>
      <c r="F648" s="13" t="inlineStr">
        <is>
          <t>https://www.jumia.sn/epicerie/</t>
        </is>
      </c>
      <c r="G648" s="13" t="inlineStr">
        <is>
          <t>PROBED - SKIP</t>
        </is>
      </c>
      <c r="H648" s="13" t="inlineStr">
        <is>
          <t>SKIP</t>
        </is>
      </c>
      <c r="I648" s="13" t="inlineStr">
        <is>
          <t>high</t>
        </is>
      </c>
      <c r="J648" s="13" t="n">
        <v>0</v>
      </c>
      <c r="K648" s="13" t="inlineStr"/>
      <c r="L648" s="13" t="inlineStr">
        <is>
          <t>GET /epicerie/ -&gt; HTTP 403, response headers show cf-mitigated: challenge + CSP referencing challenges.cloudflare.com -- genuine Cloudflare interactive challenge, not a plain 403.</t>
        </is>
      </c>
      <c r="M648" s="13" t="inlineStr">
        <is>
          <t>ACCEPT</t>
        </is>
      </c>
      <c r="N648" s="13" t="inlineStr">
        <is>
          <t>not scored</t>
        </is>
      </c>
      <c r="O648" s="13" t="inlineStr"/>
      <c r="P648" s="13" t="inlineStr">
        <is>
          <t>Custom</t>
        </is>
      </c>
      <c r="Q648" s="13" t="inlineStr">
        <is>
          <t>XOF</t>
        </is>
      </c>
      <c r="R648" s="13" t="inlineStr">
        <is>
          <t>-</t>
        </is>
      </c>
      <c r="S648" s="13" t="inlineStr">
        <is>
          <t>-</t>
        </is>
      </c>
      <c r="T648" s="13" t="inlineStr">
        <is>
          <t>Server-rendered FCFA with discount percentages and review counts.</t>
        </is>
      </c>
      <c r="U648" s="13" t="inlineStr">
        <is>
          <t>-</t>
        </is>
      </c>
      <c r="V648" s="13" t="inlineStr">
        <is>
          <t>P5</t>
        </is>
      </c>
    </row>
    <row r="649">
      <c r="A649" s="13" t="inlineStr">
        <is>
          <t>ssa</t>
        </is>
      </c>
      <c r="B649" s="13" t="inlineStr">
        <is>
          <t>senegal</t>
        </is>
      </c>
      <c r="C649" s="13" t="inlineStr">
        <is>
          <t>SEN</t>
        </is>
      </c>
      <c r="D649" s="13" t="inlineStr">
        <is>
          <t>Senegal</t>
        </is>
      </c>
      <c r="E649" s="13" t="inlineStr">
        <is>
          <t>Auchan Senegal</t>
        </is>
      </c>
      <c r="F649" s="13" t="inlineStr">
        <is>
          <t>https://www.auchan.sn/</t>
        </is>
      </c>
      <c r="G649" s="13" t="inlineStr">
        <is>
          <t>PROBED - VIABLE</t>
        </is>
      </c>
      <c r="H649" s="13" t="inlineStr">
        <is>
          <t>TIER_1A</t>
        </is>
      </c>
      <c r="I649" s="13" t="inlineStr">
        <is>
          <t>low</t>
        </is>
      </c>
      <c r="J649" s="13" t="n">
        <v>130</v>
      </c>
      <c r="K649" s="13" t="inlineStr">
        <is>
          <t>SSR HTML (Elementor product cards); PrestaShop cart backend at /panier</t>
        </is>
      </c>
      <c r="L649" s="13" t="inlineStr">
        <is>
          <t>GET / -&gt; 200, 300KB. Elementor-styled frontend proxying a PrestaShop cart backend (ps_shoppingcart ajax module visible). Real product cards with prices: 'Auchan glace mini gourmands 8 batonnets chocolat 258g' -&gt; 3 290 CFA; 'AUCHAN CONE VAN CHOC X6 415,2G' -&gt; 2 250 CFA; data-price-amount confirms integer FCFA, no minor-unit division needed.</t>
        </is>
      </c>
      <c r="M649" s="13" t="inlineStr">
        <is>
          <t>SUSPECT</t>
        </is>
      </c>
      <c r="N649" s="13" t="inlineStr">
        <is>
          <t>not scored</t>
        </is>
      </c>
      <c r="O649" s="13" t="inlineStr"/>
      <c r="P649" s="13" t="inlineStr">
        <is>
          <t>Custom</t>
        </is>
      </c>
      <c r="Q649" s="13" t="inlineStr">
        <is>
          <t>XOF</t>
        </is>
      </c>
      <c r="R649" s="13" t="inlineStr">
        <is>
          <t>-</t>
        </is>
      </c>
      <c r="S649" s="13" t="inlineStr">
        <is>
          <t>-</t>
        </is>
      </c>
      <c r="T649" s="13" t="inlineStr">
        <is>
          <t>Major modern-retail chain; confirm catalogue.</t>
        </is>
      </c>
      <c r="U649" s="13" t="inlineStr">
        <is>
          <t>-</t>
        </is>
      </c>
      <c r="V649" s="13" t="inlineStr">
        <is>
          <t>P5</t>
        </is>
      </c>
    </row>
    <row r="650">
      <c r="A650" s="13" t="inlineStr">
        <is>
          <t>ssa</t>
        </is>
      </c>
      <c r="B650" s="13" t="inlineStr">
        <is>
          <t>senegal</t>
        </is>
      </c>
      <c r="C650" s="13" t="inlineStr">
        <is>
          <t>SEN</t>
        </is>
      </c>
      <c r="D650" s="13" t="inlineStr">
        <is>
          <t>Senegal</t>
        </is>
      </c>
      <c r="E650" s="13" t="inlineStr">
        <is>
          <t>Auchan Senegal</t>
        </is>
      </c>
      <c r="F650" s="13" t="inlineStr">
        <is>
          <t>https://www.auchan.sn/</t>
        </is>
      </c>
      <c r="G650" s="13" t="inlineStr">
        <is>
          <t>PROBED - VIABLE</t>
        </is>
      </c>
      <c r="H650" s="13" t="inlineStr">
        <is>
          <t>TIER_1A</t>
        </is>
      </c>
      <c r="I650" s="13" t="inlineStr">
        <is>
          <t>low</t>
        </is>
      </c>
      <c r="J650" s="13" t="n">
        <v>130</v>
      </c>
      <c r="K650" s="13" t="inlineStr">
        <is>
          <t>SSR HTML (Elementor product cards); PrestaShop cart backend at /panier</t>
        </is>
      </c>
      <c r="L650" s="13" t="inlineStr">
        <is>
          <t>GET / -&gt; 200, 300KB. Elementor-styled frontend proxying a PrestaShop cart backend (ps_shoppingcart ajax module visible). Real product cards with prices: 'Auchan glace mini gourmands 8 batonnets chocolat 258g' -&gt; 3 290 CFA; 'AUCHAN CONE VAN CHOC X6 415,2G' -&gt; 2 250 CFA; data-price-amount confirms integer FCFA, no minor-unit division needed.</t>
        </is>
      </c>
      <c r="M650" s="13" t="inlineStr">
        <is>
          <t>ACCEPT</t>
        </is>
      </c>
      <c r="N650" s="13" t="inlineStr">
        <is>
          <t>C - engineering required</t>
        </is>
      </c>
      <c r="O650" s="13" t="n">
        <v>3</v>
      </c>
      <c r="P650" s="13" t="inlineStr">
        <is>
          <t>Custom</t>
        </is>
      </c>
      <c r="Q650" s="13" t="inlineStr">
        <is>
          <t>XOF</t>
        </is>
      </c>
      <c r="R650" s="13" t="inlineStr">
        <is>
          <t>-</t>
        </is>
      </c>
      <c r="S650" s="13" t="inlineStr">
        <is>
          <t>current</t>
        </is>
      </c>
      <c r="T650" s="13" t="inlineStr">
        <is>
          <t>Modern-retail anchor with a DRIVE e-commerce operation and multiple Dakar stores (Castors, Mermoz and others). Store-level presence supports intra-Dakar spatial comparison.</t>
        </is>
      </c>
      <c r="U650" s="13" t="inlineStr">
        <is>
          <t>-</t>
        </is>
      </c>
      <c r="V650" s="13" t="inlineStr">
        <is>
          <t>P6</t>
        </is>
      </c>
    </row>
    <row r="651">
      <c r="A651" s="13" t="inlineStr">
        <is>
          <t>ssa</t>
        </is>
      </c>
      <c r="B651" s="13" t="inlineStr">
        <is>
          <t>senegal</t>
        </is>
      </c>
      <c r="C651" s="13" t="inlineStr">
        <is>
          <t>SEN</t>
        </is>
      </c>
      <c r="D651" s="13" t="inlineStr">
        <is>
          <t>Senegal</t>
        </is>
      </c>
      <c r="E651" s="13" t="inlineStr">
        <is>
          <t>Diarle</t>
        </is>
      </c>
      <c r="F651" s="13" t="inlineStr">
        <is>
          <t>https://diarle.sn/fr/</t>
        </is>
      </c>
      <c r="G651" s="13" t="inlineStr">
        <is>
          <t>PROBED - VIABLE</t>
        </is>
      </c>
      <c r="H651" s="13" t="inlineStr">
        <is>
          <t>TIER_1B</t>
        </is>
      </c>
      <c r="I651" s="13" t="inlineStr">
        <is>
          <t>low</t>
        </is>
      </c>
      <c r="J651" s="13" t="n">
        <v>60</v>
      </c>
      <c r="K651" s="13" t="inlineStr">
        <is>
          <t>PrestaShop category HTML (exact category id not resolved this pass)</t>
        </is>
      </c>
      <c r="L651" s="13" t="inlineStr">
        <is>
          <t>GET / -&gt; 200, 77KB, PrestaShop fingerprint confirmed. /fr/epicerie 404'd (wrong slug guess); same platform/operator pattern as Sakanal per prior research ('same parser as Sakanal') so treated as confirmed by platform analogy rather than re-derived from scratch.</t>
        </is>
      </c>
      <c r="M651" s="13" t="inlineStr">
        <is>
          <t>ACCEPT</t>
        </is>
      </c>
      <c r="N651" s="13" t="inlineStr">
        <is>
          <t>not scored</t>
        </is>
      </c>
      <c r="O651" s="13" t="inlineStr"/>
      <c r="P651" s="13" t="inlineStr">
        <is>
          <t>PrestaShop</t>
        </is>
      </c>
      <c r="Q651" s="13" t="inlineStr">
        <is>
          <t>XOF</t>
        </is>
      </c>
      <c r="R651" s="13" t="inlineStr">
        <is>
          <t>-</t>
        </is>
      </c>
      <c r="S651" s="13" t="inlineStr">
        <is>
          <t>-</t>
        </is>
      </c>
      <c r="T651" s="13" t="inlineStr">
        <is>
          <t>100% Senegalese online grocer, PrestaShop, XOF.</t>
        </is>
      </c>
      <c r="U651" s="13" t="inlineStr">
        <is>
          <t>-</t>
        </is>
      </c>
      <c r="V651" s="13" t="inlineStr">
        <is>
          <t>P5</t>
        </is>
      </c>
    </row>
    <row r="652">
      <c r="A652" s="13" t="inlineStr">
        <is>
          <t>ssa</t>
        </is>
      </c>
      <c r="B652" s="13" t="inlineStr">
        <is>
          <t>senegal</t>
        </is>
      </c>
      <c r="C652" s="13" t="inlineStr">
        <is>
          <t>SEN</t>
        </is>
      </c>
      <c r="D652" s="13" t="inlineStr">
        <is>
          <t>Senegal</t>
        </is>
      </c>
      <c r="E652" s="13" t="inlineStr">
        <is>
          <t>Diarle</t>
        </is>
      </c>
      <c r="F652" s="13" t="inlineStr">
        <is>
          <t>https://diarle.sn/fr/</t>
        </is>
      </c>
      <c r="G652" s="13" t="inlineStr">
        <is>
          <t>PROBED - VIABLE</t>
        </is>
      </c>
      <c r="H652" s="13" t="inlineStr">
        <is>
          <t>TIER_1B</t>
        </is>
      </c>
      <c r="I652" s="13" t="inlineStr">
        <is>
          <t>low</t>
        </is>
      </c>
      <c r="J652" s="13" t="n">
        <v>60</v>
      </c>
      <c r="K652" s="13" t="inlineStr">
        <is>
          <t>PrestaShop category HTML (exact category id not resolved this pass)</t>
        </is>
      </c>
      <c r="L652" s="13" t="inlineStr">
        <is>
          <t>GET / -&gt; 200, 77KB, PrestaShop fingerprint confirmed. /fr/epicerie 404'd (wrong slug guess); same platform/operator pattern as Sakanal per prior research ('same parser as Sakanal') so treated as confirmed by platform analogy rather than re-derived from scratch.</t>
        </is>
      </c>
      <c r="M652" s="13" t="inlineStr">
        <is>
          <t>ACCEPT</t>
        </is>
      </c>
      <c r="N652" s="13" t="inlineStr">
        <is>
          <t>B - moderate effort</t>
        </is>
      </c>
      <c r="O652" s="13" t="n">
        <v>4</v>
      </c>
      <c r="P652" s="13" t="inlineStr">
        <is>
          <t>PrestaShop</t>
        </is>
      </c>
      <c r="Q652" s="13" t="inlineStr">
        <is>
          <t>XOF</t>
        </is>
      </c>
      <c r="R652" s="13" t="inlineStr">
        <is>
          <t>Reuse the Sakanal PrestaShop parser.</t>
        </is>
      </c>
      <c r="S652" s="13" t="inlineStr">
        <is>
          <t>current</t>
        </is>
      </c>
      <c r="T652" s="13" t="inlineStr">
        <is>
          <t>100% Senegalese online grocer on PrestaShop - same parser as Sakanal.</t>
        </is>
      </c>
      <c r="U652" s="13" t="inlineStr">
        <is>
          <t>-</t>
        </is>
      </c>
      <c r="V652" s="13" t="inlineStr">
        <is>
          <t>P6</t>
        </is>
      </c>
    </row>
    <row r="653">
      <c r="A653" s="13" t="inlineStr">
        <is>
          <t>ssa</t>
        </is>
      </c>
      <c r="B653" s="13" t="inlineStr">
        <is>
          <t>senegal</t>
        </is>
      </c>
      <c r="C653" s="13" t="inlineStr">
        <is>
          <t>SEN</t>
        </is>
      </c>
      <c r="D653" s="13" t="inlineStr">
        <is>
          <t>Senegal</t>
        </is>
      </c>
      <c r="E653" s="13" t="inlineStr">
        <is>
          <t>DiborMarket</t>
        </is>
      </c>
      <c r="F653" s="13" t="inlineStr">
        <is>
          <t>https://lafermededibor.com/</t>
        </is>
      </c>
      <c r="G653" s="13" t="inlineStr">
        <is>
          <t>PROBED - VIABLE</t>
        </is>
      </c>
      <c r="H653" s="13" t="inlineStr">
        <is>
          <t>TIER_2</t>
        </is>
      </c>
      <c r="I653" s="13" t="inlineStr">
        <is>
          <t>medium</t>
        </is>
      </c>
      <c r="J653" s="13" t="n">
        <v>25</v>
      </c>
      <c r="K653" s="13" t="inlineStr">
        <is>
          <t>unresolved -- homepage only</t>
        </is>
      </c>
      <c r="L653" s="13" t="inlineStr">
        <is>
          <t>GET / -&gt; 200, 15.8KB HTML, no SPA markers (no id=app/root, no ng-version), but no price class or FCFA pattern matched in the homepage HTML either -- catalogue likely lives on a /shop or category path not probed this pass.</t>
        </is>
      </c>
      <c r="M653" s="13" t="inlineStr">
        <is>
          <t>ACCEPT</t>
        </is>
      </c>
      <c r="N653" s="13" t="inlineStr">
        <is>
          <t>not scored</t>
        </is>
      </c>
      <c r="O653" s="13" t="inlineStr"/>
      <c r="P653" s="13" t="inlineStr">
        <is>
          <t>Custom</t>
        </is>
      </c>
      <c r="Q653" s="13" t="inlineStr">
        <is>
          <t>XOF</t>
        </is>
      </c>
      <c r="R653" s="13" t="inlineStr">
        <is>
          <t>-</t>
        </is>
      </c>
      <c r="S653" s="13" t="inlineStr">
        <is>
          <t>-</t>
        </is>
      </c>
      <c r="T653" s="13" t="inlineStr">
        <is>
          <t>STRONG for fresh: farm-direct FCFA prices on local produce (feuille de manioc, madd, gombo, diakhatou aubergine) plus bulk sacks. Local-item coverage that supermarkets miss.</t>
        </is>
      </c>
      <c r="U653" s="13" t="inlineStr">
        <is>
          <t>-</t>
        </is>
      </c>
      <c r="V653" s="13" t="inlineStr">
        <is>
          <t>P5</t>
        </is>
      </c>
    </row>
    <row r="654">
      <c r="A654" s="13" t="inlineStr">
        <is>
          <t>ssa</t>
        </is>
      </c>
      <c r="B654" s="13" t="inlineStr">
        <is>
          <t>senegal</t>
        </is>
      </c>
      <c r="C654" s="13" t="inlineStr">
        <is>
          <t>SEN</t>
        </is>
      </c>
      <c r="D654" s="13" t="inlineStr">
        <is>
          <t>Senegal</t>
        </is>
      </c>
      <c r="E654" s="13" t="inlineStr">
        <is>
          <t>DiborMarket</t>
        </is>
      </c>
      <c r="F654" s="13" t="inlineStr">
        <is>
          <t>https://lafermededibor.com/</t>
        </is>
      </c>
      <c r="G654" s="13" t="inlineStr">
        <is>
          <t>PROBED - VIABLE</t>
        </is>
      </c>
      <c r="H654" s="13" t="inlineStr">
        <is>
          <t>TIER_2</t>
        </is>
      </c>
      <c r="I654" s="13" t="inlineStr">
        <is>
          <t>medium</t>
        </is>
      </c>
      <c r="J654" s="13" t="n">
        <v>25</v>
      </c>
      <c r="K654" s="13" t="inlineStr">
        <is>
          <t>unresolved -- homepage only</t>
        </is>
      </c>
      <c r="L654" s="13" t="inlineStr">
        <is>
          <t>GET / -&gt; 200, 15.8KB HTML, no SPA markers (no id=app/root, no ng-version), but no price class or FCFA pattern matched in the homepage HTML either -- catalogue likely lives on a /shop or category path not probed this pass.</t>
        </is>
      </c>
      <c r="M654" s="13" t="inlineStr">
        <is>
          <t>ACCEPT</t>
        </is>
      </c>
      <c r="N654" s="13" t="inlineStr">
        <is>
          <t>C - engineering required</t>
        </is>
      </c>
      <c r="O654" s="13" t="n">
        <v>3</v>
      </c>
      <c r="P654" s="13" t="inlineStr">
        <is>
          <t>Custom</t>
        </is>
      </c>
      <c r="Q654" s="13" t="inlineStr">
        <is>
          <t>XOF</t>
        </is>
      </c>
      <c r="R654" s="13" t="inlineStr">
        <is>
          <t>-</t>
        </is>
      </c>
      <c r="S654" s="13" t="inlineStr">
        <is>
          <t>current, pack_price</t>
        </is>
      </c>
      <c r="T654" s="13" t="inlineStr">
        <is>
          <t>FARM-DIRECT with excellent local-item coverage: feuille de manioc, feuille de patate douce, madd, diakhatou (bitter aubergine), gombo, attieke-adjacent staples. Also sells graded sacks (onion and potato at 5/10/25kg), enabling a clean pack-size price gradient on staples.</t>
        </is>
      </c>
      <c r="U654" s="13" t="inlineStr">
        <is>
          <t>-</t>
        </is>
      </c>
      <c r="V654" s="13" t="inlineStr">
        <is>
          <t>P6</t>
        </is>
      </c>
    </row>
    <row r="655">
      <c r="A655" s="13" t="inlineStr">
        <is>
          <t>ssa</t>
        </is>
      </c>
      <c r="B655" s="13" t="inlineStr">
        <is>
          <t>senegal</t>
        </is>
      </c>
      <c r="C655" s="13" t="inlineStr">
        <is>
          <t>SEN</t>
        </is>
      </c>
      <c r="D655" s="13" t="inlineStr">
        <is>
          <t>Senegal</t>
        </is>
      </c>
      <c r="E655" s="13" t="inlineStr">
        <is>
          <t>Kaynoo</t>
        </is>
      </c>
      <c r="F655" s="13" t="inlineStr">
        <is>
          <t>https://www.kaynoo.sn/epicerie.html</t>
        </is>
      </c>
      <c r="G655" s="13" t="inlineStr">
        <is>
          <t>PROBED - VIABLE</t>
        </is>
      </c>
      <c r="H655" s="13" t="inlineStr">
        <is>
          <t>TIER_1B</t>
        </is>
      </c>
      <c r="I655" s="13" t="inlineStr">
        <is>
          <t>medium</t>
        </is>
      </c>
      <c r="J655" s="13" t="n">
        <v>45</v>
      </c>
      <c r="K655" s="13" t="inlineStr">
        <is>
          <t>Magento GraphQL or /rest/V1/products</t>
        </is>
      </c>
      <c r="L655" s="13" t="inlineStr">
        <is>
          <t>GET /epicerie.html -&gt; 200, 361KB, Magento fingerprint confirmed (price-box price-final_price divs, data-price-amount='2500'/'4500'/'4000' on real product ids). Catalogue mixes food with cosmetics per prior research -- filter by category.</t>
        </is>
      </c>
      <c r="M655" s="13" t="inlineStr">
        <is>
          <t>ACCEPT</t>
        </is>
      </c>
      <c r="N655" s="13" t="inlineStr">
        <is>
          <t>C - engineering required</t>
        </is>
      </c>
      <c r="O655" s="13" t="n">
        <v>3</v>
      </c>
      <c r="P655" s="13" t="inlineStr">
        <is>
          <t>Custom</t>
        </is>
      </c>
      <c r="Q655" s="13" t="inlineStr">
        <is>
          <t>XOF</t>
        </is>
      </c>
      <c r="R655" s="13" t="inlineStr">
        <is>
          <t>-</t>
        </is>
      </c>
      <c r="S655" s="13" t="inlineStr">
        <is>
          <t>current</t>
        </is>
      </c>
      <c r="T655" s="13" t="inlineStr">
        <is>
          <t>FCFA prices with strong LOCAL and traditional lines: cafe Touba (in 500g, 1kg and 10kg sacks), moringa/nebeday powder, baobab-adjacent products, artisanal soaps. Cafe Touba in three pack sizes supports unit-price and pack-size-premium analysis on a nationally significant item.</t>
        </is>
      </c>
      <c r="U655" s="13" t="inlineStr">
        <is>
          <t>Catalogue mixes food with cosmetics; filter by category.</t>
        </is>
      </c>
      <c r="V655" s="13" t="inlineStr">
        <is>
          <t>P6</t>
        </is>
      </c>
    </row>
    <row r="656">
      <c r="A656" s="13" t="inlineStr">
        <is>
          <t>ssa</t>
        </is>
      </c>
      <c r="B656" s="13" t="inlineStr">
        <is>
          <t>senegal</t>
        </is>
      </c>
      <c r="C656" s="13" t="inlineStr">
        <is>
          <t>SEN</t>
        </is>
      </c>
      <c r="D656" s="13" t="inlineStr">
        <is>
          <t>Senegal</t>
        </is>
      </c>
      <c r="E656" s="13" t="inlineStr">
        <is>
          <t>Sakanal</t>
        </is>
      </c>
      <c r="F656" s="13" t="inlineStr">
        <is>
          <t>https://sakanal.sn/fr/111-epicerie</t>
        </is>
      </c>
      <c r="G656" s="13" t="inlineStr">
        <is>
          <t>PROBED - VIABLE</t>
        </is>
      </c>
      <c r="H656" s="13" t="inlineStr">
        <is>
          <t>TIER_1A</t>
        </is>
      </c>
      <c r="I656" s="13" t="inlineStr">
        <is>
          <t>low</t>
        </is>
      </c>
      <c r="J656" s="13" t="n">
        <v>90</v>
      </c>
      <c r="K656" s="13" t="inlineStr">
        <is>
          <t>/fr/{id}-{slug} paginated category HTML</t>
        </is>
      </c>
      <c r="L656" s="13" t="inlineStr">
        <is>
          <t>GET /fr/111-epicerie -&gt; 200, 573KB HTML, PrestaShop fingerprint confirmed. Sample prices found: '160 FCFA', '7 752 FCFA', '7 996 FCFA'.</t>
        </is>
      </c>
      <c r="M656" s="13" t="inlineStr">
        <is>
          <t>ACCEPT</t>
        </is>
      </c>
      <c r="N656" s="13" t="inlineStr">
        <is>
          <t>not scored</t>
        </is>
      </c>
      <c r="O656" s="13" t="inlineStr"/>
      <c r="P656" s="13" t="inlineStr">
        <is>
          <t>PrestaShop</t>
        </is>
      </c>
      <c r="Q656" s="13" t="inlineStr">
        <is>
          <t>XOF</t>
        </is>
      </c>
      <c r="R656" s="13" t="inlineStr">
        <is>
          <t>-</t>
        </is>
      </c>
      <c r="S656" s="13" t="inlineStr">
        <is>
          <t>-</t>
        </is>
      </c>
      <c r="T656" s="13" t="inlineStr">
        <is>
          <t>EXCEPTIONAL: 1,024 epicerie products on PrestaShop with THREE prices per line - TTC list, cash price (-5%) and card price (-2%). Payment-method price discrimination is directly observable, which is rare and analytically valuable. Also carries wholesale carton prices alongside unit prices.</t>
        </is>
      </c>
      <c r="U656" s="13" t="inlineStr">
        <is>
          <t>-</t>
        </is>
      </c>
      <c r="V656" s="13" t="inlineStr">
        <is>
          <t>P5</t>
        </is>
      </c>
    </row>
    <row r="657">
      <c r="A657" s="13" t="inlineStr">
        <is>
          <t>ssa</t>
        </is>
      </c>
      <c r="B657" s="13" t="inlineStr">
        <is>
          <t>senegal</t>
        </is>
      </c>
      <c r="C657" s="13" t="inlineStr">
        <is>
          <t>SEN</t>
        </is>
      </c>
      <c r="D657" s="13" t="inlineStr">
        <is>
          <t>Senegal</t>
        </is>
      </c>
      <c r="E657" s="13" t="inlineStr">
        <is>
          <t>Sakanal</t>
        </is>
      </c>
      <c r="F657" s="13" t="inlineStr">
        <is>
          <t>https://sakanal.sn/fr/111-epicerie</t>
        </is>
      </c>
      <c r="G657" s="13" t="inlineStr">
        <is>
          <t>PROBED - VIABLE</t>
        </is>
      </c>
      <c r="H657" s="13" t="inlineStr">
        <is>
          <t>TIER_1A</t>
        </is>
      </c>
      <c r="I657" s="13" t="inlineStr">
        <is>
          <t>low</t>
        </is>
      </c>
      <c r="J657" s="13" t="n">
        <v>90</v>
      </c>
      <c r="K657" s="13" t="inlineStr">
        <is>
          <t>/fr/{id}-{slug} paginated category HTML</t>
        </is>
      </c>
      <c r="L657" s="13" t="inlineStr">
        <is>
          <t>GET /fr/111-epicerie -&gt; 200, 573KB HTML, PrestaShop fingerprint confirmed. Sample prices found: '160 FCFA', '7 752 FCFA', '7 996 FCFA'.</t>
        </is>
      </c>
      <c r="M657" s="13" t="inlineStr">
        <is>
          <t>ACCEPT</t>
        </is>
      </c>
      <c r="N657" s="13" t="inlineStr">
        <is>
          <t>B - moderate effort</t>
        </is>
      </c>
      <c r="O657" s="13" t="n">
        <v>4</v>
      </c>
      <c r="P657" s="13" t="inlineStr">
        <is>
          <t>PrestaShop</t>
        </is>
      </c>
      <c r="Q657" s="13" t="inlineStr">
        <is>
          <t>XOF</t>
        </is>
      </c>
      <c r="R657" s="13" t="inlineStr">
        <is>
          <t>Paginated PrestaShop category HTML; parse all three price nodes per item.</t>
        </is>
      </c>
      <c r="S657" s="13" t="inlineStr">
        <is>
          <t>price_ttc, cash_price, card_price, carton_price, unit_price</t>
        </is>
      </c>
      <c r="T657" s="13" t="inlineStr">
        <is>
          <t>EXCEPTIONAL. 1,024 epicerie products, and THREE prices per line: list TTC, cash price (-5%) and card price (-2%). Payment-method price discrimination is directly observable, which is rare anywhere in the world and speaks to cash-versus-digital transaction costs. Also carries carton (wholesale) alongside unit prices.</t>
        </is>
      </c>
      <c r="U657" s="13" t="inlineStr">
        <is>
          <t>Capturing only the TTC headline discards the discrimination structure entirely.</t>
        </is>
      </c>
      <c r="V657" s="13" t="inlineStr">
        <is>
          <t>P6</t>
        </is>
      </c>
    </row>
    <row r="658">
      <c r="A658" s="13" t="inlineStr">
        <is>
          <t>ssa</t>
        </is>
      </c>
      <c r="B658" s="13" t="inlineStr">
        <is>
          <t>senegal</t>
        </is>
      </c>
      <c r="C658" s="13" t="inlineStr">
        <is>
          <t>SEN</t>
        </is>
      </c>
      <c r="D658" s="13" t="inlineStr">
        <is>
          <t>Senegal</t>
        </is>
      </c>
      <c r="E658" s="13" t="inlineStr">
        <is>
          <t>Yombouna</t>
        </is>
      </c>
      <c r="F658" s="13" t="inlineStr">
        <is>
          <t>https://yombouna.sn/</t>
        </is>
      </c>
      <c r="G658" s="13" t="inlineStr">
        <is>
          <t>PROBED - VIABLE</t>
        </is>
      </c>
      <c r="H658" s="13" t="inlineStr">
        <is>
          <t>TIER_1B</t>
        </is>
      </c>
      <c r="I658" s="13" t="inlineStr">
        <is>
          <t>low</t>
        </is>
      </c>
      <c r="J658" s="13" t="n">
        <v>90</v>
      </c>
      <c r="K658" s="13" t="inlineStr">
        <is>
          <t>https://obyteclxfidycfrqklbz.supabase.co/rest/v1/products (PostgREST, no auth beyond the public anon key already shipped in the page bundle)</t>
        </is>
      </c>
      <c r="L658" s="13" t="inlineStr">
        <is>
          <t>Homepage is a SvelteKit SPA shell exposing PUBLIC_SUPABASE_URL + anon key in inline JS. Queried the exposed PostgREST API directly: GET https://obyteclxfidycfrqklbz.supabase.co/rest/v1/products?select=* -&gt; 200, 1,677 total rows (Content-Range header). Sample: 'farine de manioc 500G' price=1500 category='Produits Locaux'; 'allumette pack de 3 moyen' price=250. Categories present: Accessoire Cuisine, Boulangerie et Patisserie, Bebe, Cosmetique, Drogerie &amp; Entretien maison, Epicerie Salee-Cuisine, Epicerie Sucree, Produits Frais, Produits Locaux.</t>
        </is>
      </c>
      <c r="M658" s="13" t="inlineStr">
        <is>
          <t>SUSPECT</t>
        </is>
      </c>
      <c r="N658" s="13" t="inlineStr">
        <is>
          <t>A - low-hanging fruit</t>
        </is>
      </c>
      <c r="O658" s="13" t="n">
        <v>5</v>
      </c>
      <c r="P658" s="13" t="inlineStr">
        <is>
          <t>WordPress/WooCommerce</t>
        </is>
      </c>
      <c r="Q658" s="13" t="inlineStr">
        <is>
          <t>XOF</t>
        </is>
      </c>
      <c r="R658" s="13" t="inlineStr">
        <is>
          <t>/wp-json/wc/store/v1/products</t>
        </is>
      </c>
      <c r="S658" s="13" t="inlineStr">
        <is>
          <t>current</t>
        </is>
      </c>
      <c r="T658" s="13" t="inlineStr">
        <is>
          <t>WooCommerce - Store API should work.</t>
        </is>
      </c>
      <c r="U658" s="13" t="inlineStr">
        <is>
          <t>-</t>
        </is>
      </c>
      <c r="V658" s="13" t="inlineStr">
        <is>
          <t>P6</t>
        </is>
      </c>
    </row>
    <row r="659">
      <c r="A659" s="13" t="inlineStr">
        <is>
          <t>ssa</t>
        </is>
      </c>
      <c r="B659" s="13" t="inlineStr">
        <is>
          <t>sao_tome_and_principe</t>
        </is>
      </c>
      <c r="C659" s="13" t="inlineStr">
        <is>
          <t>STP</t>
        </is>
      </c>
      <c r="D659" s="13" t="inlineStr">
        <is>
          <t>Sao Tome and Principe</t>
        </is>
      </c>
      <c r="E659" s="13" t="inlineStr">
        <is>
          <t>Supermercados Santo Tome</t>
        </is>
      </c>
      <c r="F659" s="13" t="inlineStr">
        <is>
          <t>https://supermercadosantotome.com/</t>
        </is>
      </c>
      <c r="G659" s="13" t="inlineStr">
        <is>
          <t>NOT PROBED - deduped, already onboarded, or time-boxed</t>
        </is>
      </c>
      <c r="H659" s="13" t="inlineStr"/>
      <c r="I659" s="13" t="inlineStr"/>
      <c r="J659" s="13" t="inlineStr"/>
      <c r="K659" s="13" t="inlineStr"/>
      <c r="L659" s="13" t="inlineStr"/>
      <c r="M659" s="13" t="inlineStr">
        <is>
          <t>REJECT</t>
        </is>
      </c>
      <c r="N659" s="13" t="inlineStr">
        <is>
          <t>not scored</t>
        </is>
      </c>
      <c r="O659" s="13" t="inlineStr"/>
      <c r="P659" s="13" t="inlineStr">
        <is>
          <t>Custom</t>
        </is>
      </c>
      <c r="Q659" s="13" t="inlineStr">
        <is>
          <t>ARS</t>
        </is>
      </c>
      <c r="R659" s="13" t="inlineStr">
        <is>
          <t>-</t>
        </is>
      </c>
      <c r="S659" s="13" t="inlineStr">
        <is>
          <t>-</t>
        </is>
      </c>
      <c r="T659" s="13" t="inlineStr">
        <is>
          <t>T1/T2 FAIL: Spanish-language, Argentine chain (Santo Tome is a city in Argentina). Wrong country.</t>
        </is>
      </c>
      <c r="U659" s="13" t="inlineStr">
        <is>
          <t>-</t>
        </is>
      </c>
      <c r="V659" s="13" t="inlineStr">
        <is>
          <t>P1</t>
        </is>
      </c>
    </row>
    <row r="660">
      <c r="A660" s="13" t="inlineStr">
        <is>
          <t>ssa</t>
        </is>
      </c>
      <c r="B660" s="13" t="inlineStr">
        <is>
          <t>sao_tome_and_principe</t>
        </is>
      </c>
      <c r="C660" s="13" t="inlineStr">
        <is>
          <t>STP</t>
        </is>
      </c>
      <c r="D660" s="13" t="inlineStr">
        <is>
          <t>Sao Tome and Principe</t>
        </is>
      </c>
      <c r="E660" s="13" t="inlineStr">
        <is>
          <t>Ubuy Sao Tome</t>
        </is>
      </c>
      <c r="F660" s="13" t="inlineStr">
        <is>
          <t>https://www.ubuy.st/pt/</t>
        </is>
      </c>
      <c r="G660" s="13" t="inlineStr">
        <is>
          <t>NOT PROBED - deduped, already onboarded, or time-boxed</t>
        </is>
      </c>
      <c r="H660" s="13" t="inlineStr"/>
      <c r="I660" s="13" t="inlineStr"/>
      <c r="J660" s="13" t="inlineStr"/>
      <c r="K660" s="13" t="inlineStr"/>
      <c r="L660" s="13" t="inlineStr"/>
      <c r="M660" s="13" t="inlineStr">
        <is>
          <t>REJECT</t>
        </is>
      </c>
      <c r="N660" s="13" t="inlineStr">
        <is>
          <t>not scored</t>
        </is>
      </c>
      <c r="O660" s="13" t="inlineStr"/>
      <c r="P660" s="13" t="inlineStr">
        <is>
          <t>Custom</t>
        </is>
      </c>
      <c r="Q660" s="13" t="inlineStr">
        <is>
          <t>USD</t>
        </is>
      </c>
      <c r="R660" s="13" t="inlineStr">
        <is>
          <t>-</t>
        </is>
      </c>
      <c r="S660" s="13" t="inlineStr">
        <is>
          <t>-</t>
        </is>
      </c>
      <c r="T660" s="13" t="inlineStr">
        <is>
          <t>T2 FAIL: international drop-shipper with per-country vanity domains. Not domestic pricing.</t>
        </is>
      </c>
      <c r="U660" s="13" t="inlineStr">
        <is>
          <t>-</t>
        </is>
      </c>
      <c r="V660" s="13" t="inlineStr">
        <is>
          <t>P1</t>
        </is>
      </c>
    </row>
    <row r="661">
      <c r="A661" s="13" t="inlineStr">
        <is>
          <t>ssa</t>
        </is>
      </c>
      <c r="B661" s="13" t="inlineStr">
        <is>
          <t>sao_tome_and_principe</t>
        </is>
      </c>
      <c r="C661" s="13" t="inlineStr">
        <is>
          <t>STP</t>
        </is>
      </c>
      <c r="D661" s="13" t="inlineStr">
        <is>
          <t>Sao Tome and Principe</t>
        </is>
      </c>
      <c r="E661" s="13" t="inlineStr">
        <is>
          <t>Entrega.st</t>
        </is>
      </c>
      <c r="F661" s="13" t="inlineStr">
        <is>
          <t>https://www.entrega.st/</t>
        </is>
      </c>
      <c r="G661" s="13" t="inlineStr">
        <is>
          <t>PROBED - SKIP</t>
        </is>
      </c>
      <c r="H661" s="13" t="inlineStr">
        <is>
          <t>SKIP</t>
        </is>
      </c>
      <c r="I661" s="13" t="inlineStr">
        <is>
          <t>high</t>
        </is>
      </c>
      <c r="J661" s="13" t="n">
        <v>0</v>
      </c>
      <c r="K661" s="13" t="inlineStr">
        <is>
          <t>none captured</t>
        </is>
      </c>
      <c r="L661" s="13" t="inlineStr">
        <is>
          <t>curl 200, 1078 bytes -- a React/Vite SPA shell (div#root). An 8-second Playwright network trace on the homepage captured zero JSON/API responses matching product or catalog hints.</t>
        </is>
      </c>
      <c r="M661" s="13" t="inlineStr">
        <is>
          <t>ACCEPT</t>
        </is>
      </c>
      <c r="N661" s="13" t="inlineStr">
        <is>
          <t>not scored</t>
        </is>
      </c>
      <c r="O661" s="13" t="inlineStr"/>
      <c r="P661" s="13" t="inlineStr">
        <is>
          <t>Custom</t>
        </is>
      </c>
      <c r="Q661" s="13" t="inlineStr">
        <is>
          <t>STN</t>
        </is>
      </c>
      <c r="R661" s="13" t="inlineStr">
        <is>
          <t>-</t>
        </is>
      </c>
      <c r="S661" s="13" t="inlineStr">
        <is>
          <t>-</t>
        </is>
      </c>
      <c r="T661" s="13" t="inlineStr">
        <is>
          <t>Live platform (CMPE LDA), v3.9.32, 'pronta para receber os primeiros clientes'. Catalogue behind login - verify depth.</t>
        </is>
      </c>
      <c r="U661" s="13" t="inlineStr">
        <is>
          <t>-</t>
        </is>
      </c>
      <c r="V661" s="13" t="inlineStr">
        <is>
          <t>P1</t>
        </is>
      </c>
    </row>
    <row r="662">
      <c r="A662" s="13" t="inlineStr">
        <is>
          <t>ssa</t>
        </is>
      </c>
      <c r="B662" s="13" t="inlineStr">
        <is>
          <t>sao_tome_and_principe</t>
        </is>
      </c>
      <c r="C662" s="13" t="inlineStr">
        <is>
          <t>STP</t>
        </is>
      </c>
      <c r="D662" s="13" t="inlineStr">
        <is>
          <t>Sao Tome and Principe</t>
        </is>
      </c>
      <c r="E662" s="13" t="inlineStr">
        <is>
          <t>Sokeru</t>
        </is>
      </c>
      <c r="F662" s="13" t="inlineStr">
        <is>
          <t>https://sokeru.st/</t>
        </is>
      </c>
      <c r="G662" s="13" t="inlineStr">
        <is>
          <t>PROBED - SKIP</t>
        </is>
      </c>
      <c r="H662" s="13" t="inlineStr">
        <is>
          <t>SKIP</t>
        </is>
      </c>
      <c r="I662" s="13" t="inlineStr">
        <is>
          <t>low</t>
        </is>
      </c>
      <c r="J662" s="13" t="n">
        <v>0</v>
      </c>
      <c r="K662" s="13" t="inlineStr"/>
      <c r="L662" s="13" t="inlineStr">
        <is>
          <t>curl: Could not resolve host, and nslookup sokeru.st -&gt; NXDOMAIN, and Playwright net::ERR_NAME_NOT_RESOLVED. Confirmed dead via three independent methods.</t>
        </is>
      </c>
      <c r="M662" s="13" t="inlineStr">
        <is>
          <t>ACCEPT</t>
        </is>
      </c>
      <c r="N662" s="13" t="inlineStr">
        <is>
          <t>not scored</t>
        </is>
      </c>
      <c r="O662" s="13" t="inlineStr"/>
      <c r="P662" s="13" t="inlineStr">
        <is>
          <t>Custom</t>
        </is>
      </c>
      <c r="Q662" s="13" t="inlineStr">
        <is>
          <t>STN</t>
        </is>
      </c>
      <c r="R662" s="13" t="inlineStr">
        <is>
          <t>-</t>
        </is>
      </c>
      <c r="S662" s="13" t="inlineStr">
        <is>
          <t>-</t>
        </is>
      </c>
      <c r="T662" s="13" t="inlineStr">
        <is>
          <t>First Santomean e-commerce platform, iOS and Android, Dobra Digital payments. App-led.</t>
        </is>
      </c>
      <c r="U662" s="13" t="inlineStr">
        <is>
          <t>-</t>
        </is>
      </c>
      <c r="V662" s="13" t="inlineStr">
        <is>
          <t>P1</t>
        </is>
      </c>
    </row>
    <row r="663">
      <c r="A663" s="13" t="inlineStr">
        <is>
          <t>ssa</t>
        </is>
      </c>
      <c r="B663" s="13" t="inlineStr">
        <is>
          <t>sao_tome_and_principe</t>
        </is>
      </c>
      <c r="C663" s="13" t="inlineStr">
        <is>
          <t>STP</t>
        </is>
      </c>
      <c r="D663" s="13" t="inlineStr">
        <is>
          <t>Sao Tome and Principe</t>
        </is>
      </c>
      <c r="E663" s="13" t="inlineStr">
        <is>
          <t>Super CKdo</t>
        </is>
      </c>
      <c r="F663" s="13" t="inlineStr">
        <is>
          <t>http://www.superckdo.com/</t>
        </is>
      </c>
      <c r="G663" s="13" t="inlineStr">
        <is>
          <t>PROBED - SKIP</t>
        </is>
      </c>
      <c r="H663" s="13" t="inlineStr">
        <is>
          <t>SKIP</t>
        </is>
      </c>
      <c r="I663" s="13" t="inlineStr">
        <is>
          <t>low</t>
        </is>
      </c>
      <c r="J663" s="13" t="n">
        <v>0</v>
      </c>
      <c r="K663" s="13" t="inlineStr"/>
      <c r="L663" s="13" t="inlineStr">
        <is>
          <t>curl exit 000 -- connection failed, domain does not resolve/respond.</t>
        </is>
      </c>
      <c r="M663" s="13" t="inlineStr">
        <is>
          <t>SUSPECT</t>
        </is>
      </c>
      <c r="N663" s="13" t="inlineStr">
        <is>
          <t>not scored</t>
        </is>
      </c>
      <c r="O663" s="13" t="inlineStr"/>
      <c r="P663" s="13" t="inlineStr">
        <is>
          <t>Custom</t>
        </is>
      </c>
      <c r="Q663" s="13" t="inlineStr">
        <is>
          <t>STN</t>
        </is>
      </c>
      <c r="R663" s="13" t="inlineStr">
        <is>
          <t>-</t>
        </is>
      </c>
      <c r="S663" s="13" t="inlineStr">
        <is>
          <t>-</t>
        </is>
      </c>
      <c r="T663" s="13" t="inlineStr">
        <is>
          <t>Domain live; promotions posted to Facebook rather than a catalogue.</t>
        </is>
      </c>
      <c r="U663" s="13" t="inlineStr">
        <is>
          <t>-</t>
        </is>
      </c>
      <c r="V663" s="13" t="inlineStr">
        <is>
          <t>P1</t>
        </is>
      </c>
    </row>
    <row r="664">
      <c r="A664" s="13" t="inlineStr">
        <is>
          <t>ssa</t>
        </is>
      </c>
      <c r="B664" s="13" t="inlineStr">
        <is>
          <t>togo</t>
        </is>
      </c>
      <c r="C664" s="13" t="inlineStr">
        <is>
          <t>TGO</t>
        </is>
      </c>
      <c r="D664" s="13" t="inlineStr">
        <is>
          <t>Togo</t>
        </is>
      </c>
      <c r="E664" s="13" t="inlineStr">
        <is>
          <t>Go Africa Online Togo directory</t>
        </is>
      </c>
      <c r="F664" s="13" t="inlineStr">
        <is>
          <t>https://www.goafricaonline.com/tg/annuaire/sites-vente-en-ligne</t>
        </is>
      </c>
      <c r="G664" s="13" t="inlineStr">
        <is>
          <t>NOT PROBED - deduped, already onboarded, or time-boxed</t>
        </is>
      </c>
      <c r="H664" s="13" t="inlineStr"/>
      <c r="I664" s="13" t="inlineStr"/>
      <c r="J664" s="13" t="inlineStr"/>
      <c r="K664" s="13" t="inlineStr"/>
      <c r="L664" s="13" t="inlineStr"/>
      <c r="M664" s="13" t="inlineStr">
        <is>
          <t>REJECT</t>
        </is>
      </c>
      <c r="N664" s="13" t="inlineStr">
        <is>
          <t>not scored</t>
        </is>
      </c>
      <c r="O664" s="13" t="inlineStr"/>
      <c r="P664" s="13" t="inlineStr">
        <is>
          <t>Directory listing only</t>
        </is>
      </c>
      <c r="Q664" s="13" t="inlineStr"/>
      <c r="R664" s="13" t="inlineStr">
        <is>
          <t>-</t>
        </is>
      </c>
      <c r="S664" s="13" t="inlineStr">
        <is>
          <t>-</t>
        </is>
      </c>
      <c r="T664" s="13" t="inlineStr">
        <is>
          <t>Directory of 126 vendors - useful as a SOURCING index, not as a price source.</t>
        </is>
      </c>
      <c r="U664" s="13" t="inlineStr">
        <is>
          <t>-</t>
        </is>
      </c>
      <c r="V664" s="13" t="inlineStr">
        <is>
          <t>P1</t>
        </is>
      </c>
    </row>
    <row r="665">
      <c r="A665" s="13" t="inlineStr">
        <is>
          <t>ssa</t>
        </is>
      </c>
      <c r="B665" s="13" t="inlineStr">
        <is>
          <t>togo</t>
        </is>
      </c>
      <c r="C665" s="13" t="inlineStr">
        <is>
          <t>TGO</t>
        </is>
      </c>
      <c r="D665" s="13" t="inlineStr">
        <is>
          <t>Togo</t>
        </is>
      </c>
      <c r="E665" s="13" t="inlineStr">
        <is>
          <t>L'Epicerie du Levant</t>
        </is>
      </c>
      <c r="F665" s="13" t="inlineStr">
        <is>
          <t>https://www.goafricaonline.com/tg/annuaire/sites-vente-en-ligne</t>
        </is>
      </c>
      <c r="G665" s="13" t="inlineStr">
        <is>
          <t>NOT PROBED - deduped, already onboarded, or time-boxed</t>
        </is>
      </c>
      <c r="H665" s="13" t="inlineStr"/>
      <c r="I665" s="13" t="inlineStr"/>
      <c r="J665" s="13" t="inlineStr"/>
      <c r="K665" s="13" t="inlineStr"/>
      <c r="L665" s="13" t="inlineStr"/>
      <c r="M665" s="13" t="inlineStr">
        <is>
          <t>REJECT</t>
        </is>
      </c>
      <c r="N665" s="13" t="inlineStr">
        <is>
          <t>not scored</t>
        </is>
      </c>
      <c r="O665" s="13" t="inlineStr"/>
      <c r="P665" s="13" t="inlineStr">
        <is>
          <t>Directory listing only</t>
        </is>
      </c>
      <c r="Q665" s="13" t="inlineStr">
        <is>
          <t>XOF</t>
        </is>
      </c>
      <c r="R665" s="13" t="inlineStr">
        <is>
          <t>-</t>
        </is>
      </c>
      <c r="S665" s="13" t="inlineStr">
        <is>
          <t>-</t>
        </is>
      </c>
      <c r="T665" s="13" t="inlineStr">
        <is>
          <t>Facebook/directory presence only; no scrapable catalogue.</t>
        </is>
      </c>
      <c r="U665" s="13" t="inlineStr">
        <is>
          <t>-</t>
        </is>
      </c>
      <c r="V665" s="13" t="inlineStr">
        <is>
          <t>P1</t>
        </is>
      </c>
    </row>
    <row r="666">
      <c r="A666" s="13" t="inlineStr">
        <is>
          <t>ssa</t>
        </is>
      </c>
      <c r="B666" s="13" t="inlineStr">
        <is>
          <t>togo</t>
        </is>
      </c>
      <c r="C666" s="13" t="inlineStr">
        <is>
          <t>TGO</t>
        </is>
      </c>
      <c r="D666" s="13" t="inlineStr">
        <is>
          <t>Togo</t>
        </is>
      </c>
      <c r="E666" s="13" t="inlineStr">
        <is>
          <t>KAL Togo</t>
        </is>
      </c>
      <c r="F666" s="13" t="inlineStr">
        <is>
          <t>https://www.kal-app.com/</t>
        </is>
      </c>
      <c r="G666" s="13" t="inlineStr">
        <is>
          <t>PROBED - SKIP</t>
        </is>
      </c>
      <c r="H666" s="13" t="inlineStr">
        <is>
          <t>SKIP</t>
        </is>
      </c>
      <c r="I666" s="13" t="inlineStr">
        <is>
          <t>medium</t>
        </is>
      </c>
      <c r="J666" s="13" t="n">
        <v>0</v>
      </c>
      <c r="K666" s="13" t="inlineStr">
        <is>
          <t>none captured (empty catalog, not a block)</t>
        </is>
      </c>
      <c r="L666" s="13" t="inlineStr">
        <is>
          <t>Playwright network trace on the Marche/courses vertical (the grocery section) captured zero product/catalog JSON responses. Consistent with the CSV's own already-reversed finding: the vertical returns 'Aucun produit en stock' (no products currently in stock) -- a live platform with a currently-empty grocery catalog, not a technical block.</t>
        </is>
      </c>
      <c r="M666" s="13" t="inlineStr">
        <is>
          <t>ACCEPT</t>
        </is>
      </c>
      <c r="N666" s="13" t="inlineStr">
        <is>
          <t>not scored</t>
        </is>
      </c>
      <c r="O666" s="13" t="inlineStr"/>
      <c r="P666" s="13" t="inlineStr">
        <is>
          <t>Custom</t>
        </is>
      </c>
      <c r="Q666" s="13" t="inlineStr">
        <is>
          <t>XOF</t>
        </is>
      </c>
      <c r="R666" s="13" t="inlineStr">
        <is>
          <t>-</t>
        </is>
      </c>
      <c r="S666" s="13" t="inlineStr">
        <is>
          <t>-</t>
        </is>
      </c>
      <c r="T666" s="13" t="inlineStr">
        <is>
          <t>Live: FCFA prices, super-app with Marche/courses vertical, Lome.</t>
        </is>
      </c>
      <c r="U666" s="13" t="inlineStr">
        <is>
          <t>-</t>
        </is>
      </c>
      <c r="V666" s="13" t="inlineStr">
        <is>
          <t>P1</t>
        </is>
      </c>
    </row>
    <row r="667">
      <c r="A667" s="13" t="inlineStr">
        <is>
          <t>ssa</t>
        </is>
      </c>
      <c r="B667" s="13" t="inlineStr">
        <is>
          <t>togo</t>
        </is>
      </c>
      <c r="C667" s="13" t="inlineStr">
        <is>
          <t>TGO</t>
        </is>
      </c>
      <c r="D667" s="13" t="inlineStr">
        <is>
          <t>Togo</t>
        </is>
      </c>
      <c r="E667" s="13" t="inlineStr">
        <is>
          <t>KAL Togo - Marche</t>
        </is>
      </c>
      <c r="F667" s="13" t="inlineStr">
        <is>
          <t>https://www.kal-app.com/services/courses</t>
        </is>
      </c>
      <c r="G667" s="13" t="inlineStr">
        <is>
          <t>PROBED - SKIP</t>
        </is>
      </c>
      <c r="H667" s="13" t="inlineStr">
        <is>
          <t>SKIP</t>
        </is>
      </c>
      <c r="I667" s="13" t="inlineStr">
        <is>
          <t>medium</t>
        </is>
      </c>
      <c r="J667" s="13" t="n">
        <v>0</v>
      </c>
      <c r="K667" s="13" t="inlineStr">
        <is>
          <t>none captured (empty catalog, not a block)</t>
        </is>
      </c>
      <c r="L667" s="13" t="inlineStr">
        <is>
          <t>Playwright network trace on the Marche/courses vertical (the grocery section) captured zero product/catalog JSON responses. Consistent with the CSV's own already-reversed finding: the vertical returns 'Aucun produit en stock' (no products currently in stock) -- a live platform with a currently-empty grocery catalog, not a technical block.</t>
        </is>
      </c>
      <c r="M667" s="13" t="inlineStr">
        <is>
          <t>REJECT</t>
        </is>
      </c>
      <c r="N667" s="13" t="inlineStr">
        <is>
          <t>not scored</t>
        </is>
      </c>
      <c r="O667" s="13" t="inlineStr"/>
      <c r="P667" s="13" t="inlineStr">
        <is>
          <t>Custom</t>
        </is>
      </c>
      <c r="Q667" s="13" t="inlineStr">
        <is>
          <t>XOF</t>
        </is>
      </c>
      <c r="R667" s="13" t="inlineStr">
        <is>
          <t>-</t>
        </is>
      </c>
      <c r="S667" s="13" t="inlineStr">
        <is>
          <t>-</t>
        </is>
      </c>
      <c r="T667" s="13" t="inlineStr">
        <is>
          <t>DOWNGRADE from pass 1: the Marche vertical returns 'Aucun produit en stock'. Live platform, empty grocery catalogue. [REVERSED pass 3 -&gt; ACCEPT: an empty category is a transient state to record, not grounds to drop a working platform]</t>
        </is>
      </c>
      <c r="U667" s="13" t="inlineStr">
        <is>
          <t>-</t>
        </is>
      </c>
      <c r="V667" s="13" t="inlineStr">
        <is>
          <t>P2</t>
        </is>
      </c>
    </row>
    <row r="668">
      <c r="A668" s="13" t="inlineStr">
        <is>
          <t>ssa</t>
        </is>
      </c>
      <c r="B668" s="13" t="inlineStr">
        <is>
          <t>togo</t>
        </is>
      </c>
      <c r="C668" s="13" t="inlineStr">
        <is>
          <t>TGO</t>
        </is>
      </c>
      <c r="D668" s="13" t="inlineStr">
        <is>
          <t>Togo</t>
        </is>
      </c>
      <c r="E668" s="13" t="inlineStr">
        <is>
          <t>Lotie</t>
        </is>
      </c>
      <c r="F668" s="13" t="inlineStr">
        <is>
          <t>https://lotieapp.com/</t>
        </is>
      </c>
      <c r="G668" s="13" t="inlineStr">
        <is>
          <t>PROBED - SKIP</t>
        </is>
      </c>
      <c r="H668" s="13" t="inlineStr">
        <is>
          <t>SKIP</t>
        </is>
      </c>
      <c r="I668" s="13" t="inlineStr">
        <is>
          <t>high</t>
        </is>
      </c>
      <c r="J668" s="13" t="n">
        <v>0</v>
      </c>
      <c r="K668" s="13" t="inlineStr"/>
      <c r="L668" s="13" t="inlineStr">
        <is>
          <t>curl 200, 28.4KB landing page only. Consistent with CSV's note: catalogue behind app download, no web catalog.</t>
        </is>
      </c>
      <c r="M668" s="13" t="inlineStr">
        <is>
          <t>SUSPECT</t>
        </is>
      </c>
      <c r="N668" s="13" t="inlineStr">
        <is>
          <t>not scored</t>
        </is>
      </c>
      <c r="O668" s="13" t="inlineStr"/>
      <c r="P668" s="13" t="inlineStr">
        <is>
          <t>Custom</t>
        </is>
      </c>
      <c r="Q668" s="13" t="inlineStr">
        <is>
          <t>XOF</t>
        </is>
      </c>
      <c r="R668" s="13" t="inlineStr">
        <is>
          <t>-</t>
        </is>
      </c>
      <c r="S668" s="13" t="inlineStr">
        <is>
          <t>-</t>
        </is>
      </c>
      <c r="T668" s="13" t="inlineStr">
        <is>
          <t>Live landing page; catalogue behind app download.</t>
        </is>
      </c>
      <c r="U668" s="13" t="inlineStr">
        <is>
          <t>-</t>
        </is>
      </c>
      <c r="V668" s="13" t="inlineStr">
        <is>
          <t>P1</t>
        </is>
      </c>
    </row>
    <row r="669">
      <c r="A669" s="13" t="inlineStr">
        <is>
          <t>ssa</t>
        </is>
      </c>
      <c r="B669" s="13" t="inlineStr">
        <is>
          <t>togo</t>
        </is>
      </c>
      <c r="C669" s="13" t="inlineStr">
        <is>
          <t>TGO</t>
        </is>
      </c>
      <c r="D669" s="13" t="inlineStr">
        <is>
          <t>Togo</t>
        </is>
      </c>
      <c r="E669" s="13" t="inlineStr">
        <is>
          <t>Mivashop</t>
        </is>
      </c>
      <c r="F669" s="13" t="inlineStr">
        <is>
          <t>https://mivashop.com/achat-en-ligne-au-togo/categorie/produit-alimentaire/</t>
        </is>
      </c>
      <c r="G669" s="13" t="inlineStr">
        <is>
          <t>PROBED - SKIP</t>
        </is>
      </c>
      <c r="H669" s="13" t="inlineStr">
        <is>
          <t>SKIP</t>
        </is>
      </c>
      <c r="I669" s="13" t="inlineStr">
        <is>
          <t>high</t>
        </is>
      </c>
      <c r="J669" s="13" t="n">
        <v>0</v>
      </c>
      <c r="K669" s="13" t="inlineStr"/>
      <c r="L669" s="13" t="inlineStr">
        <is>
          <t>curl with browser UA + Referer -&gt; HTTP 403. Playwright goto (domcontentloaded, 8s wait) -&gt; HTTP 403 as the main document response too. Cloudflare-fronted (server: cloudflare, cf-ray present) with a persistent 403 on both channels.</t>
        </is>
      </c>
      <c r="M669" s="13" t="inlineStr">
        <is>
          <t>ACCEPT</t>
        </is>
      </c>
      <c r="N669" s="13" t="inlineStr">
        <is>
          <t>not scored</t>
        </is>
      </c>
      <c r="O669" s="13" t="inlineStr"/>
      <c r="P669" s="13" t="inlineStr">
        <is>
          <t>Custom</t>
        </is>
      </c>
      <c r="Q669" s="13" t="inlineStr">
        <is>
          <t>XOF</t>
        </is>
      </c>
      <c r="R669" s="13" t="inlineStr">
        <is>
          <t>-</t>
        </is>
      </c>
      <c r="S669" s="13" t="inlineStr">
        <is>
          <t>-</t>
        </is>
      </c>
      <c r="T669" s="13" t="inlineStr">
        <is>
          <t>STRONG: dedicated ALIMENTATION GENERALE category with F prices and a full brand index (CASINO 86 lines, CADIE 15, DOLAIT 8). Best Togo food source found.</t>
        </is>
      </c>
      <c r="U669" s="13" t="inlineStr">
        <is>
          <t>-</t>
        </is>
      </c>
      <c r="V669" s="13" t="inlineStr">
        <is>
          <t>P2</t>
        </is>
      </c>
    </row>
    <row r="670">
      <c r="A670" s="13" t="inlineStr">
        <is>
          <t>ssa</t>
        </is>
      </c>
      <c r="B670" s="13" t="inlineStr">
        <is>
          <t>togo</t>
        </is>
      </c>
      <c r="C670" s="13" t="inlineStr">
        <is>
          <t>TGO</t>
        </is>
      </c>
      <c r="D670" s="13" t="inlineStr">
        <is>
          <t>Togo</t>
        </is>
      </c>
      <c r="E670" s="13" t="inlineStr">
        <is>
          <t>Assivito</t>
        </is>
      </c>
      <c r="F670" s="13" t="inlineStr">
        <is>
          <t>https://www.assivito.com/</t>
        </is>
      </c>
      <c r="G670" s="13" t="inlineStr">
        <is>
          <t>PROBED - VIABLE</t>
        </is>
      </c>
      <c r="H670" s="13" t="inlineStr">
        <is>
          <t>TIER_1B</t>
        </is>
      </c>
      <c r="I670" s="13" t="inlineStr">
        <is>
          <t>low</t>
        </is>
      </c>
      <c r="J670" s="13" t="n">
        <v>8</v>
      </c>
      <c r="K670" s="13" t="inlineStr">
        <is>
          <t>/wp-json/wc/store/v1/products?category=173 (Produits transformes)</t>
        </is>
      </c>
      <c r="L670" s="13" t="inlineStr">
        <is>
          <t>WooCommerce Store API confirmed open: GET https://www.assivito.com/wp-json/wc/store/v1/products/categories?per_page=100 -&gt; 200, 7.1KB, 21 categories. One category, 'Produits transformes' (id 173, 89 products), is genuinely food: GET .../products?category=173&amp;per_page=20 -&gt; 200, sample 'Puree de sesame 100% naturelle' 4000 FCFA, 'Pate d'arachide 100% naturelle' (groundnut paste) 5000 FCFA, 'Miabe Gari (farine de manioc)' 1300 FCFA, 'Haricot brun - 1kg' 1800 FCFA, 'Arachides grillees - 350g' 2000 FCFA.</t>
        </is>
      </c>
      <c r="M670" s="13" t="inlineStr">
        <is>
          <t>SUSPECT</t>
        </is>
      </c>
      <c r="N670" s="13" t="inlineStr">
        <is>
          <t>not scored</t>
        </is>
      </c>
      <c r="O670" s="13" t="inlineStr"/>
      <c r="P670" s="13" t="inlineStr">
        <is>
          <t>Custom</t>
        </is>
      </c>
      <c r="Q670" s="13" t="inlineStr">
        <is>
          <t>XOF</t>
        </is>
      </c>
      <c r="R670" s="13" t="inlineStr">
        <is>
          <t>-</t>
        </is>
      </c>
      <c r="S670" s="13" t="inlineStr">
        <is>
          <t>-</t>
        </is>
      </c>
      <c r="T670" s="13" t="inlineStr">
        <is>
          <t>First Togo e-commerce platform, 28 pages of offers, but food depth unclear from listing.</t>
        </is>
      </c>
      <c r="U670" s="13" t="inlineStr">
        <is>
          <t>-</t>
        </is>
      </c>
      <c r="V670" s="13" t="inlineStr">
        <is>
          <t>P2</t>
        </is>
      </c>
    </row>
    <row r="671">
      <c r="A671" s="13" t="inlineStr">
        <is>
          <t>ssa</t>
        </is>
      </c>
      <c r="B671" s="13" t="inlineStr">
        <is>
          <t>togo</t>
        </is>
      </c>
      <c r="C671" s="13" t="inlineStr">
        <is>
          <t>TGO</t>
        </is>
      </c>
      <c r="D671" s="13" t="inlineStr">
        <is>
          <t>Togo</t>
        </is>
      </c>
      <c r="E671" s="13" t="inlineStr">
        <is>
          <t>Miabe Marche</t>
        </is>
      </c>
      <c r="F671" s="13" t="inlineStr">
        <is>
          <t>https://miabemarche.tg/</t>
        </is>
      </c>
      <c r="G671" s="13" t="inlineStr">
        <is>
          <t>PROBED - VIABLE</t>
        </is>
      </c>
      <c r="H671" s="13" t="inlineStr">
        <is>
          <t>TIER_1B</t>
        </is>
      </c>
      <c r="I671" s="13" t="inlineStr">
        <is>
          <t>low</t>
        </is>
      </c>
      <c r="J671" s="13" t="n">
        <v>90</v>
      </c>
      <c r="K671" s="13" t="inlineStr">
        <is>
          <t>/wp-json/wc/store/v1/products?per_page=100</t>
        </is>
      </c>
      <c r="L671" s="13" t="inlineStr">
        <is>
          <t>WooCommerce Store API confirmed: GET https://miabemarche.tg/wp-json/wc/store/v1/products?per_page=50&amp;page=3 -&gt; 200, 366KB, 50/50 products with nonzero prices (an initial page-1 sample of breakfast-brand SKUs happened to all show price=0, a normal partial-catalog/out-of-stock artifact, not a systemic issue). Sample: 'Piment Antillais (Gboebesse) en Botte, Kg' 700 CFA; 'Poisson Seche Sale (Dzemekpe) 500g' (dried salted fish) 1000 CFA; 'Ademe (Corete Potagere) 1Kg' 500 CFA. Category tree includes ALIMENTATION GENERALE, AGPRODUITS LAITIERS (dairy), Cuisine africaine, Cuisine rapide, Petit-dejeuner, Pour les enfants.</t>
        </is>
      </c>
      <c r="M671" s="13" t="inlineStr">
        <is>
          <t>ACCEPT</t>
        </is>
      </c>
      <c r="N671" s="13" t="inlineStr">
        <is>
          <t>not scored</t>
        </is>
      </c>
      <c r="O671" s="13" t="inlineStr"/>
      <c r="P671" s="13" t="inlineStr">
        <is>
          <t>WordPress/WooCommerce</t>
        </is>
      </c>
      <c r="Q671" s="13" t="inlineStr">
        <is>
          <t>XOF</t>
        </is>
      </c>
      <c r="R671" s="13" t="inlineStr">
        <is>
          <t>-</t>
        </is>
      </c>
      <c r="S671" s="13" t="inlineStr">
        <is>
          <t>-</t>
        </is>
      </c>
      <c r="T671" s="13" t="inlineStr">
        <is>
          <t>STRONG: CFA prices with ranges, full category taxonomy, WooCommerce.</t>
        </is>
      </c>
      <c r="U671" s="13" t="inlineStr">
        <is>
          <t>-</t>
        </is>
      </c>
      <c r="V671" s="13" t="inlineStr">
        <is>
          <t>P1</t>
        </is>
      </c>
    </row>
    <row r="672">
      <c r="A672" s="13" t="inlineStr">
        <is>
          <t>ssa</t>
        </is>
      </c>
      <c r="B672" s="13" t="inlineStr">
        <is>
          <t>tanzania</t>
        </is>
      </c>
      <c r="C672" s="13" t="inlineStr">
        <is>
          <t>TZA</t>
        </is>
      </c>
      <c r="D672" s="13" t="inlineStr">
        <is>
          <t>Tanzania</t>
        </is>
      </c>
      <c r="E672" s="13" t="inlineStr">
        <is>
          <t>Instagrocer Dar es Salaam</t>
        </is>
      </c>
      <c r="F672" s="13" t="inlineStr">
        <is>
          <t>https://www.instagrocer.co/delivery/dar-es-salaam</t>
        </is>
      </c>
      <c r="G672" s="13" t="inlineStr">
        <is>
          <t>NOT PROBED - deduped, already onboarded, or time-boxed</t>
        </is>
      </c>
      <c r="H672" s="13" t="inlineStr"/>
      <c r="I672" s="13" t="inlineStr"/>
      <c r="J672" s="13" t="inlineStr"/>
      <c r="K672" s="13" t="inlineStr"/>
      <c r="L672" s="13" t="inlineStr"/>
      <c r="M672" s="13" t="inlineStr">
        <is>
          <t>REJECT</t>
        </is>
      </c>
      <c r="N672" s="13" t="inlineStr">
        <is>
          <t>not scored</t>
        </is>
      </c>
      <c r="O672" s="13" t="inlineStr"/>
      <c r="P672" s="13" t="inlineStr">
        <is>
          <t>Custom</t>
        </is>
      </c>
      <c r="Q672" s="13" t="inlineStr"/>
      <c r="R672" s="13" t="inlineStr">
        <is>
          <t>-</t>
        </is>
      </c>
      <c r="S672" s="13" t="inlineStr">
        <is>
          <t>-</t>
        </is>
      </c>
      <c r="T672" s="13" t="inlineStr">
        <is>
          <t>SAME DOORWAY PATTERN as the Khartoum page rejected earlier: templated 'Grocery delivery in &lt;city&gt;' landing pages with neighbourhood lists but no actual prices. One rejection rule now covers this operator globally - a useful efficiency.</t>
        </is>
      </c>
      <c r="U672" s="13" t="inlineStr">
        <is>
          <t>-</t>
        </is>
      </c>
      <c r="V672" s="13" t="inlineStr">
        <is>
          <t>P5</t>
        </is>
      </c>
    </row>
    <row r="673">
      <c r="A673" s="13" t="inlineStr">
        <is>
          <t>ssa</t>
        </is>
      </c>
      <c r="B673" s="13" t="inlineStr">
        <is>
          <t>tanzania</t>
        </is>
      </c>
      <c r="C673" s="13" t="inlineStr">
        <is>
          <t>TZA</t>
        </is>
      </c>
      <c r="D673" s="13" t="inlineStr">
        <is>
          <t>Tanzania</t>
        </is>
      </c>
      <c r="E673" s="13" t="inlineStr">
        <is>
          <t>Pick True Fresh</t>
        </is>
      </c>
      <c r="F673" s="13" t="inlineStr">
        <is>
          <t>https://picktruefresh.co.tz/</t>
        </is>
      </c>
      <c r="G673" s="13" t="inlineStr">
        <is>
          <t>PROBED - SKIP</t>
        </is>
      </c>
      <c r="H673" s="13" t="inlineStr">
        <is>
          <t>SKIP</t>
        </is>
      </c>
      <c r="I673" s="13" t="inlineStr">
        <is>
          <t>high</t>
        </is>
      </c>
      <c r="J673" s="13" t="n">
        <v>0</v>
      </c>
      <c r="K673" s="13" t="inlineStr"/>
      <c r="L673" s="13" t="inlineStr">
        <is>
          <t>DNS NXDOMAIN.</t>
        </is>
      </c>
      <c r="M673" s="13" t="inlineStr">
        <is>
          <t>ACCEPT</t>
        </is>
      </c>
      <c r="N673" s="13" t="inlineStr">
        <is>
          <t>not scored</t>
        </is>
      </c>
      <c r="O673" s="13" t="inlineStr"/>
      <c r="P673" s="13" t="inlineStr">
        <is>
          <t>Custom</t>
        </is>
      </c>
      <c r="Q673" s="13" t="inlineStr">
        <is>
          <t>TZS</t>
        </is>
      </c>
      <c r="R673" s="13" t="inlineStr">
        <is>
          <t>-</t>
        </is>
      </c>
      <c r="S673" s="13" t="inlineStr">
        <is>
          <t>-</t>
        </is>
      </c>
      <c r="T673" s="13" t="inlineStr">
        <is>
          <t>Sh prices per kg on local produce; sources from local farmers and markets.</t>
        </is>
      </c>
      <c r="U673" s="13" t="inlineStr">
        <is>
          <t>-</t>
        </is>
      </c>
      <c r="V673" s="13" t="inlineStr">
        <is>
          <t>P5</t>
        </is>
      </c>
    </row>
    <row r="674">
      <c r="A674" s="13" t="inlineStr">
        <is>
          <t>ssa</t>
        </is>
      </c>
      <c r="B674" s="13" t="inlineStr">
        <is>
          <t>tanzania</t>
        </is>
      </c>
      <c r="C674" s="13" t="inlineStr">
        <is>
          <t>TZA</t>
        </is>
      </c>
      <c r="D674" s="13" t="inlineStr">
        <is>
          <t>Tanzania</t>
        </is>
      </c>
      <c r="E674" s="13" t="inlineStr">
        <is>
          <t>Fast &amp; Fresh</t>
        </is>
      </c>
      <c r="F674" s="13" t="inlineStr">
        <is>
          <t>https://www.fastandfresh.co.tz/</t>
        </is>
      </c>
      <c r="G674" s="13" t="inlineStr">
        <is>
          <t>PROBED - VIABLE</t>
        </is>
      </c>
      <c r="H674" s="13" t="inlineStr">
        <is>
          <t>TIER_1A</t>
        </is>
      </c>
      <c r="I674" s="13" t="inlineStr">
        <is>
          <t>low</t>
        </is>
      </c>
      <c r="J674" s="13" t="n">
        <v>70</v>
      </c>
      <c r="K674" s="13" t="inlineStr">
        <is>
          <t>SSR HTML</t>
        </is>
      </c>
      <c r="L674" s="13" t="inlineStr">
        <is>
          <t>GET / -&gt; 200, 53KB. Real TZS prices: 'TZS 2,500.00', 'TZS 10,000.00' x2 in raw HTML.</t>
        </is>
      </c>
      <c r="M674" s="13" t="inlineStr">
        <is>
          <t>ACCEPT</t>
        </is>
      </c>
      <c r="N674" s="13" t="inlineStr">
        <is>
          <t>not scored</t>
        </is>
      </c>
      <c r="O674" s="13" t="inlineStr"/>
      <c r="P674" s="13" t="inlineStr">
        <is>
          <t>Custom</t>
        </is>
      </c>
      <c r="Q674" s="13" t="inlineStr">
        <is>
          <t>TZS</t>
        </is>
      </c>
      <c r="R674" s="13" t="inlineStr">
        <is>
          <t>-</t>
        </is>
      </c>
      <c r="S674" s="13" t="inlineStr">
        <is>
          <t>-</t>
        </is>
      </c>
      <c r="T674" s="13" t="inlineStr">
        <is>
          <t>TZS prices with explicit units (rice per kg, eggs per tray, beef fillet per kg) and a published list of 13 delivery neighbourhoods.</t>
        </is>
      </c>
      <c r="U674" s="13" t="inlineStr">
        <is>
          <t>-</t>
        </is>
      </c>
      <c r="V674" s="13" t="inlineStr">
        <is>
          <t>P5</t>
        </is>
      </c>
    </row>
    <row r="675">
      <c r="A675" s="13" t="inlineStr">
        <is>
          <t>ssa</t>
        </is>
      </c>
      <c r="B675" s="13" t="inlineStr">
        <is>
          <t>tanzania</t>
        </is>
      </c>
      <c r="C675" s="13" t="inlineStr">
        <is>
          <t>TZA</t>
        </is>
      </c>
      <c r="D675" s="13" t="inlineStr">
        <is>
          <t>Tanzania</t>
        </is>
      </c>
      <c r="E675" s="13" t="inlineStr">
        <is>
          <t>Jambo Supermarket</t>
        </is>
      </c>
      <c r="F675" s="13" t="inlineStr">
        <is>
          <t>https://www.jambosupermarket.online/</t>
        </is>
      </c>
      <c r="G675" s="13" t="inlineStr">
        <is>
          <t>PROBED - VIABLE</t>
        </is>
      </c>
      <c r="H675" s="13" t="inlineStr">
        <is>
          <t>TIER_2</t>
        </is>
      </c>
      <c r="I675" s="13" t="inlineStr">
        <is>
          <t>medium</t>
        </is>
      </c>
      <c r="J675" s="13" t="n">
        <v>0</v>
      </c>
      <c r="K675" s="13" t="inlineStr">
        <is>
          <t>unresolved -- needs Playwright/API sniff</t>
        </is>
      </c>
      <c r="L675" s="13" t="inlineStr">
        <is>
          <t>GET / -&gt; 200, only 477 bytes -- pure Vite/React SPA shell (empty div id='root').</t>
        </is>
      </c>
      <c r="M675" s="13" t="inlineStr">
        <is>
          <t>ACCEPT</t>
        </is>
      </c>
      <c r="N675" s="13" t="inlineStr">
        <is>
          <t>not scored</t>
        </is>
      </c>
      <c r="O675" s="13" t="inlineStr"/>
      <c r="P675" s="13" t="inlineStr">
        <is>
          <t>Custom</t>
        </is>
      </c>
      <c r="Q675" s="13" t="inlineStr">
        <is>
          <t>TZS</t>
        </is>
      </c>
      <c r="R675" s="13" t="inlineStr">
        <is>
          <t>-</t>
        </is>
      </c>
      <c r="S675" s="13" t="inlineStr">
        <is>
          <t>-</t>
        </is>
      </c>
      <c r="T675" s="13" t="inlineStr">
        <is>
          <t>STRONG: 5 named Dar es Salaam branches with a BRANCH SELECTOR - supports within-city price comparison. 19 categories. TZS.</t>
        </is>
      </c>
      <c r="U675" s="13" t="inlineStr">
        <is>
          <t>-</t>
        </is>
      </c>
      <c r="V675" s="13" t="inlineStr">
        <is>
          <t>P5</t>
        </is>
      </c>
    </row>
    <row r="676">
      <c r="A676" s="13" t="inlineStr">
        <is>
          <t>ssa</t>
        </is>
      </c>
      <c r="B676" s="13" t="inlineStr">
        <is>
          <t>tanzania</t>
        </is>
      </c>
      <c r="C676" s="13" t="inlineStr">
        <is>
          <t>TZA</t>
        </is>
      </c>
      <c r="D676" s="13" t="inlineStr">
        <is>
          <t>Tanzania</t>
        </is>
      </c>
      <c r="E676" s="13" t="inlineStr">
        <is>
          <t>duka.direct (Selcom)</t>
        </is>
      </c>
      <c r="F676" s="13" t="inlineStr">
        <is>
          <t>https://duka.direct/</t>
        </is>
      </c>
      <c r="G676" s="13" t="inlineStr">
        <is>
          <t>PROBED - VIABLE</t>
        </is>
      </c>
      <c r="H676" s="13" t="inlineStr">
        <is>
          <t>TIER_2</t>
        </is>
      </c>
      <c r="I676" s="13" t="inlineStr">
        <is>
          <t>medium</t>
        </is>
      </c>
      <c r="J676" s="13" t="n">
        <v>0</v>
      </c>
      <c r="K676" s="13" t="inlineStr">
        <is>
          <t>unresolved</t>
        </is>
      </c>
      <c r="L676" s="13" t="inlineStr">
        <is>
          <t>GET / -&gt; 200, 155KB SEO/marketing landing page (food delivery + utility payments copy). No SPA shell markers found but also no price class or TSh/TZS pattern in the raw HTML -- catalog likely lives behind app/city-selection flow not reached from the bare domain root.</t>
        </is>
      </c>
      <c r="M676" s="13" t="inlineStr">
        <is>
          <t>ACCEPT</t>
        </is>
      </c>
      <c r="N676" s="13" t="inlineStr">
        <is>
          <t>not scored</t>
        </is>
      </c>
      <c r="O676" s="13" t="inlineStr"/>
      <c r="P676" s="13" t="inlineStr">
        <is>
          <t>Custom</t>
        </is>
      </c>
      <c r="Q676" s="13" t="inlineStr">
        <is>
          <t>TZS</t>
        </is>
      </c>
      <c r="R676" s="13" t="inlineStr">
        <is>
          <t>-</t>
        </is>
      </c>
      <c r="S676" s="13" t="inlineStr">
        <is>
          <t>-</t>
        </is>
      </c>
      <c r="T676" s="13" t="inlineStr">
        <is>
          <t>Largest Tanzanian e-commerce platform, engineered by Selcom. Groceries plus fuel, gas and utility payments - the utility vertical is a bonus for administered-price tracking.</t>
        </is>
      </c>
      <c r="U676" s="13" t="inlineStr">
        <is>
          <t>-</t>
        </is>
      </c>
      <c r="V676" s="13" t="inlineStr">
        <is>
          <t>P5</t>
        </is>
      </c>
    </row>
    <row r="677">
      <c r="A677" s="13" t="inlineStr">
        <is>
          <t>ssa</t>
        </is>
      </c>
      <c r="B677" s="13" t="inlineStr">
        <is>
          <t>zambia</t>
        </is>
      </c>
      <c r="C677" s="13" t="inlineStr">
        <is>
          <t>ZMB</t>
        </is>
      </c>
      <c r="D677" s="13" t="inlineStr">
        <is>
          <t>Zambia</t>
        </is>
      </c>
      <c r="E677" s="13" t="inlineStr">
        <is>
          <t>kwacha.co.zm</t>
        </is>
      </c>
      <c r="F677" s="13" t="inlineStr">
        <is>
          <t>https://www.kwacha.co.zm/</t>
        </is>
      </c>
      <c r="G677" s="13" t="inlineStr">
        <is>
          <t>NOT PROBED - deduped, already onboarded, or time-boxed</t>
        </is>
      </c>
      <c r="H677" s="13" t="inlineStr"/>
      <c r="I677" s="13" t="inlineStr"/>
      <c r="J677" s="13" t="inlineStr"/>
      <c r="K677" s="13" t="inlineStr"/>
      <c r="L677" s="13" t="inlineStr"/>
      <c r="M677" s="13" t="inlineStr">
        <is>
          <t>REJECT</t>
        </is>
      </c>
      <c r="N677" s="13" t="inlineStr">
        <is>
          <t>not scored</t>
        </is>
      </c>
      <c r="O677" s="13" t="inlineStr"/>
      <c r="P677" s="13" t="inlineStr">
        <is>
          <t>Custom</t>
        </is>
      </c>
      <c r="Q677" s="13" t="inlineStr">
        <is>
          <t>ZMW</t>
        </is>
      </c>
      <c r="R677" s="13" t="inlineStr">
        <is>
          <t>-</t>
        </is>
      </c>
      <c r="S677" s="13" t="inlineStr">
        <is>
          <t>-</t>
        </is>
      </c>
      <c r="T677" s="13" t="inlineStr">
        <is>
          <t>EARLY-STAGE PLACEHOLDER: 21 products, 9 orders delivered, and a live category literally named 'Another Test' containing a Bose speaker. Catalogue is electronics and fashion, not grocery. Revisit later - the platform may mature.</t>
        </is>
      </c>
      <c r="U677" s="13" t="inlineStr">
        <is>
          <t>-</t>
        </is>
      </c>
      <c r="V677" s="13" t="inlineStr">
        <is>
          <t>P3</t>
        </is>
      </c>
    </row>
    <row r="678">
      <c r="A678" s="13" t="inlineStr">
        <is>
          <t>ssa</t>
        </is>
      </c>
      <c r="B678" s="13" t="inlineStr">
        <is>
          <t>zambia</t>
        </is>
      </c>
      <c r="C678" s="13" t="inlineStr">
        <is>
          <t>ZMB</t>
        </is>
      </c>
      <c r="D678" s="13" t="inlineStr">
        <is>
          <t>Zambia</t>
        </is>
      </c>
      <c r="E678" s="13" t="inlineStr">
        <is>
          <t>AfriDelivery</t>
        </is>
      </c>
      <c r="F678" s="13" t="inlineStr">
        <is>
          <t>https://afridelivery.app/</t>
        </is>
      </c>
      <c r="G678" s="13" t="inlineStr">
        <is>
          <t>PROBED - SKIP</t>
        </is>
      </c>
      <c r="H678" s="13" t="inlineStr">
        <is>
          <t>SKIP</t>
        </is>
      </c>
      <c r="I678" s="13" t="inlineStr">
        <is>
          <t>high</t>
        </is>
      </c>
      <c r="J678" s="13" t="n">
        <v>0</v>
      </c>
      <c r="K678" s="13" t="inlineStr"/>
      <c r="L678" s="13" t="inlineStr">
        <is>
          <t>curl 200, 5.1KB. Body is an Ionic/Cordova hybrid mobile-app web wrapper (materialize.css, ios_ionic_override_2024.css) -- an app shell with no server-rendered catalog data.</t>
        </is>
      </c>
      <c r="M678" s="13" t="inlineStr">
        <is>
          <t>SUSPECT</t>
        </is>
      </c>
      <c r="N678" s="13" t="inlineStr">
        <is>
          <t>not scored</t>
        </is>
      </c>
      <c r="O678" s="13" t="inlineStr"/>
      <c r="P678" s="13" t="inlineStr">
        <is>
          <t>Custom</t>
        </is>
      </c>
      <c r="Q678" s="13" t="inlineStr">
        <is>
          <t>ZMW</t>
        </is>
      </c>
      <c r="R678" s="13" t="inlineStr">
        <is>
          <t>-</t>
        </is>
      </c>
      <c r="S678" s="13" t="inlineStr">
        <is>
          <t>-</t>
        </is>
      </c>
      <c r="T678" s="13" t="inlineStr">
        <is>
          <t>Live with Groceries, Butcheries, Pharmacies verticals; catalogue behind location selection.</t>
        </is>
      </c>
      <c r="U678" s="13" t="inlineStr">
        <is>
          <t>-</t>
        </is>
      </c>
      <c r="V678" s="13" t="inlineStr">
        <is>
          <t>P3</t>
        </is>
      </c>
    </row>
    <row r="679">
      <c r="A679" s="13" t="inlineStr">
        <is>
          <t>ssa</t>
        </is>
      </c>
      <c r="B679" s="13" t="inlineStr">
        <is>
          <t>zambia</t>
        </is>
      </c>
      <c r="C679" s="13" t="inlineStr">
        <is>
          <t>ZMB</t>
        </is>
      </c>
      <c r="D679" s="13" t="inlineStr">
        <is>
          <t>Zambia</t>
        </is>
      </c>
      <c r="E679" s="13" t="inlineStr">
        <is>
          <t>Shoprite Zambia</t>
        </is>
      </c>
      <c r="F679" s="13" t="inlineStr">
        <is>
          <t>https://www.shoprite.co.zm/</t>
        </is>
      </c>
      <c r="G679" s="13" t="inlineStr">
        <is>
          <t>PROBED - SKIP</t>
        </is>
      </c>
      <c r="H679" s="13" t="inlineStr">
        <is>
          <t>SKIP</t>
        </is>
      </c>
      <c r="I679" s="13" t="inlineStr">
        <is>
          <t>high</t>
        </is>
      </c>
      <c r="J679" s="13" t="n">
        <v>0</v>
      </c>
      <c r="K679" s="13" t="inlineStr">
        <is>
          <t>n/a -- no e-commerce surface exists</t>
        </is>
      </c>
      <c r="L679" s="13" t="inlineStr">
        <is>
          <t>curl 200, 82.8KB. Same 'shopriteafrica' AEM clientlibs / content-path structure as Shoprite Lesotho (see that entry) -- corporate brochure site, no product catalog, no online ordering.</t>
        </is>
      </c>
      <c r="M679" s="13" t="inlineStr">
        <is>
          <t>ACCEPT</t>
        </is>
      </c>
      <c r="N679" s="13" t="inlineStr">
        <is>
          <t>not scored</t>
        </is>
      </c>
      <c r="O679" s="13" t="inlineStr"/>
      <c r="P679" s="13" t="inlineStr">
        <is>
          <t>Custom</t>
        </is>
      </c>
      <c r="Q679" s="13" t="inlineStr">
        <is>
          <t>ZMW</t>
        </is>
      </c>
      <c r="R679" s="13" t="inlineStr">
        <is>
          <t>-</t>
        </is>
      </c>
      <c r="S679" s="13" t="inlineStr">
        <is>
          <t>-</t>
        </is>
      </c>
      <c r="T679" s="13" t="inlineStr">
        <is>
          <t>IMPORTANT: Shoprite RETAINED Zambia when it exited Nigeria, Kenya, Uganda and others - 47 stores since 1995. Zambia is part of its Southern Africa core. Site is specials-led; confirm whether a full catalogue is exposed.</t>
        </is>
      </c>
      <c r="U679" s="13" t="inlineStr">
        <is>
          <t>-</t>
        </is>
      </c>
      <c r="V679" s="13" t="inlineStr">
        <is>
          <t>P3</t>
        </is>
      </c>
    </row>
    <row r="680">
      <c r="A680" s="13" t="inlineStr">
        <is>
          <t>ssa</t>
        </is>
      </c>
      <c r="B680" s="13" t="inlineStr">
        <is>
          <t>zambia</t>
        </is>
      </c>
      <c r="C680" s="13" t="inlineStr">
        <is>
          <t>ZMB</t>
        </is>
      </c>
      <c r="D680" s="13" t="inlineStr">
        <is>
          <t>Zambia</t>
        </is>
      </c>
      <c r="E680" s="13" t="inlineStr">
        <is>
          <t>TigmooEats</t>
        </is>
      </c>
      <c r="F680" s="13" t="inlineStr">
        <is>
          <t>https://tigmooeats.com/</t>
        </is>
      </c>
      <c r="G680" s="13" t="inlineStr">
        <is>
          <t>PROBED - SKIP</t>
        </is>
      </c>
      <c r="H680" s="13" t="inlineStr">
        <is>
          <t>SKIP</t>
        </is>
      </c>
      <c r="I680" s="13" t="inlineStr">
        <is>
          <t>high</t>
        </is>
      </c>
      <c r="J680" s="13" t="n">
        <v>0</v>
      </c>
      <c r="K680" s="13" t="inlineStr">
        <is>
          <t>not found</t>
        </is>
      </c>
      <c r="L680" s="13" t="inlineStr">
        <is>
          <t>curl 200, 62.3KB, title 'Best Food &amp; Grocery Delivery Services Lusaka, Kitwe &amp; Ndola - Zambia'; keyword scan shows 'restaurant' (14 occurrences) heavily outweighing 'grocery' (3) and 'supermarket' (1). Playwright network trace captured only a Google Maps JS bundle, no product/catalog JSON -- consistent with a location-gated flow (address/store selection required before any SKU list loads).</t>
        </is>
      </c>
      <c r="M680" s="13" t="inlineStr">
        <is>
          <t>ACCEPT</t>
        </is>
      </c>
      <c r="N680" s="13" t="inlineStr">
        <is>
          <t>not scored</t>
        </is>
      </c>
      <c r="O680" s="13" t="inlineStr"/>
      <c r="P680" s="13" t="inlineStr">
        <is>
          <t>Custom</t>
        </is>
      </c>
      <c r="Q680" s="13" t="inlineStr">
        <is>
          <t>ZMW</t>
        </is>
      </c>
      <c r="R680" s="13" t="inlineStr">
        <is>
          <t>-</t>
        </is>
      </c>
      <c r="S680" s="13" t="inlineStr">
        <is>
          <t>-</t>
        </is>
      </c>
      <c r="T680" s="13" t="inlineStr">
        <is>
          <t>Live: Lusaka, Kitwe, Ndola; food, grocery and supermarket delivery.</t>
        </is>
      </c>
      <c r="U680" s="13" t="inlineStr">
        <is>
          <t>-</t>
        </is>
      </c>
      <c r="V680" s="13" t="inlineStr">
        <is>
          <t>P3</t>
        </is>
      </c>
    </row>
    <row r="681">
      <c r="A681" s="13" t="inlineStr">
        <is>
          <t>ssa</t>
        </is>
      </c>
      <c r="B681" s="13" t="inlineStr">
        <is>
          <t>zambia</t>
        </is>
      </c>
      <c r="C681" s="13" t="inlineStr">
        <is>
          <t>ZMB</t>
        </is>
      </c>
      <c r="D681" s="13" t="inlineStr">
        <is>
          <t>Zambia</t>
        </is>
      </c>
      <c r="E681" s="13" t="inlineStr">
        <is>
          <t>The Lusaka Grocery Delivery Company</t>
        </is>
      </c>
      <c r="F681" s="13" t="inlineStr">
        <is>
          <t>https://lusakadelivery.com/</t>
        </is>
      </c>
      <c r="G681" s="13" t="inlineStr">
        <is>
          <t>PROBED - VIABLE</t>
        </is>
      </c>
      <c r="H681" s="13" t="inlineStr">
        <is>
          <t>TIER_1B</t>
        </is>
      </c>
      <c r="I681" s="13" t="inlineStr">
        <is>
          <t>low</t>
        </is>
      </c>
      <c r="J681" s="13" t="n">
        <v>110</v>
      </c>
      <c r="K681" s="13" t="inlineStr">
        <is>
          <t>/products.json?limit=250&amp;page=N</t>
        </is>
      </c>
      <c r="L681" s="13" t="inlineStr">
        <is>
          <t>Shopify confirmed: GET https://lusakadelivery.com/products.json?limit=250 -&gt; 200, 268KB, 250 products on page 1 alone (catalog is larger; not paginated further this pass). Sample: 'Chicken Portion Pieces 5kg' (listed as 'Copy of Chicken Portion Pieces 5kg' -- a leftover duplicate-product-entry artifact worth flagging to any downstream cleaner) ZMW 540.00; 'Lancewood sour cream 250ml' ZMW 145.00; wine/liquor SKUs also present (Pongracz, Alvis Drift).</t>
        </is>
      </c>
      <c r="M681" s="13" t="inlineStr">
        <is>
          <t>ACCEPT</t>
        </is>
      </c>
      <c r="N681" s="13" t="inlineStr">
        <is>
          <t>not scored</t>
        </is>
      </c>
      <c r="O681" s="13" t="inlineStr"/>
      <c r="P681" s="13" t="inlineStr">
        <is>
          <t>Shopify</t>
        </is>
      </c>
      <c r="Q681" s="13" t="inlineStr">
        <is>
          <t>ZMW</t>
        </is>
      </c>
      <c r="R681" s="13" t="inlineStr">
        <is>
          <t>-</t>
        </is>
      </c>
      <c r="S681" s="13" t="inlineStr">
        <is>
          <t>-</t>
        </is>
      </c>
      <c r="T681" s="13" t="inlineStr">
        <is>
          <t>STRONG: Shopify (footer confirms 'Powered by Shopify'), so /products.json should return everything. K prices with per-kg produce (tomatoes K22/kg, onion K35/kg). Category counts visible: condiments 67, household 107, canned 51, carbohydrates 44.</t>
        </is>
      </c>
      <c r="U681" s="13" t="inlineStr">
        <is>
          <t>-</t>
        </is>
      </c>
      <c r="V681" s="13" t="inlineStr">
        <is>
          <t>P3</t>
        </is>
      </c>
    </row>
    <row r="682">
      <c r="A682" s="13" t="inlineStr">
        <is>
          <t>ssa</t>
        </is>
      </c>
      <c r="B682" s="13" t="inlineStr">
        <is>
          <t>zimbabwe</t>
        </is>
      </c>
      <c r="C682" s="13" t="inlineStr">
        <is>
          <t>ZWE</t>
        </is>
      </c>
      <c r="D682" s="13" t="inlineStr">
        <is>
          <t>Zimbabwe</t>
        </is>
      </c>
      <c r="E682" s="13" t="inlineStr">
        <is>
          <t>Zim Megastore</t>
        </is>
      </c>
      <c r="F682" s="13" t="inlineStr">
        <is>
          <t>https://www.zimmegastore.com/</t>
        </is>
      </c>
      <c r="G682" s="13" t="inlineStr">
        <is>
          <t>NOT PROBED - deduped, already onboarded, or time-boxed</t>
        </is>
      </c>
      <c r="H682" s="13" t="inlineStr"/>
      <c r="I682" s="13" t="inlineStr"/>
      <c r="J682" s="13" t="inlineStr"/>
      <c r="K682" s="13" t="inlineStr"/>
      <c r="L682" s="13" t="inlineStr"/>
      <c r="M682" s="13" t="inlineStr">
        <is>
          <t>REJECT</t>
        </is>
      </c>
      <c r="N682" s="13" t="inlineStr">
        <is>
          <t>not scored</t>
        </is>
      </c>
      <c r="O682" s="13" t="inlineStr"/>
      <c r="P682" s="13" t="inlineStr">
        <is>
          <t>WordPress/WooCommerce</t>
        </is>
      </c>
      <c r="Q682" s="13" t="inlineStr">
        <is>
          <t>AUD/GBP</t>
        </is>
      </c>
      <c r="R682" s="13" t="inlineStr">
        <is>
          <t>-</t>
        </is>
      </c>
      <c r="S682" s="13" t="inlineStr">
        <is>
          <t>-</t>
        </is>
      </c>
      <c r="T682" s="13" t="inlineStr">
        <is>
          <t>T2 FAIL: explicitly for 'Zimbabweans living abroad', shopping from Australia/UK/USA/Canada. Diaspora remittance-in-kind pricing.</t>
        </is>
      </c>
      <c r="U682" s="13" t="inlineStr">
        <is>
          <t>-</t>
        </is>
      </c>
      <c r="V682" s="13" t="inlineStr">
        <is>
          <t>P1</t>
        </is>
      </c>
    </row>
    <row r="683">
      <c r="A683" s="13" t="inlineStr">
        <is>
          <t>ssa</t>
        </is>
      </c>
      <c r="B683" s="13" t="inlineStr">
        <is>
          <t>zimbabwe</t>
        </is>
      </c>
      <c r="C683" s="13" t="inlineStr">
        <is>
          <t>ZWE</t>
        </is>
      </c>
      <c r="D683" s="13" t="inlineStr">
        <is>
          <t>Zimbabwe</t>
        </is>
      </c>
      <c r="E683" s="13" t="inlineStr">
        <is>
          <t>online-spar.co.zw</t>
        </is>
      </c>
      <c r="F683" s="13" t="inlineStr">
        <is>
          <t>https://online-spar.co.zw/</t>
        </is>
      </c>
      <c r="G683" s="13" t="inlineStr">
        <is>
          <t>PROBED - SKIP</t>
        </is>
      </c>
      <c r="H683" s="13" t="inlineStr">
        <is>
          <t>SKIP</t>
        </is>
      </c>
      <c r="I683" s="13" t="inlineStr">
        <is>
          <t>low</t>
        </is>
      </c>
      <c r="J683" s="13" t="n">
        <v>0</v>
      </c>
      <c r="K683" s="13" t="inlineStr"/>
      <c r="L683" s="13" t="inlineStr">
        <is>
          <t>GET / -&gt; 200, 15.8KB, no distinguishing platform/price markers found; likely a second front-end for the same SPAR Zimbabwe operation already confirmed at spar.co.zw.</t>
        </is>
      </c>
      <c r="M683" s="13" t="inlineStr">
        <is>
          <t>SUSPECT</t>
        </is>
      </c>
      <c r="N683" s="13" t="inlineStr">
        <is>
          <t>not scored</t>
        </is>
      </c>
      <c r="O683" s="13" t="inlineStr"/>
      <c r="P683" s="13" t="inlineStr">
        <is>
          <t>Custom</t>
        </is>
      </c>
      <c r="Q683" s="13" t="inlineStr">
        <is>
          <t>USD</t>
        </is>
      </c>
      <c r="R683" s="13" t="inlineStr">
        <is>
          <t>-</t>
        </is>
      </c>
      <c r="S683" s="13" t="inlineStr">
        <is>
          <t>-</t>
        </is>
      </c>
      <c r="T683" s="13" t="inlineStr">
        <is>
          <t>Second SPAR Zimbabwe front end; confirm which is canonical.</t>
        </is>
      </c>
      <c r="U683" s="13" t="inlineStr">
        <is>
          <t>-</t>
        </is>
      </c>
      <c r="V683" s="13" t="inlineStr">
        <is>
          <t>P1</t>
        </is>
      </c>
    </row>
    <row r="684">
      <c r="A684" s="13" t="inlineStr">
        <is>
          <t>ssa</t>
        </is>
      </c>
      <c r="B684" s="13" t="inlineStr">
        <is>
          <t>zimbabwe</t>
        </is>
      </c>
      <c r="C684" s="13" t="inlineStr">
        <is>
          <t>ZWE</t>
        </is>
      </c>
      <c r="D684" s="13" t="inlineStr">
        <is>
          <t>Zimbabwe</t>
        </is>
      </c>
      <c r="E684" s="13" t="inlineStr">
        <is>
          <t>SPAR Zimbabwe</t>
        </is>
      </c>
      <c r="F684" s="13" t="inlineStr">
        <is>
          <t>https://www.spar.co.zw/products</t>
        </is>
      </c>
      <c r="G684" s="13" t="inlineStr">
        <is>
          <t>PROBED - VIABLE</t>
        </is>
      </c>
      <c r="H684" s="13" t="inlineStr">
        <is>
          <t>TIER_1A</t>
        </is>
      </c>
      <c r="I684" s="13" t="inlineStr">
        <is>
          <t>low</t>
        </is>
      </c>
      <c r="J684" s="13" t="n">
        <v>140</v>
      </c>
      <c r="K684" s="13" t="inlineStr">
        <is>
          <t>SSR HTML listing at /products (paginated/searchable via query string, not yet mapped)</t>
        </is>
      </c>
      <c r="L684" s="13" t="inlineStr">
        <is>
          <t>GET /products -&gt; 200, 134KB. Real ASP.NET+AngularJS-enhanced SSR product listing: 'MAZOE ORANGE CRUSH ORIGINAL 2L' -&gt; USD$4.00, 'RAHA COOKING OIL 2L' visible with product-links markup, canonical /products/{id}/{slug} PDP URLs.</t>
        </is>
      </c>
      <c r="M684" s="13" t="inlineStr">
        <is>
          <t>ACCEPT</t>
        </is>
      </c>
      <c r="N684" s="13" t="inlineStr">
        <is>
          <t>not scored</t>
        </is>
      </c>
      <c r="O684" s="13" t="inlineStr"/>
      <c r="P684" s="13" t="inlineStr">
        <is>
          <t>Custom</t>
        </is>
      </c>
      <c r="Q684" s="13" t="inlineStr">
        <is>
          <t>USD</t>
        </is>
      </c>
      <c r="R684" s="13" t="inlineStr">
        <is>
          <t>-</t>
        </is>
      </c>
      <c r="S684" s="13" t="inlineStr">
        <is>
          <t>-</t>
        </is>
      </c>
      <c r="T684" s="13" t="inlineStr">
        <is>
          <t>STRONG: USD prices on staples (maize meal, cooking oil, sugar); 1 USD : 32 ZWG rate shown.</t>
        </is>
      </c>
      <c r="U684" s="13" t="inlineStr">
        <is>
          <t>-</t>
        </is>
      </c>
      <c r="V684" s="13" t="inlineStr">
        <is>
          <t>P1</t>
        </is>
      </c>
    </row>
    <row r="685">
      <c r="A685" s="13" t="inlineStr">
        <is>
          <t>ssa</t>
        </is>
      </c>
      <c r="B685" s="13" t="inlineStr">
        <is>
          <t>zimbabwe</t>
        </is>
      </c>
      <c r="C685" s="13" t="inlineStr">
        <is>
          <t>ZWE</t>
        </is>
      </c>
      <c r="D685" s="13" t="inlineStr">
        <is>
          <t>Zimbabwe</t>
        </is>
      </c>
      <c r="E685" s="13" t="inlineStr">
        <is>
          <t>TM Pick n Pay Zimbabwe</t>
        </is>
      </c>
      <c r="F685" s="13" t="inlineStr">
        <is>
          <t>https://tmpnponline.co.zw/</t>
        </is>
      </c>
      <c r="G685" s="13" t="inlineStr">
        <is>
          <t>PROBED - VIABLE</t>
        </is>
      </c>
      <c r="H685" s="13" t="inlineStr">
        <is>
          <t>TIER_2</t>
        </is>
      </c>
      <c r="I685" s="13" t="inlineStr">
        <is>
          <t>medium</t>
        </is>
      </c>
      <c r="J685" s="13" t="n">
        <v>0</v>
      </c>
      <c r="K685" s="13" t="inlineStr">
        <is>
          <t>unresolved</t>
        </is>
      </c>
      <c r="L685" s="13" t="inlineStr">
        <is>
          <t>GET / -&gt; 200, 54KB. class='products mt-5' confirms a real product-grid container exists, but no $/USD price text matched in the homepage HTML -- likely lazy-loaded or on a category path not probed this pass.</t>
        </is>
      </c>
      <c r="M685" s="13" t="inlineStr">
        <is>
          <t>ACCEPT</t>
        </is>
      </c>
      <c r="N685" s="13" t="inlineStr">
        <is>
          <t>not scored</t>
        </is>
      </c>
      <c r="O685" s="13" t="inlineStr"/>
      <c r="P685" s="13" t="inlineStr">
        <is>
          <t>Custom</t>
        </is>
      </c>
      <c r="Q685" s="13" t="inlineStr">
        <is>
          <t>USD</t>
        </is>
      </c>
      <c r="R685" s="13" t="inlineStr">
        <is>
          <t>-</t>
        </is>
      </c>
      <c r="S685" s="13" t="inlineStr">
        <is>
          <t>-</t>
        </is>
      </c>
      <c r="T685" s="13" t="inlineStr">
        <is>
          <t>STRONG: USD prices (Zimbabwe is legitimately dollarised), store/region selector, full aisles. Also supports ZWG via ZimSwitch - dual-currency, so capture both.</t>
        </is>
      </c>
      <c r="U685" s="13" t="inlineStr">
        <is>
          <t>-</t>
        </is>
      </c>
      <c r="V685" s="13" t="inlineStr">
        <is>
          <t>P1</t>
        </is>
      </c>
    </row>
    <row r="686">
      <c r="A686" s="13" t="inlineStr">
        <is>
          <t>ssa</t>
        </is>
      </c>
      <c r="B686" s="13" t="inlineStr">
        <is>
          <t>zimbabwe</t>
        </is>
      </c>
      <c r="C686" s="13" t="inlineStr">
        <is>
          <t>ZWE</t>
        </is>
      </c>
      <c r="D686" s="13" t="inlineStr">
        <is>
          <t>Zimbabwe</t>
        </is>
      </c>
      <c r="E686" s="13" t="inlineStr">
        <is>
          <t>TillPoint</t>
        </is>
      </c>
      <c r="F686" s="13" t="inlineStr">
        <is>
          <t>https://tillpoint.co.zw/</t>
        </is>
      </c>
      <c r="G686" s="13" t="inlineStr">
        <is>
          <t>PROBED - VIABLE</t>
        </is>
      </c>
      <c r="H686" s="13" t="inlineStr">
        <is>
          <t>TIER_2</t>
        </is>
      </c>
      <c r="I686" s="13" t="inlineStr">
        <is>
          <t>medium</t>
        </is>
      </c>
      <c r="J686" s="13" t="n">
        <v>0</v>
      </c>
      <c r="K686" s="13" t="inlineStr">
        <is>
          <t>unresolved -- needs Playwright</t>
        </is>
      </c>
      <c r="L686" s="13" t="inlineStr">
        <is>
          <t>GET / -&gt; 200, 52KB, React app markers (id='root'-style shell); no product/price/api JSON text found in raw HTML.</t>
        </is>
      </c>
      <c r="M686" s="13" t="inlineStr">
        <is>
          <t>ACCEPT</t>
        </is>
      </c>
      <c r="N686" s="13" t="inlineStr">
        <is>
          <t>not scored</t>
        </is>
      </c>
      <c r="O686" s="13" t="inlineStr"/>
      <c r="P686" s="13" t="inlineStr">
        <is>
          <t>Custom</t>
        </is>
      </c>
      <c r="Q686" s="13" t="inlineStr">
        <is>
          <t>USD</t>
        </is>
      </c>
      <c r="R686" s="13" t="inlineStr">
        <is>
          <t>-</t>
        </is>
      </c>
      <c r="S686" s="13" t="inlineStr">
        <is>
          <t>-</t>
        </is>
      </c>
      <c r="T686" s="13" t="inlineStr">
        <is>
          <t>Live: USD prices across produce, meat boxes, pantry staples.</t>
        </is>
      </c>
      <c r="U686" s="13" t="inlineStr">
        <is>
          <t>-</t>
        </is>
      </c>
      <c r="V686" s="13" t="inlineStr">
        <is>
          <t>P1</t>
        </is>
      </c>
    </row>
  </sheetData>
  <autoFilter ref="A1:V68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1"/>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6" customWidth="1" min="3" max="3"/>
    <col width="16" customWidth="1" min="4" max="4"/>
    <col width="12" customWidth="1" min="5" max="5"/>
    <col width="58" customWidth="1" min="6" max="6"/>
    <col width="58" customWidth="1" min="7" max="7"/>
  </cols>
  <sheetData>
    <row r="1" ht="30" customHeight="1">
      <c r="A1" s="12" t="inlineStr">
        <is>
          <t>region</t>
        </is>
      </c>
      <c r="B1" s="12" t="inlineStr">
        <is>
          <t>country</t>
        </is>
      </c>
      <c r="C1" s="12" t="inlineStr">
        <is>
          <t>viable_sources</t>
        </is>
      </c>
      <c r="D1" s="12" t="inlineStr">
        <is>
          <t>fnb_leaves_est</t>
        </is>
      </c>
      <c r="E1" s="12" t="inlineStr">
        <is>
          <t>pct_of_279</t>
        </is>
      </c>
      <c r="F1" s="12" t="inlineStr">
        <is>
          <t>biggest_remaining_gap</t>
        </is>
      </c>
      <c r="G1" s="12" t="inlineStr">
        <is>
          <t>reasoning</t>
        </is>
      </c>
    </row>
    <row r="2">
      <c r="A2" s="13" t="inlineStr">
        <is>
          <t>eap</t>
        </is>
      </c>
      <c r="B2" s="13" t="inlineStr">
        <is>
          <t>fiji</t>
        </is>
      </c>
      <c r="C2" s="13" t="n">
        <v>4</v>
      </c>
      <c r="D2" s="13" t="n">
        <v>195</v>
      </c>
      <c r="E2" s="13" t="n">
        <v>70</v>
      </c>
      <c r="F2" s="13" t="inlineStr">
        <is>
          <t>Live animals / niche wholesale commodities not carried by any of the 3 supermarkets or WFP's Fiji basket.</t>
        </is>
      </c>
      <c r="G2" s="13" t="inlineStr">
        <is>
          <t>Already the best-covered of the 5 before this run. new_world_fiji (12,809 SKUs, full-line: fresh veg/fruit, meat, fresh bake, dairy) alone plausibly reaches ~165 leaves per the full-line-supermarket heuristic. mh_online (3,763 SKUs, Morris Hedstrom WooCommerce) adds distinct packaged/branded goods (+~20 unique). rbpatel (492 SKUs) is narrow, adds little unique (+~5). wfp_prices (official_avg, Fiji Food Prices + Markets CSV on HDX) reaches fresh fish/tuber leaves supermarkets structurally don't carry (+~15-20 unique). No new retailer_sku found this run -- Shop N Save has no live online store (domain shopnsave.com.fj resolves to an unrelated Outlook/webmail login page, not the retailer) and Extra Supermarket's 'Shop Online' page is a WordPress brochure page with zero product links, add-to-cart, or catalog markup (Facebook link only).</t>
        </is>
      </c>
    </row>
    <row r="3">
      <c r="A3" s="13" t="inlineStr">
        <is>
          <t>eap</t>
        </is>
      </c>
      <c r="B3" s="13" t="inlineStr">
        <is>
          <t>malaysia</t>
        </is>
      </c>
      <c r="C3" s="13" t="n">
        <v>1</v>
      </c>
      <c r="D3" s="13" t="n">
        <v>160</v>
      </c>
      <c r="E3" s="13" t="n">
        <v>57</v>
      </c>
      <c r="F3" s="13" t="inlineStr">
        <is>
          <t>Live animals (01.1.2.1.x) -- PriceCatcher tracks dressed/processed meat and live chicken but not cattle/goats/other live animals; no wholesale-market feed found as a cross-check on PriceCatcher's premise-level averages.</t>
        </is>
      </c>
      <c r="G3" s="13" t="inlineStr">
        <is>
          <t>Channel-scoped to this agent's remit (official_avg/wholesale only, not the retailer_sku sweep another agent covers). KPDNHEP PriceCatcher alone: ~600 food/beverage SKUs across chicken/meat/seafood/produce/rice/oils/dairy/spices/beverages, government daily monitoring across 500+ premises nationwide. Malaysia had zero official_avg/wholesale source before this session.</t>
        </is>
      </c>
    </row>
    <row r="4">
      <c r="A4" s="13" t="inlineStr">
        <is>
          <t>eap</t>
        </is>
      </c>
      <c r="B4" s="13" t="inlineStr">
        <is>
          <t>japan</t>
        </is>
      </c>
      <c r="C4" s="13" t="n">
        <v>2</v>
      </c>
      <c r="D4" s="13" t="n">
        <v>125</v>
      </c>
      <c r="E4" s="13" t="n">
        <v>45</v>
      </c>
      <c r="F4" s="13" t="inlineStr">
        <is>
          <t>Live animals and most processed/packaged division-01.1.9 prepared-dish leaves -- the retail survey tracks staple raw/fresh items and a few processed goods (cup noodles, curry bread) but not a broad packaged-goods basket; fish-market wholesale section (Tokyo Central Wholesale Market) looked promising but its index page is JS-driven with no static item links found -- needs a Playwright pass, not confirmed this session.</t>
        </is>
      </c>
      <c r="G4" s="13" t="inlineStr">
        <is>
          <t>Channel-scoped estimate. opengov.jp retail-prices (01+02 prefix items, ~239 codes) is the primary driver at ~115 leaves; vegetable-market wholesale adds an estimated +10 incremental leaves of cultivar depth beyond overlap. Japan had zero official_avg/wholesale source before this session, and its existing onboarded retail sources are mostly non-grocery verticals (real estate, mobile, restaurant booking), so this channel may be Japan's largest F&amp;B leaf contributor overall, not just a supplement.</t>
        </is>
      </c>
    </row>
    <row r="5">
      <c r="A5" s="13" t="inlineStr">
        <is>
          <t>eap</t>
        </is>
      </c>
      <c r="B5" s="13" t="inlineStr">
        <is>
          <t>samoa</t>
        </is>
      </c>
      <c r="C5" s="13" t="n">
        <v>3</v>
      </c>
      <c r="D5" s="13" t="n">
        <v>110</v>
      </c>
      <c r="E5" s="13" t="n">
        <v>39</v>
      </c>
      <c r="F5" s="13" t="inlineStr">
        <is>
          <t>No official_avg/wholesale feed for fresh produce, root crops, or fish -- these are structurally the weakest leaves for every country in this set.</t>
        </is>
      </c>
      <c r="G5" s="13" t="inlineStr">
        <is>
          <t>frankie_samoa + gounders_samoa + samoa_market are live general/grocery supermarkets (packaged goods, some produce/dairy/meat based on prior collection volumes); farmer_joe is currently dead (0-byte raw_items on every recent run) so excluded. Conservative estimate below the 120-180 full-line band because Pacific-island supermarkets of this size are typically packaged/canned/frozen heavy with thinner fresh produce and almost no fresh fish/meat department depth.</t>
        </is>
      </c>
    </row>
    <row r="6">
      <c r="A6" s="13" t="inlineStr">
        <is>
          <t>eap</t>
        </is>
      </c>
      <c r="B6" s="13" t="inlineStr">
        <is>
          <t>vanuatu</t>
        </is>
      </c>
      <c r="C6" s="13" t="n">
        <v>2</v>
      </c>
      <c r="D6" s="13" t="n">
        <v>95</v>
      </c>
      <c r="E6" s="13" t="n">
        <v>34</v>
      </c>
      <c r="F6" s="13" t="inlineStr">
        <is>
          <t>Dairy and non-local meat cuts thin across both sources; VNSO market-price bulletin unverified due to DNS failure, worth a retry.</t>
        </is>
      </c>
      <c r="G6" s="13" t="inlineStr">
        <is>
          <t>dynamic_vanuatu (1,171 items, foodservice distributor with retail + wholesale storefronts, confirmed fresh produce e.g. 'LOCAL Tahitian Limes (Per/Kg)') plausibly reaches ~70 leaves. New discovery aelanbasket.com (Port Vila online supermarket) adds real, distinct coverage: 211 active products across 14 categories -- Fresh Produce, Frozen Foods, Bakery, local meat, Food Cupboard, Rice &amp; Noodles, Beer/Wine/Spirits, Drinks &amp; Beverages, Snacks, Baby &amp; Child, Household, Vanuatu Made Products -- reaching an estimated ~55 leaves with partial overlap against dynamic_vanuatu on packaged goods but adding unique fresh-produce and bakery SKUs. Au Bon Marché, Vanuatu's largest chain, reconfirmed brochure-only / Facebook-only (no e-commerce presence). VNSO (vnso.gov.vu) did not resolve via DNS in this environment -- could not verify whether the Port Vila Central Market price bulletin referenced in secondary sources is downloadable with item-level prices.</t>
        </is>
      </c>
    </row>
    <row r="7">
      <c r="A7" s="13" t="inlineStr">
        <is>
          <t>eap</t>
        </is>
      </c>
      <c r="B7" s="13" t="inlineStr">
        <is>
          <t>tonga</t>
        </is>
      </c>
      <c r="C7" s="13" t="n">
        <v>2</v>
      </c>
      <c r="D7" s="13" t="n">
        <v>95</v>
      </c>
      <c r="E7" s="13" t="n">
        <v>34</v>
      </c>
      <c r="F7" s="13" t="inlineStr">
        <is>
          <t>No official_avg feed; fresh fish/root crops/live animals absent.</t>
        </is>
      </c>
      <c r="G7" s="13" t="inlineStr">
        <is>
          <t>hikiotonga (general grocery/retail) + tongamarket (WooCommerce marketplace, ~466 SKUs filtered to Groceries category) between them likely cover most packaged/pantry leaves plus some produce and household basics. tongamarket prices are NZD not TOP -- correctly already flagged in the manifest.</t>
        </is>
      </c>
    </row>
    <row r="8">
      <c r="A8" s="13" t="inlineStr">
        <is>
          <t>eap</t>
        </is>
      </c>
      <c r="B8" s="13" t="inlineStr">
        <is>
          <t>palau</t>
        </is>
      </c>
      <c r="C8" s="13" t="n">
        <v>1</v>
      </c>
      <c r="D8" s="13" t="n">
        <v>90</v>
      </c>
      <c r="E8" s="13" t="n">
        <v>32</v>
      </c>
      <c r="F8" s="13" t="inlineStr">
        <is>
          <t>No official_avg feed; fresh fish (despite Palau's fishing economy, retail fish is not in this catalog) and produce.</t>
        </is>
      </c>
      <c r="G8" s="13" t="inlineStr">
        <is>
          <t>Surangel's is Palau's largest general merchandise + grocery operation (department-store-plus-supermarket format), so likely broader packaged-goods breadth than a pure convenience store, still light on fresh categories.</t>
        </is>
      </c>
    </row>
    <row r="9">
      <c r="A9" s="13" t="inlineStr">
        <is>
          <t>eap</t>
        </is>
      </c>
      <c r="B9" s="13" t="inlineStr">
        <is>
          <t>nauru</t>
        </is>
      </c>
      <c r="C9" s="13" t="n">
        <v>2</v>
      </c>
      <c r="D9" s="13" t="n">
        <v>85</v>
      </c>
      <c r="E9" s="13" t="n">
        <v>30</v>
      </c>
      <c r="F9" s="13" t="inlineStr">
        <is>
          <t>Fresh produce/fish essentially don't exist as a retail category on Nauru; nothing to source even in principle.</t>
        </is>
      </c>
      <c r="G9" s="13" t="inlineStr">
        <is>
          <t>capelle_nr + eigigu_supermarket are Nauru's two real supermarkets, both live. Nauru is ~10,000 people so this is genuinely close to full retail coverage of the island, but the island itself has almost no local food production (near-total import dependence, packaged/frozen dominant, minimal fresh).</t>
        </is>
      </c>
    </row>
    <row r="10">
      <c r="A10" s="13" t="inlineStr">
        <is>
          <t>eap</t>
        </is>
      </c>
      <c r="B10" s="13" t="inlineStr">
        <is>
          <t>tuvalu</t>
        </is>
      </c>
      <c r="C10" s="13" t="n">
        <v>1</v>
      </c>
      <c r="D10" s="13" t="n">
        <v>55</v>
      </c>
      <c r="E10" s="13" t="n">
        <v>20</v>
      </c>
      <c r="F10" s="13" t="inlineStr">
        <is>
          <t>Everything fresh: produce, fish, meat, dairy beyond UHT/powdered.</t>
        </is>
      </c>
      <c r="G10" s="13" t="inlineStr">
        <is>
          <t>jy_ocean_trading is a single general trading store on the world's 4th-smallest country by population; realistic ceiling is packaged/canned/frozen staples only, no dedicated fresh departments.</t>
        </is>
      </c>
    </row>
    <row r="11">
      <c r="A11" s="13" t="inlineStr">
        <is>
          <t>eap</t>
        </is>
      </c>
      <c r="B11" s="13" t="inlineStr">
        <is>
          <t>philippines</t>
        </is>
      </c>
      <c r="C11" s="13" t="n">
        <v>1</v>
      </c>
      <c r="D11" s="13" t="n">
        <v>40</v>
      </c>
      <c r="E11" s="13" t="n">
        <v>14</v>
      </c>
      <c r="F11" s="13" t="inlineStr">
        <is>
          <t>PSA OpenSTAT table-id discovery for retail/wholesale agri-fishery prices -- cheap next step, PX-Web APIs rarely gate behind auth once the domain root is open (confirmed open here).</t>
        </is>
      </c>
      <c r="G11" s="13" t="inlineStr">
        <is>
          <t>Existing coverage is the WFP HDX panel already onboarded, same conservative ~40-leaf estimate as Indonesia, not independently re-verified. A second candidate was found: PSA OpenSTAT (openstat.psa.gov.ph) is a live, unauthenticated PX-Web JSON API (confirmed: GET /PXWeb/api/v1/en/DB returns a 27-domain folder list including 'Agriculture, Forestry, Fisheries' and 'Food Security Indicators'). PX-Web APIs are normally a clean two-hop discovery (list tables in a folder, then query by table id), so this is very plausibly TIER_1B once a specific retail-price table id is found -- not walked to that point this session, so listed as discovered/pending, not counted.</t>
        </is>
      </c>
    </row>
    <row r="12">
      <c r="A12" s="13" t="inlineStr">
        <is>
          <t>eap</t>
        </is>
      </c>
      <c r="B12" s="13" t="inlineStr">
        <is>
          <t>indonesia</t>
        </is>
      </c>
      <c r="C12" s="13" t="n">
        <v>1</v>
      </c>
      <c r="D12" s="13" t="n">
        <v>40</v>
      </c>
      <c r="E12" s="13" t="n">
        <v>14</v>
      </c>
      <c r="F12" s="13" t="inlineStr">
        <is>
          <t>PIHPS wholesale + producer tiers are unlocked-but-not-verified -- highest-value next probe for Indonesia specifically (needs a Playwright network-tab trace of the DevExtreme grid's AJAX call).</t>
        </is>
      </c>
      <c r="G12" s="13" t="inlineStr">
        <is>
          <t>Existing coverage is the WFP HDX panel already onboarded (wfp_prices.yaml, official_avg) -- a typical WFP EAP panel reaches roughly 30-45 staple commodities (cereals, pulses, tubers, fish, oils, sugar), estimated conservatively at 40 leaves; not independently re-verified this session. A stronger candidate was found but not unlocked: Bank Indonesia's PIHPS (bi.go.id/hargapangan) publishes FOUR price tiers in one system -- traditional market, modern market, wholesale ('Pedagang Besar'), and producer -- across 82 sample cities, which would likely be a major upgrade. The page is a DevExtreme JS grid; no plain-GET JSON endpoint was found in the time available, so it is listed under discovered/pending, not counted as verified coverage.</t>
        </is>
      </c>
    </row>
    <row r="13">
      <c r="A13" s="13" t="inlineStr">
        <is>
          <t>eap</t>
        </is>
      </c>
      <c r="B13" s="13" t="inlineStr">
        <is>
          <t>micronesia_fed_sts</t>
        </is>
      </c>
      <c r="C13" s="13" t="n">
        <v>2</v>
      </c>
      <c r="D13" s="13" t="n">
        <v>40</v>
      </c>
      <c r="E13" s="13" t="n">
        <v>14</v>
      </c>
      <c r="F13" s="13" t="inlineStr">
        <is>
          <t>Fresh everything; also general-merchandise noise dilutes SAKI's grocery signal so classification/dedup effort per useful row is high for that source specifically.</t>
        </is>
      </c>
      <c r="G13" s="13" t="inlineStr">
        <is>
          <t>New discoveries this session. saki4you.com (SAKI Stores, Chuuk/Pohnpei/Kosrae hypermarket, Shopify, ~650 products across 3 pages) is general-merchandise dominant (electronics/appliances/home) with a thin grocery slice (noodles, water, oil, coffee, sugar, snacks -- keyword-scanned ~40 food-relevant titles out of 468 unique). shoppohnpei.com (Shopify, only 66 SKUs total, page 2 returns empty) is smaller but purely food/household: rice, canned tuna/mackerel, instant ramen, Tyson chicken leg quarters, mixed vegetables, condiments (soy sauce, Golden Curry, Tabasco). Combined this is a packaged/canned/frozen-staples profile -- no fresh produce, no fresh meat, no dairy case visible in either catalog.</t>
        </is>
      </c>
    </row>
    <row r="14">
      <c r="A14" s="13" t="inlineStr">
        <is>
          <t>eap</t>
        </is>
      </c>
      <c r="B14" s="13" t="inlineStr">
        <is>
          <t>china</t>
        </is>
      </c>
      <c r="C14" s="13" t="n">
        <v>1</v>
      </c>
      <c r="D14" s="13" t="n">
        <v>25</v>
      </c>
      <c r="E14" s="13" t="n">
        <v>9</v>
      </c>
      <c r="F14" s="13" t="inlineStr">
        <is>
          <t>MOA's 200-index wholesale feed is the highest-value unresolved lead for China -- needs a Playwright network-tab trace, ideally from a CN-adjacent network path.</t>
        </is>
      </c>
      <c r="G14" s="13" t="inlineStr">
        <is>
          <t>Existing coverage is the WFP HDX panel already onboarded; conservatively estimated lower than other WFP EAP panels (~25 leaves) given China's WFP monitoring is generally thinner than in food-insecure EAP markets, not independently re-verified this session. MOA's 'Agricultural Product Wholesale Price 200 Index' (235 markets, daily) is a real, large, official feed but data.moa.gov.cn and ncpscxx.moa.gov.cn both returned 200 with content that reads as a JS-SPA bootstrap shell rather than server-rendered data or a discoverable JSON endpoint -- not resolved this session, and China sources are additionally exposed to GFW-style connectivity drops for non-CN egress per prior repo history (metro.cn TLS stalls).</t>
        </is>
      </c>
    </row>
    <row r="15">
      <c r="A15" s="13" t="inlineStr">
        <is>
          <t>eap</t>
        </is>
      </c>
      <c r="B15" s="13" t="inlineStr">
        <is>
          <t>papua_new_guinea</t>
        </is>
      </c>
      <c r="C15" s="13" t="n">
        <v>1</v>
      </c>
      <c r="D15" s="13" t="n">
        <v>18</v>
      </c>
      <c r="E15" s="13" t="n">
        <v>6</v>
      </c>
      <c r="F15" s="13" t="inlineStr">
        <is>
          <t>Fresh produce, dairy, bakery, beverages -- essentially everything except meat. This is the weakest country in the shard for supermarket coverage; the FPDA food price bulletin (see discovered) is the most promising unexploited lead for fresh produce/staples but is unverified.</t>
        </is>
      </c>
      <c r="G15" s="13" t="inlineStr">
        <is>
          <t>Only food_pro is live, and it is a meat/butcher-shop catalog (Tablebird chicken, pork cuts, hams, salami, sausages, beef steaks) plus gift vouchers -- 152 items, reaches roughly the meat &amp; processed-meat leaves only (~18 of 279), no fresh produce, dairy, bakery, or beverages. RH Hypermarket (PNG's largest, ~45,000 products) is now Cloudflare-walled. CPL/Stop &amp; Shop (shop.cpl.com.pg) reconfirmed geo-fenced (connection refused from non-PNG IP, matches known_blockers.md). Jack's PNG (jackspng.com, live WooCommerce, HTTP 200) has zero grocery/food categories -- apparel and general merchandise only. No official_avg found: PNG NSO's CPI page publishes only index numbers online (PDF may have more detail, not verified); WFP has no HDX food-prices dataset for PNG.</t>
        </is>
      </c>
    </row>
    <row r="16">
      <c r="A16" s="13" t="inlineStr">
        <is>
          <t>eap</t>
        </is>
      </c>
      <c r="B16" s="13" t="inlineStr">
        <is>
          <t>new_caledonia</t>
        </is>
      </c>
      <c r="C16" s="13" t="n">
        <v>0</v>
      </c>
      <c r="D16" s="13" t="n">
        <v>0</v>
      </c>
      <c r="E16" s="13" t="n">
        <v>0</v>
      </c>
      <c r="F16" s="13" t="inlineStr">
        <is>
          <t>Everything. Korail Drive re-probe (DNS retry, possibly a different resolver or off-peak) is the single highest-value next step -- it is the one candidate here that isn't a confirmed structural block.</t>
        </is>
      </c>
      <c r="G16" s="13" t="inlineStr">
        <is>
          <t>Zero retailer_sku, zero official_avg with price levels. Casino (supermarche-casino.nc), the largest chain with online delivery, returns HTTP 400 with a Facebook-branded error page (id="facebook") -- the ordering flow appears gated behind Facebook login/OAuth and is not reachable with a bare client. Korail Drive (koraildrive.nc, ~1,500 SKUs per press coverage) fails to resolve via DNS in this environment after repeated retries (isee.nc and data.gouv.nc resolve fine from the same host, so this looks like a domain-specific issue, not a sandbox-wide TLD block) -- genuinely unverified, not a confirmed block. ISEE's open-data IPC detaille dataset (data.gouv.nc, Opendatasoft API, confirmed working, 30,712 records) publishes a COICOP-classified consumer price INDEX (base=100 'valeur' field), not absolute price levels -- does not fit the official_avg role as-is.</t>
        </is>
      </c>
    </row>
    <row r="17">
      <c r="A17" s="13" t="inlineStr">
        <is>
          <t>eap</t>
        </is>
      </c>
      <c r="B17" s="13" t="inlineStr">
        <is>
          <t>solomon_islands</t>
        </is>
      </c>
      <c r="C17" s="13" t="n">
        <v>0</v>
      </c>
      <c r="D17" s="13" t="n">
        <v>0</v>
      </c>
      <c r="E17" s="13" t="n">
        <v>0</v>
      </c>
      <c r="F17" s="13" t="inlineStr">
        <is>
          <t>Everything. This is a true zero -- worth a dedicated revisit (Bulk Solomons re-probe in case the 404s were transient; Facebook-only chains would need a different acquisition strategy).</t>
        </is>
      </c>
      <c r="G17" s="13" t="inlineStr">
        <is>
          <t>Zero retailer_sku, zero official_avg with item-level prices. sinso_cpi is a cpi_benchmark (aggregate index, not per-commodity prices) so it does not unlock individual COICOP leaves. our_telekom_plans and siea_tariff are non-F&amp;B tariffs. The one new lead found, Bulk Solomons (bulksolomons.com.sb), resolves via DNS but every path -- including the root -- returns an nginx 404, and HTTPS fails the TLS handshake; the site appears to be down or misconfigured, not a live storefront, despite external directory listings describing it as an active online grocery importer. No other Solomon Islands supermarket has a public web catalog found in this pass (Pacific business directories list stores but none link to functioning e-commerce).</t>
        </is>
      </c>
    </row>
    <row r="18">
      <c r="A18" s="13" t="inlineStr">
        <is>
          <t>eap</t>
        </is>
      </c>
      <c r="B18" s="13" t="inlineStr">
        <is>
          <t>kiribati</t>
        </is>
      </c>
      <c r="C18" s="13" t="n">
        <v>0</v>
      </c>
      <c r="D18" s="13" t="n">
        <v>0</v>
      </c>
      <c r="E18" s="13" t="n">
        <v>0</v>
      </c>
      <c r="F18" s="13" t="inlineStr">
        <is>
          <t>Everything. True zero, well-evidenced (see blockers).</t>
        </is>
      </c>
      <c r="G18" s="13" t="inlineStr">
        <is>
          <t>No retailer_sku source exists or was found this session. SPC DF_CPI gives only a division-01 (all-food) inflation index for Kiribati (GEO_PICT=KI), not item-level prices, so it does not count as coverage under the brief's rule (index != observed price).</t>
        </is>
      </c>
    </row>
    <row r="19">
      <c r="A19" s="13" t="inlineStr">
        <is>
          <t>eap</t>
        </is>
      </c>
      <c r="B19" s="13" t="inlineStr">
        <is>
          <t>marshall_islands</t>
        </is>
      </c>
      <c r="C19" s="13" t="n">
        <v>0</v>
      </c>
      <c r="D19" s="13" t="n">
        <v>0</v>
      </c>
      <c r="E19" s="13" t="n">
        <v>0</v>
      </c>
      <c r="F19" s="13" t="inlineStr">
        <is>
          <t>Everything. True zero for retail; DF_HHEXP is a promising structural lead for basket-weighting work but not for price-level corpus.</t>
        </is>
      </c>
      <c r="G19" s="13" t="inlineStr">
        <is>
          <t>No retailer_sku source exists or was found this session (EZ Price Mart, Payless Supermarket, K&amp;K Island Pride, Formosa Supermarket -- none have a resolvable domain). SPC DF_HHEXP has COICOP-subclass-level HOUSEHOLD EXPENDITURE data for GEO_PICT=MH (79 distinct 01_* subclass codes) but this is expenditure/budget-share, not a per-unit price observation -- cannot be turned into a price without an accompanying quantity field, which the dataflow does not carry. Not counted as coverage.</t>
        </is>
      </c>
    </row>
    <row r="20">
      <c r="A20" s="13" t="inlineStr">
        <is>
          <t>eap</t>
        </is>
      </c>
      <c r="B20" s="13" t="inlineStr">
        <is>
          <t>french_polynesia</t>
        </is>
      </c>
      <c r="C20" s="13" t="n">
        <v>0</v>
      </c>
      <c r="D20" s="13" t="n">
        <v>0</v>
      </c>
      <c r="E20" s="13" t="n">
        <v>0</v>
      </c>
      <c r="F20" s="13" t="inlineStr">
        <is>
          <t>If a France/PF-routed proxy or residential IP ever becomes available, ecourses.carrefour.pf is very likely the single highest-value unlock in this whole shard -- worth flagging for future sessions rather than re-probing from scratch.</t>
        </is>
      </c>
      <c r="G20" s="13" t="inlineStr">
        <is>
          <t>carrefour.pf's e-commerce arm (ecourses.carrefour.pf, per-store: /arue, /punaauia) is a real, working PrestaShop-family platform but returns HTTP 403 with an explicit French message ('Vous ne pouvez pas accéder a notre boutique depuis votre pays' -- you cannot access our shop from your country) -- a genuine geo-restriction, not a generic bot block, confirmed via direct curl from non-PF IP. championtahiti.com (Champion) and magasins-u.pf (Super U) are both brochure-only, no online shop link found in either. Because none of these currently return usable product+price data, coverage is 0 despite the underlying retail landscape (French supermarket chains, full-line) being the strongest fundamentals in the entire 12-country set.</t>
        </is>
      </c>
    </row>
    <row r="21">
      <c r="A21" s="13" t="inlineStr">
        <is>
          <t>eap</t>
        </is>
      </c>
      <c r="B21" s="13" t="inlineStr">
        <is>
          <t>american_samoa</t>
        </is>
      </c>
      <c r="C21" s="13" t="n">
        <v>0</v>
      </c>
      <c r="D21" s="13" t="n">
        <v>0</v>
      </c>
      <c r="E21" s="13" t="n">
        <v>0</v>
      </c>
      <c r="F21" s="13" t="inlineStr">
        <is>
          <t>Everything. True zero, well-evidenced.</t>
        </is>
      </c>
      <c r="G21" s="13" t="inlineStr">
        <is>
          <t>No retailer_sku source exists or was found this session (Pago Supermarket, KS Mart, TSM Mart -- no resolvable domains; Cost.U.Less American Samoa has no online catalog, only a Facebook page).</t>
        </is>
      </c>
    </row>
    <row r="22">
      <c r="A22" s="13" t="inlineStr">
        <is>
          <t>eap</t>
        </is>
      </c>
      <c r="B22" s="13" t="inlineStr">
        <is>
          <t>guam</t>
        </is>
      </c>
      <c r="C22" s="13" t="n">
        <v>0</v>
      </c>
      <c r="D22" s="13" t="n">
        <v>0</v>
      </c>
      <c r="E22" s="13" t="n">
        <v>0</v>
      </c>
      <c r="F22" s="13" t="inlineStr">
        <is>
          <t>Everything currently usable is 0; Payless Markets is the one credible near-term unlock but needs Firestore protocol work, not a browsing session.</t>
        </is>
      </c>
      <c r="G22" s="13" t="inlineStr">
        <is>
          <t>Payless Markets Guam (paylessmarkets.com) has a live weekly-circular widget at /specials backed by a Google Firestore realtime Listen channel (project duplo-ideal-prod, vendor is a white-label 'Ideal'/'Duplo' circular platform used across several small chains) -- confirmed real product+price data flows through it, but it is not a simple REST endpoint: it requires replicating Firestore's session-negotiated long-polling protocol (gsessionid/SID/RID handshake), which is high-effort and was not completed this session. /online-shopping on the same site now 302-redirects back to the homepage (dead link, feature apparently discontinued). Cost.U.Less (costuless.com, shared Guam/American Samoa/Fiji/Caribbean/Hawaii site) is confirmed brochure-only (store locator + about pages only, no /shop, no /products, 'pick up a flyer in stores' language). islandchoicegrocery.com (a lead surfaced by web search as Guam's first online grocery delivery) now resolves to an unrelated Chinese-language parked/hijacked domain -- dead.</t>
        </is>
      </c>
    </row>
    <row r="23">
      <c r="A23" s="13" t="inlineStr">
        <is>
          <t>eap</t>
        </is>
      </c>
      <c r="B23" s="13" t="inlineStr">
        <is>
          <t>northern_mariana_islands</t>
        </is>
      </c>
      <c r="C23" s="13" t="n">
        <v>0</v>
      </c>
      <c r="D23" s="13" t="n">
        <v>0</v>
      </c>
      <c r="E23" s="13" t="n">
        <v>0</v>
      </c>
      <c r="F23" s="13" t="inlineStr">
        <is>
          <t>Everything. True zero, well-evidenced.</t>
        </is>
      </c>
      <c r="G23" s="13" t="inlineStr">
        <is>
          <t>No retailer_sku source exists or was found this session. Joeten (CNMI's leading grocery chain per search) -- joetensuperstore.com resolves but is a GoDaddy 'Launching Soon' parked page, no content. Welcome Supermarket and K-Supermarket (Saipan/Tinian) have no discoverable domains.</t>
        </is>
      </c>
    </row>
    <row r="24">
      <c r="A24" s="13" t="inlineStr">
        <is>
          <t>eap</t>
        </is>
      </c>
      <c r="B24" s="13" t="inlineStr">
        <is>
          <t>south_korea</t>
        </is>
      </c>
      <c r="C24" s="13" t="n">
        <v>0</v>
      </c>
      <c r="D24" s="13" t="n">
        <v>0</v>
      </c>
      <c r="E24" s="13" t="n">
        <v>0</v>
      </c>
      <c r="F24" s="13" t="inlineStr">
        <is>
          <t>Everything KAMIS would cover -- fresh produce, livestock, fishery wholesale/retail prices across ~17 KAMIS sub-APIs. This needs a human to complete registration out-of-band; South Korea's existing retail_sku sources (emart_kr, kurly_kr, oasis_kr) already give reasonable grocery e-commerce coverage in the meantime.</t>
        </is>
      </c>
      <c r="G24" s="13" t="inlineStr">
        <is>
          <t>KAMIS (kamis.or.kr) and its data.go.kr mirror both gate every endpoint behind a registered cert_key/cert_id issued after member signup and approval -- no unauthenticated read path exists on either domain. Confirms the prior finding (2026-08-05 session note) that KAMIS is signup-blocked, not code-blocked; re-derivation this session reached the same wall via a second domain (data.go.kr) as well.</t>
        </is>
      </c>
    </row>
    <row r="25">
      <c r="A25" s="13" t="inlineStr">
        <is>
          <t>eca</t>
        </is>
      </c>
      <c r="B25" s="13" t="inlineStr">
        <is>
          <t>spain</t>
        </is>
      </c>
      <c r="C25" s="13" t="n">
        <v>6</v>
      </c>
      <c r="D25" s="13" t="n">
        <v>230</v>
      </c>
      <c r="E25" s="13" t="n">
        <v>82</v>
      </c>
      <c r="F25" s="13" t="inlineStr">
        <is>
          <t>No wholesale/NSO feed -&gt; fresh fish and less-common produce/tuber leaves are the residual gap despite the source count. Carrefour and El Corte Ingles (both hard-walled) would have added little beyond what's already covered.</t>
        </is>
      </c>
      <c r="G25" s="13" t="inlineStr">
        <is>
          <t>Mercadona API(180, market leader) + Precios del Super(160, 8-chain aggregator) + Dia(140) + ahorrapasta(150) + Ulabox(140) + Cartio(130) have heavy overlap on staple leaves but each adds distinct niches (Mercadona's Hacendado private label depth, Dia's discount assortment, the 3 aggregators' cross-retailer coverage). Assumption: aggregate unique coverage across 6 independent full-catalog sources caps out well above any single source but short of the full 279 given fresh/wholesale gaps.</t>
        </is>
      </c>
    </row>
    <row r="26">
      <c r="A26" s="13" t="inlineStr">
        <is>
          <t>eca</t>
        </is>
      </c>
      <c r="B26" s="13" t="inlineStr">
        <is>
          <t>croatia</t>
        </is>
      </c>
      <c r="C26" s="13" t="n">
        <v>5</v>
      </c>
      <c r="D26" s="13" t="n">
        <v>220</v>
      </c>
      <c r="E26" s="13" t="n">
        <v>79</v>
      </c>
      <c r="F26" s="13" t="inlineStr">
        <is>
          <t>No wholesale/NSO average-price feed found -&gt; fresh fish, tubers beyond potato, and live animals stay thin. CroCart's underlying raw official cjenik files (if locatable) would likely beat all of this on cost and completeness -- worth a dedicated follow-up.</t>
        </is>
      </c>
      <c r="G26" s="13" t="inlineStr">
        <is>
          <t>Konzum(170)+Plodine/Studenac/Kaufland add ~40-50 unique fresh/bakery/butcher leaves beyond Konzum + CroCart's 5-chain cross-comparison(90, mostly overlapping); combined unique estimate ~220/279. Assumption: full hypermarkets (Konzum/Plodine/Studenac/Kaufland) each individually clear ~140-170 leaves with heavy overlap; CroCart adds cross-retailer price dispersion on ~23 commodities rather than new leaves.</t>
        </is>
      </c>
    </row>
    <row r="27">
      <c r="A27" s="13" t="inlineStr">
        <is>
          <t>eca</t>
        </is>
      </c>
      <c r="B27" s="13" t="inlineStr">
        <is>
          <t>malta</t>
        </is>
      </c>
      <c r="C27" s="13" t="n">
        <v>2</v>
      </c>
      <c r="D27" s="13" t="n">
        <v>195</v>
      </c>
      <c r="E27" s="13" t="n">
        <v>70</v>
      </c>
      <c r="F27" s="13" t="inlineStr">
        <is>
          <t>No wholesale/NSO feed for Malta; Welbee's price API not yet isolated despite confirmed deep category tree.</t>
        </is>
      </c>
      <c r="G27" s="13" t="inlineStr">
        <is>
          <t>PaviPama (160) confirmed genuinely full-line via its own category API: fruit&amp;veg, fish, butcher, frozen, chilled, bakery, beverages, cellar, pasta shop. Scotts (130) independently confirmed via WooCommerce with real grocery SKUs. High overlap expected on packaged goods but low overlap on the two retailers' distinct fresh/deli assortments. Welbee's (TIER_2, deep category tree seen but prices not isolated) would push this further once resolved.</t>
        </is>
      </c>
    </row>
    <row r="28">
      <c r="A28" s="13" t="inlineStr">
        <is>
          <t>eca</t>
        </is>
      </c>
      <c r="B28" s="13" t="inlineStr">
        <is>
          <t>romania</t>
        </is>
      </c>
      <c r="C28" s="13" t="n">
        <v>6</v>
      </c>
      <c r="D28" s="13" t="n">
        <v>195</v>
      </c>
      <c r="E28" s="13" t="n">
        <v>70</v>
      </c>
      <c r="F28" s="13" t="inlineStr">
        <is>
          <t>No wholesale/NSO fresh-fish or live-animal feed found; Carrefour and Profi (both would add depth) are Cloudflare-blocked.</t>
        </is>
      </c>
      <c r="G28" s="13" t="inlineStr">
        <is>
          <t>5 confirmed TIER_1A full-line/near-full-line retailers (Freshful 150 fresh+dairy+local-producer, MegaMarket 130, VivoMarket 120, HomeMarket 90, Selgros wholesale 90) with heavy overlap on staples but each adding some unique depth (wholesale bulk categories, HoReCa lines, local-producer fresh), plus Monitorul Preturilor's 41 official capped-margin SKUs cross-validating a core basket. Union estimated at ~195/279 given 5 independent full-line-ish catalogs.</t>
        </is>
      </c>
    </row>
    <row r="29">
      <c r="A29" s="13" t="inlineStr">
        <is>
          <t>eca</t>
        </is>
      </c>
      <c r="B29" s="13" t="inlineStr">
        <is>
          <t>armenia</t>
        </is>
      </c>
      <c r="C29" s="13" t="n">
        <v>2</v>
      </c>
      <c r="D29" s="13" t="n">
        <v>175</v>
      </c>
      <c r="E29" s="13" t="n">
        <v>63</v>
      </c>
      <c r="F29" s="13" t="inlineStr"/>
      <c r="G29" s="13" t="inlineStr">
        <is>
          <t>Parma (160) + Supermarket.am (150) are both full-line supermarkets with heavy category overlap (bakery/dairy/meat/deli/alcohol/baby food); union estimated at 175/279. No dedicated wholesale/fresh-produce feed found, so live-animal and whole-fish leaves stay out of reach.</t>
        </is>
      </c>
    </row>
    <row r="30">
      <c r="A30" s="13" t="inlineStr">
        <is>
          <t>eca</t>
        </is>
      </c>
      <c r="B30" s="13" t="inlineStr">
        <is>
          <t>moldova</t>
        </is>
      </c>
      <c r="C30" s="13" t="n">
        <v>3</v>
      </c>
      <c r="D30" s="13" t="n">
        <v>170</v>
      </c>
      <c r="E30" s="13" t="n">
        <v>61</v>
      </c>
      <c r="F30" s="13" t="inlineStr">
        <is>
          <t>No wholesale/NSO feed found -- fresh fish and less-common produce/tuber leaves likely thin across all 3 general grocers.</t>
        </is>
      </c>
      <c r="G30" s="13" t="inlineStr">
        <is>
          <t>Linella(150) + Mega Alina(130) heavily overlap; Casa Mega(130, CS-Cart, Playwright-confirmed) adds distinct SKU depth. Assumption: 3 independent full-line grocers in a small market converge on ~170 unique leaves after overlap. Pegas is meat-only (~15 leaves), excluded from the main estimate.</t>
        </is>
      </c>
    </row>
    <row r="31">
      <c r="A31" s="13" t="inlineStr">
        <is>
          <t>eca</t>
        </is>
      </c>
      <c r="B31" s="13" t="inlineStr">
        <is>
          <t>kazakhstan</t>
        </is>
      </c>
      <c r="C31" s="13" t="n">
        <v>2</v>
      </c>
      <c r="D31" s="13" t="n">
        <v>170</v>
      </c>
      <c r="E31" s="13" t="n">
        <v>61</v>
      </c>
      <c r="F31" s="13" t="inlineStr">
        <is>
          <t>No fresh-produce/meat bazaar-channel confirmation despite Instashop.kz explicitly carrying that vertical per CSV; store-level product page not yet found.</t>
        </is>
      </c>
      <c r="G31" s="13" t="inlineStr">
        <is>
          <t>Galmart (150, confirmed real prices, unusually deep dairy taxonomy incl. mare/camel/goat milk per CSV) + GroceryKZ (120, confirmed real prices, general grocery) with substantial overlap on packaged/dairy but each adding distinct fresh/dairy depth. Instashop's bazaar-vertical potential (fresh produce/meat at traditional markets) not yet confirmed.</t>
        </is>
      </c>
    </row>
    <row r="32">
      <c r="A32" s="13" t="inlineStr">
        <is>
          <t>eca</t>
        </is>
      </c>
      <c r="B32" s="13" t="inlineStr">
        <is>
          <t>finland</t>
        </is>
      </c>
      <c r="C32" s="13" t="n">
        <v>2</v>
      </c>
      <c r="D32" s="13" t="n">
        <v>165</v>
      </c>
      <c r="E32" s="13" t="n">
        <v>59</v>
      </c>
      <c r="F32" s="13" t="inlineStr"/>
      <c r="G32" s="13" t="inlineStr">
        <is>
          <t>S-kaupat (170, confirmed SSR product cards) + Prisma (150, same S-Group family, confirmed SSR/Next.js but not F&amp;B-page verified) overlap heavily as sibling brands; estimate the union near S-kaupat's own ceiling at 165. Alko (state alcohol monopoly, ~9 leaves) and K-Ruoka (the other half of the Finnish duopoly) were not confirmed this round and are excluded from the count.</t>
        </is>
      </c>
    </row>
    <row r="33">
      <c r="A33" s="13" t="inlineStr">
        <is>
          <t>eca</t>
        </is>
      </c>
      <c r="B33" s="13" t="inlineStr">
        <is>
          <t>netherlands</t>
        </is>
      </c>
      <c r="C33" s="13" t="n">
        <v>1</v>
      </c>
      <c r="D33" s="13" t="n">
        <v>160</v>
      </c>
      <c r="E33" s="13" t="n">
        <v>57</v>
      </c>
      <c r="F33" s="13" t="inlineStr">
        <is>
          <t>Netherlands is the most heavily WAF-hardened market in this shard outside the UK -- only Jumbo cracked. Crisp and Picnic are unconfirmed (not blocked, just no catalog reached) and worth a Playwright follow-up.</t>
        </is>
      </c>
      <c r="G33" s="13" t="inlineStr">
        <is>
          <t>Jumbo alone (major hypermarket, ~20-22k articles) estimated at 160 leaves on the standard full-line assumption. Every other candidate in the shard (Coop, PLUS, Albert Heijn, Butlon, Flink, Dirk) is confirmed blocked by one of 4 different WAF classes (Incapsula x2, Akamai, Cloudflare, JS-challenge, CloudFront).</t>
        </is>
      </c>
    </row>
    <row r="34">
      <c r="A34" s="13" t="inlineStr">
        <is>
          <t>eca</t>
        </is>
      </c>
      <c r="B34" s="13" t="inlineStr">
        <is>
          <t>iceland</t>
        </is>
      </c>
      <c r="C34" s="13" t="n">
        <v>3</v>
      </c>
      <c r="D34" s="13" t="n">
        <v>160</v>
      </c>
      <c r="E34" s="13" t="n">
        <v>57</v>
      </c>
      <c r="F34" s="13" t="inlineStr"/>
      <c r="G34" s="13" t="inlineStr">
        <is>
          <t>Best-covered country this round: Kronan (150, embedded JSON w/ internal COICOP-like category tags), Heimkaup (130, beverages/alcohol/ice cream, minor-unit trap noted), and Bonus (140, WooCommerce Store API confirmed structurally, grocery-category depth not fully sampled) overlap substantially as competing full-line chains; union estimated at 160. Vinbudin (state alcohol monopoly) and Netto were not confirmed this round.</t>
        </is>
      </c>
    </row>
    <row r="35">
      <c r="A35" s="13" t="inlineStr">
        <is>
          <t>eca</t>
        </is>
      </c>
      <c r="B35" s="13" t="inlineStr">
        <is>
          <t>portugal</t>
        </is>
      </c>
      <c r="C35" s="13" t="n">
        <v>2</v>
      </c>
      <c r="D35" s="13" t="n">
        <v>160</v>
      </c>
      <c r="E35" s="13" t="n">
        <v>57</v>
      </c>
      <c r="F35" s="13" t="inlineStr">
        <is>
          <t>Continente and Super Save are the two highest-value unconfirmed leads -- both returned 200 with real platform markers but need one more selector/render pass. Mercadona.pt (the flagship 'low-hanging fruit' pick) turned out blocked, unlike its Spanish sibling.</t>
        </is>
      </c>
      <c r="G35" s="13" t="inlineStr">
        <is>
          <t>Mercadao/Pingo Doce(150, full grocery via marketplace platform) + Lidl PT(100, but assortment narrower/discount-format) overlap heavily; unique combined estimate ~160. Continente (potentially 170, largest PT chain) and Super Save (7-chain aggregator) are TIER_2/unconfirmed.</t>
        </is>
      </c>
    </row>
    <row r="36">
      <c r="A36" s="13" t="inlineStr">
        <is>
          <t>eca</t>
        </is>
      </c>
      <c r="B36" s="13" t="inlineStr">
        <is>
          <t>poland</t>
        </is>
      </c>
      <c r="C36" s="13" t="n">
        <v>2</v>
      </c>
      <c r="D36" s="13" t="n">
        <v>160</v>
      </c>
      <c r="E36" s="13" t="n">
        <v>57</v>
      </c>
      <c r="F36" s="13" t="inlineStr">
        <is>
          <t>Biedronka, Poland's largest discounter, is not yet confirmed reachable despite not being blocked -- closing that gap alone likely adds 30-50 leaves. All 4 hypermarket chains (Auchan/Carrefour/Kaufland/Lidl) are hard-walled or SPA-shells.</t>
        </is>
      </c>
      <c r="G36" s="13" t="inlineStr">
        <is>
          <t>Frisco.pl (full online grocer, fresh+meat+dairy+bakery) ~140 + Zabka convenience adds ~15-20 unique snack/beverage leaves on top. Biedronka (potentially the largest, ~150 leaves) is TIER_2/unconfirmed -- excluded from the confirmed estimate pending the right category URL.</t>
        </is>
      </c>
    </row>
    <row r="37">
      <c r="A37" s="13" t="inlineStr">
        <is>
          <t>eca</t>
        </is>
      </c>
      <c r="B37" s="13" t="inlineStr">
        <is>
          <t>bosnia_and_herzegovina</t>
        </is>
      </c>
      <c r="C37" s="13" t="n">
        <v>2</v>
      </c>
      <c r="D37" s="13" t="n">
        <v>160</v>
      </c>
      <c r="E37" s="13" t="n">
        <v>57</v>
      </c>
      <c r="F37" s="13" t="inlineStr">
        <is>
          <t>No wholesale/NSO feed found. Korpa.ba (Cloudflare-hard-blocked) would have added multi-city spatial coverage (Sarajevo/Banja Luka/Mostar/Tuzla/Zenica) that neither surviving source explicitly offers.</t>
        </is>
      </c>
      <c r="G37" s="13" t="inlineStr">
        <is>
          <t>Ananas.ba(140, marketplace w/ multiple sellers) + PametnoKupuj(130, 22,000-article catalog) overlap substantially on staples; combined unique estimate ~160 given the marketplace's multi-seller breadth adds some niche/ethnic items PametnoKupuj likely lacks.</t>
        </is>
      </c>
    </row>
    <row r="38">
      <c r="A38" s="13" t="inlineStr">
        <is>
          <t>eca</t>
        </is>
      </c>
      <c r="B38" s="13" t="inlineStr">
        <is>
          <t>slovenia</t>
        </is>
      </c>
      <c r="C38" s="13" t="n">
        <v>2</v>
      </c>
      <c r="D38" s="13" t="n">
        <v>155</v>
      </c>
      <c r="E38" s="13" t="n">
        <v>56</v>
      </c>
      <c r="F38" s="13" t="inlineStr">
        <is>
          <t>Spar Slovenia and Tus both returned 200 (not blocked) but no price evidence found within budget - Tus has a WooCommerce hint worth a follow-up Store API check.</t>
        </is>
      </c>
      <c r="G38" s="13" t="inlineStr">
        <is>
          <t>Mercator Online confirmed TIER_1A full national hypermarket (150, 18,000+ products, 99% delivery coverage per CSV). Lidl Slovenia confirmed TIER_1A discounter (60) with heavy overlap on packaged goods, marginal unique add.</t>
        </is>
      </c>
    </row>
    <row r="39">
      <c r="A39" s="13" t="inlineStr">
        <is>
          <t>eca</t>
        </is>
      </c>
      <c r="B39" s="13" t="inlineStr">
        <is>
          <t>azerbaijan</t>
        </is>
      </c>
      <c r="C39" s="13" t="n">
        <v>3</v>
      </c>
      <c r="D39" s="13" t="n">
        <v>150</v>
      </c>
      <c r="E39" s="13" t="n">
        <v>54</v>
      </c>
      <c r="F39" s="13" t="inlineStr">
        <is>
          <t>No dedicated fresh-produce/wholesale bazaar feed found; live-animal and less-common cereal leaves likely thin across all 3 sources.</t>
        </is>
      </c>
      <c r="G39" s="13" t="inlineStr">
        <is>
          <t>Bazarstore(150, full-line per published category counts: meat/fish 1279, staples 1795, dairy 968, snacks 1719, bakery 341) is the anchor; Freshmart(120) and Wolt Baku marketplace(100, spans ~7 chains) overlap substantially with it. Assumption: Bazarstore's published category breadth alone approaches the full-line ceiling.</t>
        </is>
      </c>
    </row>
    <row r="40">
      <c r="A40" s="13" t="inlineStr">
        <is>
          <t>eca</t>
        </is>
      </c>
      <c r="B40" s="13" t="inlineStr">
        <is>
          <t>latvia</t>
        </is>
      </c>
      <c r="C40" s="13" t="n">
        <v>2</v>
      </c>
      <c r="D40" s="13" t="n">
        <v>150</v>
      </c>
      <c r="E40" s="13" t="n">
        <v>54</v>
      </c>
      <c r="F40" s="13" t="inlineStr">
        <is>
          <t>Rimi is the highest-value unconfirmed lead (national leader with rich compliance-driven price fields per shard notes) -- worth one more probe cycle before writing it off.</t>
        </is>
      </c>
      <c r="G40" s="13" t="inlineStr">
        <is>
          <t>Elvi(130) + Top! Veikali(130) heavily overlap on staple/full-line coverage; unique combined estimate ~150. Rimi (national leader, explicit Omnibus 30-day-low + deposit-fee fields) and Barbora are both TIER_2/unconfirmed pending the right category URL.</t>
        </is>
      </c>
    </row>
    <row r="41">
      <c r="A41" s="13" t="inlineStr">
        <is>
          <t>eca</t>
        </is>
      </c>
      <c r="B41" s="13" t="inlineStr">
        <is>
          <t>georgia</t>
        </is>
      </c>
      <c r="C41" s="13" t="n">
        <v>2</v>
      </c>
      <c r="D41" s="13" t="n">
        <v>150</v>
      </c>
      <c r="E41" s="13" t="n">
        <v>54</v>
      </c>
      <c r="F41" s="13" t="inlineStr"/>
      <c r="G41" s="13" t="inlineStr">
        <is>
          <t>Europroduct (140, mid-size online supermarket, ~5K SKUs, full grocery incl. spices/condiments) + Wolt Georgia aggregator (150, 1,315 venues in Tbilisi including 30+ named grocery chains such as SPAR and Rkoni) overlap moderately; estimate union at 150. Carrefour Georgia (largest chain) is Akamai-blocked; Nikora, Goodwill and Ori Nabiji are all client-rendered and not sniffed this round.</t>
        </is>
      </c>
    </row>
    <row r="42">
      <c r="A42" s="13" t="inlineStr">
        <is>
          <t>eca</t>
        </is>
      </c>
      <c r="B42" s="13" t="inlineStr">
        <is>
          <t>estonia</t>
        </is>
      </c>
      <c r="C42" s="13" t="n">
        <v>1</v>
      </c>
      <c r="D42" s="13" t="n">
        <v>150</v>
      </c>
      <c r="E42" s="13" t="n">
        <v>54</v>
      </c>
      <c r="F42" s="13" t="inlineStr">
        <is>
          <t>Three open, unblocked candidates (Barbora, Coop, Rimi) need only a correct category-page URL to likely add substantial coverage - this is the highest-leverage quick follow-up in the whole shard.</t>
        </is>
      </c>
      <c r="G42" s="13" t="inlineStr">
        <is>
          <t>Prisma Estonia is the only source with confirmed prices today (Next.js SSR, 20,000+ products per CSV, full hypermarket). Barbora/Coop Estonia/Rimi all returned 200 without a Cloudflare block but no category/price evidence was captured within budget.</t>
        </is>
      </c>
    </row>
    <row r="43">
      <c r="A43" s="13" t="inlineStr">
        <is>
          <t>eca</t>
        </is>
      </c>
      <c r="B43" s="13" t="inlineStr">
        <is>
          <t>serbia</t>
        </is>
      </c>
      <c r="C43" s="13" t="n">
        <v>2</v>
      </c>
      <c r="D43" s="13" t="n">
        <v>150</v>
      </c>
      <c r="E43" s="13" t="n">
        <v>54</v>
      </c>
      <c r="F43" s="13" t="inlineStr">
        <is>
          <t>Largest domestic chain eLakolije (190+ stores, own meat/organic farm) returned 200 but no price evidence found within budget - would be the single highest-value follow-up.</t>
        </is>
      </c>
      <c r="G43" s="13" t="inlineStr">
        <is>
          <t>DIS.rs confirmed TIER_1A full-line (fresh meat/dairy/produce with real SSR prices) ~140. Maxi.rs TIER_2 with a confirmed dairy/eggs category tile adds partial credit (~10) pending full price-endpoint isolation.</t>
        </is>
      </c>
    </row>
    <row r="44">
      <c r="A44" s="13" t="inlineStr">
        <is>
          <t>eca</t>
        </is>
      </c>
      <c r="B44" s="13" t="inlineStr">
        <is>
          <t>italy</t>
        </is>
      </c>
      <c r="C44" s="13" t="n">
        <v>1</v>
      </c>
      <c r="D44" s="13" t="n">
        <v>150</v>
      </c>
      <c r="E44" s="13" t="n">
        <v>54</v>
      </c>
      <c r="F44" s="13" t="inlineStr"/>
      <c r="G44" s="13" t="inlineStr">
        <is>
          <t>Conad alone confirmed: largest Italian chain by share, homepage sample already spans dairy/eggs/fresh meat/fresh produce/beverages/non-food (170-leaf ceiling for a genuine full-line hypermarket, discounted to 150 for conservatism since only the homepage was sampled). Sezamo.it (Rohlik stack) is now Cloudflare-walled despite a previously-documented open endpoint; Carrefour Italia, Bennet and 7 others were either blocked or returned no catalogue signal on their homepage this round.</t>
        </is>
      </c>
    </row>
    <row r="45">
      <c r="A45" s="13" t="inlineStr">
        <is>
          <t>eca</t>
        </is>
      </c>
      <c r="B45" s="13" t="inlineStr">
        <is>
          <t>czech_republic</t>
        </is>
      </c>
      <c r="C45" s="13" t="n">
        <v>1</v>
      </c>
      <c r="D45" s="13" t="n">
        <v>140</v>
      </c>
      <c r="E45" s="13" t="n">
        <v>50</v>
      </c>
      <c r="F45" s="13" t="inlineStr">
        <is>
          <t>Rohlik.cz (22,000+ products, competitor price-matching category) is the biggest miss -- Cloudflare interactive-challenge, needs a dedicated stealth-Playwright effort per known_blockers.md guidance, not a routine-onboarding side task.</t>
        </is>
      </c>
      <c r="G45" s="13" t="inlineStr">
        <is>
          <t>Billa CZ alone (full supermarket) at the standard ~140-leaf full-line estimate. Rohlik.cz -- the shard's own top pick -- is Cloudflare-challenged; Kosik.cz is an unrendered Vue shell; Albert.cz is unconfirmed; Kaufland CZ and Tesco CZ are hard-walled.</t>
        </is>
      </c>
    </row>
    <row r="46">
      <c r="A46" s="13" t="inlineStr">
        <is>
          <t>eca</t>
        </is>
      </c>
      <c r="B46" s="13" t="inlineStr">
        <is>
          <t>slovak_republic</t>
        </is>
      </c>
      <c r="C46" s="13" t="n">
        <v>1</v>
      </c>
      <c r="D46" s="13" t="n">
        <v>140</v>
      </c>
      <c r="E46" s="13" t="n">
        <v>50</v>
      </c>
      <c r="F46" s="13" t="inlineStr">
        <is>
          <t>Only one confirmed source for the whole country. No wholesale/NSO feed found or searched given time budget -- worth a dedicated discovery pass since SVK wasn't in the agent's flagged low-source list but ended up there empirically.</t>
        </is>
      </c>
      <c r="G46" s="13" t="inlineStr">
        <is>
          <t>Billa SK alone (same platform family as Billa CZ, confirmed working) at ~140 leaves. Rohlik.sk shares the Rohlik-family Cloudflare wall; Kaufland SK and Tesco SK are hard-walled with the same signatures confirmed elsewhere in this shard.</t>
        </is>
      </c>
    </row>
    <row r="47">
      <c r="A47" s="13" t="inlineStr">
        <is>
          <t>eca</t>
        </is>
      </c>
      <c r="B47" s="13" t="inlineStr">
        <is>
          <t>bulgaria</t>
        </is>
      </c>
      <c r="C47" s="13" t="n">
        <v>2</v>
      </c>
      <c r="D47" s="13" t="n">
        <v>140</v>
      </c>
      <c r="E47" s="13" t="n">
        <v>50</v>
      </c>
      <c r="F47" s="13" t="inlineStr"/>
      <c r="G47" s="13" t="inlineStr">
        <is>
          <t>Ogimarket (130, personal-shopper, dairy/confectionery/deli-leaning) + T Market Online (150, Maxima chain with strong fresh + local Bulgarian lines) union to ~140 given overlap. All 4 major hypermarket chains (Billa, Metro, Lidl, Kaufland) are blocked, Glovo-only, or leaflet-only this round -- real headroom exists but wasn't reachable.</t>
        </is>
      </c>
    </row>
    <row r="48">
      <c r="A48" s="13" t="inlineStr">
        <is>
          <t>eca</t>
        </is>
      </c>
      <c r="B48" s="13" t="inlineStr">
        <is>
          <t>uzbekistan</t>
        </is>
      </c>
      <c r="C48" s="13" t="n">
        <v>1</v>
      </c>
      <c r="D48" s="13" t="n">
        <v>140</v>
      </c>
      <c r="E48" s="13" t="n">
        <v>50</v>
      </c>
      <c r="F48" s="13" t="inlineStr">
        <is>
          <t>This country stayed below the 2-viable-source bar despite discovery effort: tried Wolt Uzbekistan (404 -- Wolt likely doesn't operate there under that URL pattern) and Uzum Market (redirected to a Yandex SmartCaptcha challenge page, confirmed blocked). Korzinka's exact catalog API route also wasn't pinned down -- both are the natural next moves.</t>
        </is>
      </c>
      <c r="G48" s="13" t="inlineStr">
        <is>
          <t>Korzinka alone, TIER_2 (curl-blocked but Playwright-confirmed real catalog), at the standard full-line estimate of ~140 given its 250+ store / 12-region national footprint. Express24, Yandex Lavka, Yanada and Lebazar all failed to yield usable evidence within budget.</t>
        </is>
      </c>
    </row>
    <row r="49">
      <c r="A49" s="13" t="inlineStr">
        <is>
          <t>eca</t>
        </is>
      </c>
      <c r="B49" s="13" t="inlineStr">
        <is>
          <t>austria</t>
        </is>
      </c>
      <c r="C49" s="13" t="n">
        <v>1</v>
      </c>
      <c r="D49" s="13" t="n">
        <v>130</v>
      </c>
      <c r="E49" s="13" t="n">
        <v>47</v>
      </c>
      <c r="F49" s="13" t="inlineStr">
        <is>
          <t>No confirmed source in Vienna/eastern Austria specifically (MPreis is Tyrol-centered); Unimarkt and ADEG (also newly discovered) are open but unconfirmed for prices.</t>
        </is>
      </c>
      <c r="G49" s="13" t="inlineStr">
        <is>
          <t>All 3 CSV rows failed (Gurkerl and Interspar Cloudflare-blocked, Billa generic-403). Net-new discovery found MPreis (130, confirmed real prices, regional Tyrol-based full-line chain with Algolia search) as the sole viable source.</t>
        </is>
      </c>
    </row>
    <row r="50">
      <c r="A50" s="13" t="inlineStr">
        <is>
          <t>eca</t>
        </is>
      </c>
      <c r="B50" s="13" t="inlineStr">
        <is>
          <t>tajikistan</t>
        </is>
      </c>
      <c r="C50" s="13" t="n">
        <v>3</v>
      </c>
      <c r="D50" s="13" t="n">
        <v>130</v>
      </c>
      <c r="E50" s="13" t="n">
        <v>47</v>
      </c>
      <c r="F50" s="13" t="inlineStr"/>
      <c r="G50" s="13" t="inlineStr">
        <is>
          <t>Magnit.tj (120, full category tree confirmed), Paykar Shop (100, packaged/dry-goods-leaning categories sampled), and Dado.tj (90, WooCommerce confirmed but with a live price=0 API bug requiring HTML-scrape fallback) union to ~130 with moderate overlap. Mohira.tj is now a dead/NXDOMAIN; Beeyor's grocery vertical (via Paykar) wasn't directly reachable, only its restaurant vertical was found.</t>
        </is>
      </c>
    </row>
    <row r="51">
      <c r="A51" s="13" t="inlineStr">
        <is>
          <t>eca</t>
        </is>
      </c>
      <c r="B51" s="13" t="inlineStr">
        <is>
          <t>kosovo</t>
        </is>
      </c>
      <c r="C51" s="13" t="n">
        <v>2</v>
      </c>
      <c r="D51" s="13" t="n">
        <v>120</v>
      </c>
      <c r="E51" s="13" t="n">
        <v>43</v>
      </c>
      <c r="F51" s="13" t="inlineStr"/>
      <c r="G51" s="13" t="inlineStr">
        <is>
          <t>Blejeseshkoj (70, Prizren-only, small catalogue, OpenCart) + Maxi E-Shop (130, Prishtina, full supermarket taxonomy incl. Ushqimore/Bulmet/Pije/Fruta &amp; Perime/Pjekurina) union to ~120 given limited geographic/SKU overlap between the two cities. Both confirmed with real product+price evidence; this is the strongest-verified small market in the shard relative to its size.</t>
        </is>
      </c>
    </row>
    <row r="52">
      <c r="A52" s="13" t="inlineStr">
        <is>
          <t>eca</t>
        </is>
      </c>
      <c r="B52" s="13" t="inlineStr">
        <is>
          <t>germany</t>
        </is>
      </c>
      <c r="C52" s="13" t="n">
        <v>2</v>
      </c>
      <c r="D52" s="13" t="n">
        <v>110</v>
      </c>
      <c r="E52" s="13" t="n">
        <v>39</v>
      </c>
      <c r="F52" s="13" t="inlineStr">
        <is>
          <t>No confirmed fresh-produce/meat/dairy source for Germany at all - Knuspr (Rohlik) is CF-blocked, REWE/Kaufland/Amazon Fresh are hard-blocked, and the promising full-assortment TIER_2 candidates (mytime, Picnic, getnow, Flaschenpost) all need a follow-up category probe.</t>
        </is>
      </c>
      <c r="G52" s="13" t="inlineStr">
        <is>
          <t>Edeka24 (70) is explicitly shelf-stable-only per CSV, missing all fresh-produce/meat/dairy leaves. Liefershop.de (60, WooCommerce-confirmed) is a mixed wine/beverage/pantry catalog contaminated with MLM products, moderate overlap with Edeka24. mytime.de shows partial price evidence (uncounted, TIER_2) that could add meaningfully once confirmed.</t>
        </is>
      </c>
    </row>
    <row r="53">
      <c r="A53" s="13" t="inlineStr">
        <is>
          <t>eca</t>
        </is>
      </c>
      <c r="B53" s="13" t="inlineStr">
        <is>
          <t>lithuania</t>
        </is>
      </c>
      <c r="C53" s="13" t="n">
        <v>2</v>
      </c>
      <c r="D53" s="13" t="n">
        <v>90</v>
      </c>
      <c r="E53" s="13" t="n">
        <v>32</v>
      </c>
      <c r="F53" s="13" t="inlineStr">
        <is>
          <t>Barbora LT (same Maxima-group full-line platform as the strong Estonia/Latvia sources) is the clear next step - needs a Playwright-cleared collector or cf_clearance cookie reuse, then the already-found category/recommendation endpoints likely unlock most of the remaining gap.</t>
        </is>
      </c>
      <c r="G53" s="13" t="inlineStr">
        <is>
          <t>Norfa (90, confirmed real discounter prices) is the only source with counted leaf credit. Barbora LT has strong structural evidence (a 427KB category tree seen via a Playwright-cleared session) but I did not inspect category names within budget, so per the brief's 'count what you saw' rule I am not crediting it yet.</t>
        </is>
      </c>
    </row>
    <row r="54">
      <c r="A54" s="13" t="inlineStr">
        <is>
          <t>eca</t>
        </is>
      </c>
      <c r="B54" s="13" t="inlineStr">
        <is>
          <t>kyrgyz_republic</t>
        </is>
      </c>
      <c r="C54" s="13" t="n">
        <v>1</v>
      </c>
      <c r="D54" s="13" t="n">
        <v>90</v>
      </c>
      <c r="E54" s="13" t="n">
        <v>32</v>
      </c>
      <c r="F54" s="13" t="inlineStr"/>
      <c r="G54" s="13" t="inlineStr">
        <is>
          <t>Only Globus Online confirmed (140-leaf full-line chain, discounted to 90 for single-source dependency risk). Alma Go is app-only (confirmed empty homepage) and Glovo Bishkek is SPA/client-rendered. Net-new discovery (local-language search for Frunze/online.gipermarket.kg, aMart.kg, Kampa.kg, Namba Food) surfaced 4 more candidates but none could be verified working this round -- see 'discovered'. Single-source dependency is the biggest remaining gap; worth a dedicated follow-up with Playwright + a Kyrgyz-facing IP.</t>
        </is>
      </c>
    </row>
    <row r="55">
      <c r="A55" s="13" t="inlineStr">
        <is>
          <t>eca</t>
        </is>
      </c>
      <c r="B55" s="13" t="inlineStr">
        <is>
          <t>hungary</t>
        </is>
      </c>
      <c r="C55" s="13" t="n">
        <v>1</v>
      </c>
      <c r="D55" s="13" t="n">
        <v>70</v>
      </c>
      <c r="E55" s="13" t="n">
        <v>25</v>
      </c>
      <c r="F55" s="13" t="inlineStr"/>
      <c r="G55" s="13" t="inlineStr">
        <is>
          <t>Only Coop Online confirmed (OpenCart, 40 product links, HUF prices) and it is explicitly shelf-stable-only (no fresh) per its own CSV note. Arfigyelo (the statutory GVH price DB -- CSV's single most valuable source in the whole project) and Kifli.hu (Rohlik stack) both need Playwright/API work not completed this round; ROKSH and Auchan Hungary show price data in the payload but no clean product-URL pattern was isolated in time.</t>
        </is>
      </c>
    </row>
    <row r="56">
      <c r="A56" s="13" t="inlineStr">
        <is>
          <t>eca</t>
        </is>
      </c>
      <c r="B56" s="13" t="inlineStr">
        <is>
          <t>france</t>
        </is>
      </c>
      <c r="C56" s="13" t="n">
        <v>2</v>
      </c>
      <c r="D56" s="13" t="n">
        <v>70</v>
      </c>
      <c r="E56" s="13" t="n">
        <v>25</v>
      </c>
      <c r="F56" s="13" t="inlineStr">
        <is>
          <t>All of the major French hypermarket/supermarket chains (Carrefour, Auchan, Leclerc, Intermarche, Casino, Monoprix, Franprix, Picard, Courses U) are blocked, ambiguous, or unconfirmed - only the niche organic-membership player is solidly confirmed. Auchan Drive's clean 200 is the fastest next win.</t>
        </is>
      </c>
      <c r="G56" s="13" t="inlineStr">
        <is>
          <t>La Fourche (70, confirmed real prices, organic membership model per CSV) is the only counted source - narrower assortment than a full hypermarket. Auchan Drive returned 200 (not blocked, contrary to its CSV SUSPECT label) and Casino.fr is ambiguous (403 status but real Vue-SSR content) but neither yielded price evidence within budget.</t>
        </is>
      </c>
    </row>
    <row r="57">
      <c r="A57" s="13" t="inlineStr">
        <is>
          <t>eca</t>
        </is>
      </c>
      <c r="B57" s="13" t="inlineStr">
        <is>
          <t>switzerland</t>
        </is>
      </c>
      <c r="C57" s="13" t="n">
        <v>2</v>
      </c>
      <c r="D57" s="13" t="n">
        <v>60</v>
      </c>
      <c r="E57" s="13" t="n">
        <v>22</v>
      </c>
      <c r="F57" s="13" t="inlineStr">
        <is>
          <t>Migros and Coop.ch (the actual Swiss duopoly, ~40,000+ combined SKUs) are both blocked - this is the single largest coverage loss in the whole shard; a DataDome/WAF bypass effort would be worth prioritizing given Switzerland's economic weight in ECA.</t>
        </is>
      </c>
      <c r="G57" s="13" t="inlineStr">
        <is>
          <t>Only Lidl Schweiz (60, confirmed discounter prices) has counted leaf credit. The two national leaders (Migros, Coop.ch) are both hard-blocked (DataDome / shared WAF interstitial), which is a major loss since coop.ch explicitly matches in-store prices online per CSV. Rappn's basket-comparison data was not resolved to per-SKU level.</t>
        </is>
      </c>
    </row>
    <row r="58">
      <c r="A58" s="13" t="inlineStr">
        <is>
          <t>eca</t>
        </is>
      </c>
      <c r="B58" s="13" t="inlineStr">
        <is>
          <t>greece</t>
        </is>
      </c>
      <c r="C58" s="13" t="n">
        <v>0</v>
      </c>
      <c r="D58" s="13" t="n">
        <v>10</v>
      </c>
      <c r="E58" s="13" t="n">
        <v>4</v>
      </c>
      <c r="F58" s="13" t="inlineStr"/>
      <c r="G58" s="13" t="inlineStr">
        <is>
          <t>Heaviest wall in the whole shard: PosoKanei.gov.gr (the CSV's single most valuable ECA source) 403s with no CDN fingerprint (likely a Greece-only IP allowlist); AB Vassilopoulos is Akamai-blocked; Sklavenitis, My Market, Masoutis are all curl-403; efood.gr is Cloudflare-challenged; Lidl Greece is confirmed leaflet-only (no real catalogue); Chalkiadakis is a dead 1990s-era site. Zero retailer_sku sources confirmed this round despite Greece having the strongest documented candidates in the whole shard on paper.</t>
        </is>
      </c>
    </row>
    <row r="59">
      <c r="A59" s="13" t="inlineStr">
        <is>
          <t>eca</t>
        </is>
      </c>
      <c r="B59" s="13" t="inlineStr">
        <is>
          <t>norway</t>
        </is>
      </c>
      <c r="C59" s="13" t="n">
        <v>1</v>
      </c>
      <c r="D59" s="13" t="n">
        <v>9</v>
      </c>
      <c r="E59" s="13" t="n">
        <v>3</v>
      </c>
      <c r="F59" s="13" t="inlineStr">
        <is>
          <t>General grocery (fresh, dairy, meat, bakery) entirely unconfirmed - Meny's /varer route already resolves (not 404), making it the fastest next win.</t>
        </is>
      </c>
      <c r="G59" s="13" t="inlineStr">
        <is>
          <t>Only Vinmonopolet has confirmed category evidence (state alcohol monopoly, ~9 COICOP-02 alcohol leaves). Coop Norge, Spar NO, and Meny are all real national chains returning 200 with zero block signal, but their homepages carry no product/category data in static HTML (fully client-rendered) - per the brief's strict 'count what you saw' rule these are not credited today even though structurally they would likely reach 120-160 leaves each once resolved.</t>
        </is>
      </c>
    </row>
    <row r="60">
      <c r="A60" s="13" t="inlineStr">
        <is>
          <t>eca</t>
        </is>
      </c>
      <c r="B60" s="13" t="inlineStr">
        <is>
          <t>cyprus</t>
        </is>
      </c>
      <c r="C60" s="13" t="n">
        <v>0</v>
      </c>
      <c r="D60" s="13" t="n">
        <v>5</v>
      </c>
      <c r="E60" s="13" t="n">
        <v>2</v>
      </c>
      <c r="F60" s="13" t="inlineStr"/>
      <c r="G60" s="13" t="inlineStr">
        <is>
          <t>Zero confirmed retailer_sku sources: Alphamega and SupermarketCy are Cloudflare-walled, Sklavenitis Cyprus's original domain is parked, its successor domain (via Papantoniou redirect) has a WooCommerce theme but no exposed Store API and no visible catalogue, Metro Cyprus shows no e-commerce on its homepage. Biggest remaining gap in this shard.</t>
        </is>
      </c>
    </row>
    <row r="61">
      <c r="A61" s="13" t="inlineStr">
        <is>
          <t>eca</t>
        </is>
      </c>
      <c r="B61" s="13" t="inlineStr">
        <is>
          <t>luxembourg</t>
        </is>
      </c>
      <c r="C61" s="13" t="n">
        <v>0</v>
      </c>
      <c r="D61" s="13" t="n">
        <v>5</v>
      </c>
      <c r="E61" s="13" t="n">
        <v>2</v>
      </c>
      <c r="F61" s="13" t="inlineStr"/>
      <c r="G61" s="13" t="inlineStr">
        <is>
          <t>Zero confirmed retailer_sku sources out of 5 shard candidates: Auchan and Delhaize are curl-403, Cactus is behind an F5 BIG-IP ASM WAF rejection page (new blocker class this run), Match Luxembourg timed out, and Pall Center has a WooCommerce theme but no registered Store API route and no visible catalogue on its homepage. Total gap alongside Cyprus, Greece and Ireland; a tiny, rich, heavily-WAF'd EU market.</t>
        </is>
      </c>
    </row>
    <row r="62">
      <c r="A62" s="13" t="inlineStr">
        <is>
          <t>eca</t>
        </is>
      </c>
      <c r="B62" s="13" t="inlineStr">
        <is>
          <t>belgium</t>
        </is>
      </c>
      <c r="C62" s="13" t="n">
        <v>2</v>
      </c>
      <c r="D62" s="13" t="n">
        <v>0</v>
      </c>
      <c r="E62" s="13" t="n">
        <v>0</v>
      </c>
      <c r="F62" s="13" t="inlineStr">
        <is>
          <t>No confirmed F&amp;B leaf coverage for Belgium at all yet - Colruyt.be (the price leader with a lowest-price guarantee per CSV) is the highest-value next probe.</t>
        </is>
      </c>
      <c r="G62" s="13" t="inlineStr">
        <is>
          <t>Cora is structurally dead (chain closed Jan 2026). AH, Delhaize, Carrefour Belgium are all hard-blocked (Akamai/Cloudflare). Spar Colruyt and Colruyt.be both return 200 with no block signal but no price/category evidence was captured within budget, so zero leaves are counted today despite 2 nominally 'viable' (not-blocked) sources.</t>
        </is>
      </c>
    </row>
    <row r="63">
      <c r="A63" s="13" t="inlineStr">
        <is>
          <t>eca</t>
        </is>
      </c>
      <c r="B63" s="13" t="inlineStr">
        <is>
          <t>sweden</t>
        </is>
      </c>
      <c r="C63" s="13" t="n">
        <v>0</v>
      </c>
      <c r="D63" s="13" t="n">
        <v>0</v>
      </c>
      <c r="E63" s="13" t="n">
        <v>0</v>
      </c>
      <c r="F63" s="13" t="inlineStr">
        <is>
          <t>Sweden currently has zero confirmed retailer_sku sources in this shard. Coop and ICA are the best unconfirmed leads (not blocked, just need a store-select + category flow) and were not in this agent's flagged discovery list, so no net-new search was attempted -- worth flagging for a dedicated follow-up.</t>
        </is>
      </c>
      <c r="G63" s="13" t="inlineStr">
        <is>
          <t>No source in the Swedish shard could be confirmed working: Hemkop and Willys are explicit CloudFront country-geo-fenced, Mathem times out at the TCP layer, and Coop/ICA return 200 but no catalog reachable from a cold homepage fetch (ICA structurally requires store selection first per shard notes).</t>
        </is>
      </c>
    </row>
    <row r="64">
      <c r="A64" s="13" t="inlineStr">
        <is>
          <t>eca</t>
        </is>
      </c>
      <c r="B64" s="13" t="inlineStr">
        <is>
          <t>denmark</t>
        </is>
      </c>
      <c r="C64" s="13" t="n">
        <v>3</v>
      </c>
      <c r="D64" s="13" t="n">
        <v>0</v>
      </c>
      <c r="E64" s="13" t="n">
        <v>0</v>
      </c>
      <c r="F64" s="13" t="inlineStr">
        <is>
          <t>Zero confirmed F&amp;B coverage - all 3 open candidates are genuine national chains that almost certainly reach 100+ leaves once a correct category/product URL is found; this is a pure follow-up-budget gap, not a structural block.</t>
        </is>
      </c>
      <c r="G64" s="13" t="inlineStr">
        <is>
          <t>Bilka ToGo, Coop.dk MAD, and Foetex all return 200 (Salling Group / Coop platforms, Nuxt-based) with zero Cloudflare/WAF block, but no category or price evidence was captured on their homepages within budget - all need a category-page follow-up before any leaf can be credited.</t>
        </is>
      </c>
    </row>
    <row r="65">
      <c r="A65" s="13" t="inlineStr">
        <is>
          <t>eca</t>
        </is>
      </c>
      <c r="B65" s="13" t="inlineStr">
        <is>
          <t>united_kingdom</t>
        </is>
      </c>
      <c r="C65" s="13" t="n">
        <v>0</v>
      </c>
      <c r="D65" s="13" t="n">
        <v>0</v>
      </c>
      <c r="E65" s="13" t="n">
        <v>0</v>
      </c>
      <c r="F65" s="13" t="inlineStr">
        <is>
          <t>The entire UK grocery retail surface in this shard is walled. Morrisons is the one open door worth a follow-up with a correct category URL; otherwise this market needs a residential-proxy/stealth-Playwright investment before any retailer_sku source is viable.</t>
        </is>
      </c>
      <c r="G65" s="13" t="inlineStr">
        <is>
          <t>Every confirmed-reachable UK grocery chain in the shard is hard-walled: AWS WAF (Ocado), Incapsula (Co-op), Distil-style bot-challenge (ASDA), Akamai (Iceland/Sainsbury's/Tesco), or TCP-layer timeout (Waitrose). Morrisons alone returned 200 without a WAF page but no confirmed product price was extracted.</t>
        </is>
      </c>
    </row>
    <row r="66">
      <c r="A66" s="13" t="inlineStr">
        <is>
          <t>eca</t>
        </is>
      </c>
      <c r="B66" s="13" t="inlineStr">
        <is>
          <t>ireland</t>
        </is>
      </c>
      <c r="C66" s="13" t="n">
        <v>0</v>
      </c>
      <c r="D66" s="13" t="n">
        <v>0</v>
      </c>
      <c r="E66" s="13" t="n">
        <v>0</v>
      </c>
      <c r="F66" s="13" t="inlineStr"/>
      <c r="G66" s="13" t="inlineStr">
        <is>
          <t>Zero retailer_sku catalogues confirmed: all 4 direct chains (Dunnes, Aldi, SuperValu, Tesco) are curl-403 and Lidl is confirmed leaflet-only. MasterMarket (the CSV's recommended workaround for Aldi/Lidl, 8,089 products across all 5 chains) is a pure client-rendered shell this round. supermarket.ie and Quidu are real basket-comparison tools with genuine retailer-sourced EUR data but at basket/category-total grain, not itemized catalogue -- tagged aggregate_proxy and excluded from the leaf count per the brief's rule.</t>
        </is>
      </c>
    </row>
    <row r="67">
      <c r="A67" s="13" t="inlineStr">
        <is>
          <t>eca</t>
        </is>
      </c>
      <c r="B67" s="13" t="inlineStr">
        <is>
          <t>liechtenstein</t>
        </is>
      </c>
      <c r="C67" s="13" t="n">
        <v>0</v>
      </c>
      <c r="D67" s="13" t="n">
        <v>0</v>
      </c>
      <c r="E67" s="13" t="n">
        <v>0</v>
      </c>
      <c r="F67" s="13" t="inlineStr">
        <is>
          <t>Everything - this is a structural zero. The only path forward is unblocking coop.ch or migros.ch (which would also solve Switzerland's biggest gap) since Liechtenstein itself has no addressable retail web presence to onboard.</t>
        </is>
      </c>
      <c r="G67" s="13" t="inlineStr">
        <is>
          <t>Liechtenstein has no domestic supermarket e-commerce sector - it is served entirely by Swiss (coop.ch, migros.ch, both blocked) and to a lesser extent Austrian retailers whose catalogs are not LI-specific. Targeted German-language discovery search found only farm-box subscription services (Hofladen Express, Gmueslada) without itemized online catalogs.</t>
        </is>
      </c>
    </row>
    <row r="68">
      <c r="A68" s="13" t="inlineStr">
        <is>
          <t>lac</t>
        </is>
      </c>
      <c r="B68" s="13" t="inlineStr">
        <is>
          <t>mexico</t>
        </is>
      </c>
      <c r="C68" s="13" t="n">
        <v>2</v>
      </c>
      <c r="D68" s="13" t="n">
        <v>220</v>
      </c>
      <c r="E68" s="13" t="n">
        <v>79</v>
      </c>
      <c r="F68" s="13" t="inlineStr">
        <is>
          <t>Live/wholesale seafood and some ethnic/niche leaves not clearly present in either source's sampled categories.</t>
        </is>
      </c>
      <c r="G68" s="13" t="inlineStr">
        <is>
          <t>Chedraui VTEX (~160, full-line incl. fresh produce) + PROFECO QQP official_avg (~180, national multi-chain comparative survey spanning nearly every div-01/02 category incl. fresh produce, meat, dairy, eggs, bread, tortillas, oils, sugar, coffee, beer, wine). Overlap between the two is high on packaged goods but PROFECO's category list plus its Fresh Label/produce coverage extends past what one retailer's VTEX catalog shows. Combined estimate 220/279 is conservative given the scale of PROFECO alone.</t>
        </is>
      </c>
    </row>
    <row r="69">
      <c r="A69" s="13" t="inlineStr">
        <is>
          <t>lac</t>
        </is>
      </c>
      <c r="B69" s="13" t="inlineStr">
        <is>
          <t>argentina</t>
        </is>
      </c>
      <c r="C69" s="13" t="n">
        <v>5</v>
      </c>
      <c r="D69" s="13" t="n">
        <v>205</v>
      </c>
      <c r="E69" s="13" t="n">
        <v>73</v>
      </c>
      <c r="F69" s="13" t="inlineStr">
        <is>
          <t>No official_avg / NSO canasta basica or Mercado Central de Buenos Aires wholesale feed chased yet -- would add fresh produce/tuber depth beyond what hypermarkets stock.</t>
        </is>
      </c>
      <c r="G69" s="13" t="inlineStr">
        <is>
          <t>5 VTEX TIER_1B hits on the first probe pass: Jumbo/Disco/Vea (Cencosud AR, same tenant, 3 banners) + Carrefour AR (independent tenant) + Dia AR (discount). Two independent full-line hypermarket tenants (Cencosud, Carrefour) each individually in the 150-160 range; union across 5 banners with heavy overlap estimated at 205/279.</t>
        </is>
      </c>
    </row>
    <row r="70">
      <c r="A70" s="13" t="inlineStr">
        <is>
          <t>lac</t>
        </is>
      </c>
      <c r="B70" s="13" t="inlineStr">
        <is>
          <t>peru</t>
        </is>
      </c>
      <c r="C70" s="13" t="n">
        <v>4</v>
      </c>
      <c r="D70" s="13" t="n">
        <v>195</v>
      </c>
      <c r="E70" s="13" t="n">
        <v>70</v>
      </c>
      <c r="F70" s="13" t="inlineStr">
        <is>
          <t>Makro Peru (wholesale, would pair with retail for a wholesale-retail spread) is walled behind a FingerprintJS bot-gate; Tottus/Vivanda need a fresh endpoint discovery pass.</t>
        </is>
      </c>
      <c r="G70" s="13" t="inlineStr">
        <is>
          <t>Three full-line VTEX supermarket chains (Metro ~160, Wong ~170, plazaVea ~160) converge heavily on the same SKU set but each adds a premium/discount/mass-market increment; combined estimated ~195. Inkafarma (AWS-API-backed pharmacy) adds a small COICOP-6-adjacent F&amp;B tail (~20, already folded into the total via overlap). The WFP panel for Peru exists but is STALE (data.humdata.org wfp-food-prices-for-peru, last observation 2022-06-15, over 4 years old) — excluded per the brief's stale-panel rule. Tottus and Vivanda (same Falabella/Intercorp-adjacent group as the working chains) appear to have migrated off the classic VTEX catalog API onto a Next.js frontend; their CSV-listed endpoints no longer work.</t>
        </is>
      </c>
    </row>
    <row r="71">
      <c r="A71" s="13" t="inlineStr">
        <is>
          <t>lac</t>
        </is>
      </c>
      <c r="B71" s="13" t="inlineStr">
        <is>
          <t>nicaragua</t>
        </is>
      </c>
      <c r="C71" s="13" t="n">
        <v>3</v>
      </c>
      <c r="D71" s="13" t="n">
        <v>190</v>
      </c>
      <c r="E71" s="13" t="n">
        <v>68</v>
      </c>
      <c r="F71" s="13" t="inlineStr">
        <is>
          <t>No live wholesale grain/tuber feed beyond WFP's narrow commodity list.</t>
        </is>
      </c>
      <c r="G71" s="13" t="inlineStr">
        <is>
          <t>Two independent VTEX supermarket tenants (Walmart NI ~150, La Union ~140, meaningful overlap discounted) plus a live WFP retail panel (~35, mostly fresh produce not on either retailer's sampled catalog).</t>
        </is>
      </c>
    </row>
    <row r="72">
      <c r="A72" s="13" t="inlineStr">
        <is>
          <t>lac</t>
        </is>
      </c>
      <c r="B72" s="13" t="inlineStr">
        <is>
          <t>guatemala</t>
        </is>
      </c>
      <c r="C72" s="13" t="n">
        <v>4</v>
      </c>
      <c r="D72" s="13" t="n">
        <v>190</v>
      </c>
      <c r="E72" s="13" t="n">
        <v>68</v>
      </c>
      <c r="F72" s="13" t="inlineStr">
        <is>
          <t>No confirmed live/wet-market fish source beyond WFP's limited commodity list; DIACO canasta-basica monitoring exists but is not published as structured data (social-media only).</t>
        </is>
      </c>
      <c r="G72" s="13" t="inlineStr">
        <is>
          <t>3 VTEX full-line supermarkets (La Torre, Paiz, MaxiDespensa — all Walmart-Centroamerica banners with heavy assortment overlap, so combined incremental beyond the single strongest ~160 is modest) plus WFP wholesale (La Terminal market) which reaches a distinct fresh/wholesale set. Estimate reflects high overlap discount across the 3 retailers.</t>
        </is>
      </c>
    </row>
    <row r="73">
      <c r="A73" s="13" t="inlineStr">
        <is>
          <t>lac</t>
        </is>
      </c>
      <c r="B73" s="13" t="inlineStr">
        <is>
          <t>jamaica</t>
        </is>
      </c>
      <c r="C73" s="13" t="n">
        <v>4</v>
      </c>
      <c r="D73" s="13" t="n">
        <v>175</v>
      </c>
      <c r="E73" s="13" t="n">
        <v>63</v>
      </c>
      <c r="F73" s="13" t="inlineStr">
        <is>
          <t>GroceryList Jamaica remains correctly excluded (Florida-based remittance service); no genuine official_avg feed found.</t>
        </is>
      </c>
      <c r="G73" s="13" t="inlineStr">
        <is>
          <t>CoolMarket (Magento, 591+ SKUs, CSV's own 'best Jamaica source' call confirmed) ~170 anchors; Sampars (wholesale/self-service, per-kg meat) and Store To Door (full range, per-lb fresh pricing, mixed with diaspora barrel-shipping SKUs to filter out) each add moderate unique increments; Virtual Mart (groceries+hardware) adds a smaller tail. No WFP panel exists for Jamaica; STATIN (Jamaica's NSO) publishes a Consumer Price Index but only as an index number, not commodity-level average retail prices, so it does not count as coverage under the aggregate_proxy exclusion.</t>
        </is>
      </c>
    </row>
    <row r="74">
      <c r="A74" s="13" t="inlineStr">
        <is>
          <t>lac</t>
        </is>
      </c>
      <c r="B74" s="13" t="inlineStr">
        <is>
          <t>el_salvador</t>
        </is>
      </c>
      <c r="C74" s="13" t="n">
        <v>2</v>
      </c>
      <c r="D74" s="13" t="n">
        <v>175</v>
      </c>
      <c r="E74" s="13" t="n">
        <v>63</v>
      </c>
      <c r="F74" s="13" t="inlineStr">
        <is>
          <t>Super Selectos (largest SV chain by store count) not confirmed as VTEX; worth a Tier-2/API-sniff follow-up.</t>
        </is>
      </c>
      <c r="G74" s="13" t="inlineStr">
        <is>
          <t>Walmart CA (~155, full-line incl. meat) plus a live WFP panel (wholesale+retail, ~40 mostly-non-overlapping fresh/grain leaves) confirmed fresh to 2026-06-15.</t>
        </is>
      </c>
    </row>
    <row r="75">
      <c r="A75" s="13" t="inlineStr">
        <is>
          <t>lac</t>
        </is>
      </c>
      <c r="B75" s="13" t="inlineStr">
        <is>
          <t>bolivia</t>
        </is>
      </c>
      <c r="C75" s="13" t="n">
        <v>5</v>
      </c>
      <c r="D75" s="13" t="n">
        <v>175</v>
      </c>
      <c r="E75" s="13" t="n">
        <v>63</v>
      </c>
      <c r="F75" s="13" t="inlineStr">
        <is>
          <t>PedidosYa Bolivia is Cloudflare-walled; otherwise the strongest-covered of the 8 countries.</t>
        </is>
      </c>
      <c r="G75" s="13" t="inlineStr">
        <is>
          <t>Hipermaxi (SSR full supermarket, meat+beverages confirmed) ~160 is the anchor; Fidalga adds staple-basket depth (~110 own, ~10 unique); Compro.bo/Amarket/Farmacorp add smaller marginal increments. Live WFP panel (data.humdata.org wfp-food-prices-for-bolivia-plurinational-state-of, 24,607 rows through 2026-06-15) covers 27 commodity variants (mostly rice grades, bread, eggs, milk, potato, quinoa, sugar) but nearly all overlap with what the supermarkets already carry, so it adds only ~5 unique leaves net.</t>
        </is>
      </c>
    </row>
    <row r="76">
      <c r="A76" s="13" t="inlineStr">
        <is>
          <t>lac</t>
        </is>
      </c>
      <c r="B76" s="13" t="inlineStr">
        <is>
          <t>paraguay</t>
        </is>
      </c>
      <c r="C76" s="13" t="n">
        <v>2</v>
      </c>
      <c r="D76" s="13" t="n">
        <v>175</v>
      </c>
      <c r="E76" s="13" t="n">
        <v>63</v>
      </c>
      <c r="F76" s="13" t="inlineStr">
        <is>
          <t>Superseis (a chain repeatedly cited as PY's top-quality/most-prestigious grocery brand) is Next.js and returns only an SPA shell to curl -- needs a Playwright network-trace pass to find its JSON endpoint before it can be onboarded.</t>
        </is>
      </c>
      <c r="G76" s="13" t="inlineStr">
        <is>
          <t>Casa Rica and Arete are both full-line supermarkets on the same custom PY platform vendor (identical /catalogo/*-c&lt;id&gt; URL shape and identical JSON error string on the non-existent API path), each individually estimated ~150-165 given 162-261 category slugs spanning meat/dairy/produce/deli/beverages. High overlap expected since same platform family; union estimated 175/279.</t>
        </is>
      </c>
    </row>
    <row r="77">
      <c r="A77" s="13" t="inlineStr">
        <is>
          <t>lac</t>
        </is>
      </c>
      <c r="B77" s="13" t="inlineStr">
        <is>
          <t>ecuador</t>
        </is>
      </c>
      <c r="C77" s="13" t="n">
        <v>2</v>
      </c>
      <c r="D77" s="13" t="n">
        <v>175</v>
      </c>
      <c r="E77" s="13" t="n">
        <v>63</v>
      </c>
      <c r="F77" s="13" t="inlineStr">
        <is>
          <t>Only one retailer verified (Tia); Mi Comisariato, Santa Maria and Coral Hipermercado (the other big-3 EC chains cited repeatedly in search results) were not probed this pass.</t>
        </is>
      </c>
      <c r="G77" s="13" t="inlineStr">
        <is>
          <t>Tia's Magento SSR category tree alone spans nearly every div-01 aisle (dairy, oils, grains, snacks, canned goods, produce, beverages) -- treated as ~165 on its own given breadth is confirmed structurally (not just sampled). WFP Ecuador HDX panel is live (max date 2026-06-15, 71 wholesale commodities) and adds fresh/wholesale-only leaves. Union estimated 175/279.</t>
        </is>
      </c>
    </row>
    <row r="78">
      <c r="A78" s="13" t="inlineStr">
        <is>
          <t>lac</t>
        </is>
      </c>
      <c r="B78" s="13" t="inlineStr">
        <is>
          <t>colombia</t>
        </is>
      </c>
      <c r="C78" s="13" t="n">
        <v>3</v>
      </c>
      <c r="D78" s="13" t="n">
        <v>175</v>
      </c>
      <c r="E78" s="13" t="n">
        <v>63</v>
      </c>
      <c r="F78" s="13" t="inlineStr">
        <is>
          <t>D1 and Ara (Colombia's two largest hard-discount chains by store count) and Exito (largest overall) not probed this pass; Mercado Libre CO not yet worked as an official-store directory.</t>
        </is>
      </c>
      <c r="G78" s="13" t="inlineStr">
        <is>
          <t>Jumbo Colombia (Cencosud CO flagship, full-line, VTEX) + Euro Supermercados (mid-tier VTEX) + WFP Colombia HDX panel confirmed live (max date 2026-06-15, ~80 wholesale commodities). Union of full-line retail + wholesale fresh/grain feed estimated at 175/279.</t>
        </is>
      </c>
    </row>
    <row r="79">
      <c r="A79" s="13" t="inlineStr">
        <is>
          <t>lac</t>
        </is>
      </c>
      <c r="B79" s="13" t="inlineStr">
        <is>
          <t>puerto_rico</t>
        </is>
      </c>
      <c r="C79" s="13" t="n">
        <v>1</v>
      </c>
      <c r="D79" s="13" t="n">
        <v>170</v>
      </c>
      <c r="E79" s="13" t="n">
        <v>61</v>
      </c>
      <c r="F79" s="13" t="inlineStr">
        <is>
          <t>Amigo/Econo/Pueblo/Supermax (the other major PR chains) appear to be brochure-only; no wholesale/official_avg source found (PR is a US territory so no PROFECO-style agency applies).</t>
        </is>
      </c>
      <c r="G79" s="13" t="inlineStr">
        <is>
          <t>Supermercados Selectos via Freshop: 40 stores, ~17,700 items per store, full-line incl. confirmed fresh produce (platano), fresh meat (pernil de cerdo), dairy, and packaged goods. Single source but unusually deep given the Freshop catalog size.</t>
        </is>
      </c>
    </row>
    <row r="80">
      <c r="A80" s="13" t="inlineStr">
        <is>
          <t>lac</t>
        </is>
      </c>
      <c r="B80" s="13" t="inlineStr">
        <is>
          <t>brazil</t>
        </is>
      </c>
      <c r="C80" s="13" t="n">
        <v>3</v>
      </c>
      <c r="D80" s="13" t="n">
        <v>170</v>
      </c>
      <c r="E80" s="13" t="n">
        <v>61</v>
      </c>
      <c r="F80" s="13" t="inlineStr">
        <is>
          <t>Carrefour Brasil (largest BR grocery tenant) is Cloudflare-hardened (403 on curl); Pao de Acucar's VTEX API path 404s under its Next.js frontend (needs the myvtex.com-origin trick, not yet tried for BR). No CONAB/CEASA wholesale feed chased.</t>
        </is>
      </c>
      <c r="G80" s="13" t="inlineStr">
        <is>
          <t>3 independent VTEX TIER_1B regional full-line chains (Zona Sul/RJ, Savegnago/SP, Mambo/SP), each individually 140-150 with fresh produce/meat confirmed. High category overlap since all are full-line supermarkets; union estimated 170/279.</t>
        </is>
      </c>
    </row>
    <row r="81">
      <c r="A81" s="13" t="inlineStr">
        <is>
          <t>lac</t>
        </is>
      </c>
      <c r="B81" s="13" t="inlineStr">
        <is>
          <t>chile</t>
        </is>
      </c>
      <c r="C81" s="13" t="n">
        <v>3</v>
      </c>
      <c r="D81" s="13" t="n">
        <v>165</v>
      </c>
      <c r="E81" s="13" t="n">
        <v>59</v>
      </c>
      <c r="F81" s="13" t="inlineStr">
        <is>
          <t>Unimarc, Tottus and Lider -- Chile's largest chains by revenue -- are all WAF'd (403/503) on both custom domain and did not yield an open myvtex origin in this pass; that is most of the remaining gap.</t>
        </is>
      </c>
      <c r="G81" s="13" t="inlineStr">
        <is>
          <t>Custom domains for jumbo.cl/santaisabel.cl/unimarc.cl/tottus.cl/lider.cl all blocked or 404 at the edge; the VTEX *.myvtex.com origin bypass (mirroring the Shopify origin trick) unlocked Jumbo CL and Santa Isabel directly, both full-line with fresh confirmed. ODEPA's daily wholesale fruit/veg CSV (79 products, 108,989 rows/year, updated to 2026-07-31) adds ~20 net-new fresh-produce leaves. Union estimated 165/279.</t>
        </is>
      </c>
    </row>
    <row r="82">
      <c r="A82" s="13" t="inlineStr">
        <is>
          <t>lac</t>
        </is>
      </c>
      <c r="B82" s="13" t="inlineStr">
        <is>
          <t>costa_rica</t>
        </is>
      </c>
      <c r="C82" s="13" t="n">
        <v>1</v>
      </c>
      <c r="D82" s="13" t="n">
        <v>160</v>
      </c>
      <c r="E82" s="13" t="n">
        <v>57</v>
      </c>
      <c r="F82" s="13" t="inlineStr">
        <is>
          <t>Automercado (premium chain) and PriceSmart (warehouse club, DR/CR/PA presence) both discovered but not verified — PriceSmart's Bloomreach Discovery SPA needs a Playwright key-extraction pass, high-value if unlocked (adds a distinct warehouse-club assortment across CR/PA/DO simultaneously).</t>
        </is>
      </c>
      <c r="G82" s="13" t="inlineStr">
        <is>
          <t>Single VTEX tenant (Walmart/MasxMenos) but it is CR's widest catalog per market research (~50,000 active SKUs); full-line incl. fresh eggs confirmed.</t>
        </is>
      </c>
    </row>
    <row r="83">
      <c r="A83" s="13" t="inlineStr">
        <is>
          <t>lac</t>
        </is>
      </c>
      <c r="B83" s="13" t="inlineStr">
        <is>
          <t>curacao</t>
        </is>
      </c>
      <c r="C83" s="13" t="n">
        <v>2</v>
      </c>
      <c r="D83" s="13" t="n">
        <v>155</v>
      </c>
      <c r="E83" s="13" t="n">
        <v>56</v>
      </c>
      <c r="F83" s="13" t="inlineStr">
        <is>
          <t>Vreugdenhil (fresh produce/butcher specialist per marketing copy — would be the best fresh-leaf source) has no real website; Centrum's Shopify store is suspended.</t>
        </is>
      </c>
      <c r="G83" s="13" t="inlineStr">
        <is>
          <t>Van den Tweel (Magento GraphQL, ~140, dairy/full-line confirmed) plus Mangusa (WooCommerce, ~120, hypermarket/bulk-leaning) with meaningful assortment overlap discounted for the combined estimate.</t>
        </is>
      </c>
    </row>
    <row r="84">
      <c r="A84" s="13" t="inlineStr">
        <is>
          <t>lac</t>
        </is>
      </c>
      <c r="B84" s="13" t="inlineStr">
        <is>
          <t>honduras</t>
        </is>
      </c>
      <c r="C84" s="13" t="n">
        <v>1</v>
      </c>
      <c r="D84" s="13" t="n">
        <v>155</v>
      </c>
      <c r="E84" s="13" t="n">
        <v>56</v>
      </c>
      <c r="F84" s="13" t="inlineStr">
        <is>
          <t>No live wholesale/official_avg feed; La Colonia (2nd major chain) domain unresolved in this pass.</t>
        </is>
      </c>
      <c r="G84" s="13" t="inlineStr">
        <is>
          <t>Single full-line VTEX supermarket (Walmart HN) with fresh produce confirmed. WFP panel exists but is stale (max date 2022-06-15) and excluded from the estimate per brief's staleness rule.</t>
        </is>
      </c>
    </row>
    <row r="85">
      <c r="A85" s="13" t="inlineStr">
        <is>
          <t>lac</t>
        </is>
      </c>
      <c r="B85" s="13" t="inlineStr">
        <is>
          <t>uruguay</t>
        </is>
      </c>
      <c r="C85" s="13" t="n">
        <v>1</v>
      </c>
      <c r="D85" s="13" t="n">
        <v>150</v>
      </c>
      <c r="E85" s="13" t="n">
        <v>54</v>
      </c>
      <c r="F85" s="13" t="inlineStr">
        <is>
          <t>Disco/Devoto/Geant UY (Cencosud/Casino tenants) all 404 on the custom-domain VTEX path, and the myvtex.com origin trick that worked for Chile returned 'This store is temporarily unavailable' for every UY account name tried (discouy, devoto, geant, etc) -- these are Uruguay's largest chains and are the main gap. Tienda Inglesa and Ta-Ta (also large UY chains) were found via search but not yet probed.</t>
        </is>
      </c>
      <c r="G85" s="13" t="inlineStr">
        <is>
          <t>El Dorado is a full-line VTEX supermarket with fresh produce confirmed (banana). Estimated 150/279 as a single full-line-supermarket data point per the brief's 120-180 heuristic.</t>
        </is>
      </c>
    </row>
    <row r="86">
      <c r="A86" s="13" t="inlineStr">
        <is>
          <t>lac</t>
        </is>
      </c>
      <c r="B86" s="13" t="inlineStr">
        <is>
          <t>dominican_republic</t>
        </is>
      </c>
      <c r="C86" s="13" t="n">
        <v>1</v>
      </c>
      <c r="D86" s="13" t="n">
        <v>150</v>
      </c>
      <c r="E86" s="13" t="n">
        <v>54</v>
      </c>
      <c r="F86" s="13" t="inlineStr">
        <is>
          <t>No live wholesale/official_avg feed; La Sirena connection failed in this pass and needs a domain re-check.</t>
        </is>
      </c>
      <c r="G86" s="13" t="inlineStr">
        <is>
          <t>Supermercados Nacional (Magento GraphQL, full-line) verified. Jumbo DO is Cloudflare-blocked; WFP panel is borderline-stale (max date 2025-02-15) and excluded.</t>
        </is>
      </c>
    </row>
    <row r="87">
      <c r="A87" s="13" t="inlineStr">
        <is>
          <t>lac</t>
        </is>
      </c>
      <c r="B87" s="13" t="inlineStr">
        <is>
          <t>trinidad_and_tobago</t>
        </is>
      </c>
      <c r="C87" s="13" t="n">
        <v>3</v>
      </c>
      <c r="D87" s="13" t="n">
        <v>150</v>
      </c>
      <c r="E87" s="13" t="n">
        <v>54</v>
      </c>
      <c r="F87" s="13" t="inlineStr">
        <is>
          <t>Gofuh is login-walled (Massy-linked super-app); CSO stats-office access unresolved from this network.</t>
        </is>
      </c>
      <c r="G87" s="13" t="inlineStr">
        <is>
          <t>Door To Door West (WooCommerce, full range with per-lb fresh pricing) ~120 anchors; D'Market Movers (Shopify, local produce/fish focus, 184 SKUs) adds ~20 unique fresh items; TriniCart (Supabase-backed, 173 SKUs, 'fresh produce, butcher cuts, pantry' per its own description) adds a smaller tail. No WFP panel exists for T&amp;T; a FAOSTAT aggregate (tto-faostat-food-prices) exists on HDX but is index-level not SKU-level. The Central Statistical Office (cso.gov.tt) returned HTTP 403 from this network (Cloudflare-fronted, possibly a country-wide IP allowlist rather than a hard WAF) — worth a from-Trinidad re-probe.</t>
        </is>
      </c>
    </row>
    <row r="88">
      <c r="A88" s="13" t="inlineStr">
        <is>
          <t>lac</t>
        </is>
      </c>
      <c r="B88" s="13" t="inlineStr">
        <is>
          <t>panama</t>
        </is>
      </c>
      <c r="C88" s="13" t="n">
        <v>1</v>
      </c>
      <c r="D88" s="13" t="n">
        <v>150</v>
      </c>
      <c r="E88" s="13" t="n">
        <v>54</v>
      </c>
      <c r="F88" s="13" t="inlineStr">
        <is>
          <t>Super 99 (PA's most locations) and El Rey not yet verified; PriceSmart PA same Bloomreach blocker as CR/DO.</t>
        </is>
      </c>
      <c r="G88" s="13" t="inlineStr">
        <is>
          <t>Riba Smith (Magento GraphQL, full-line premium chain) verified. Super 99 GraphQL is open but not yet returning results within probe budget — not counted.</t>
        </is>
      </c>
    </row>
    <row r="89">
      <c r="A89" s="13" t="inlineStr">
        <is>
          <t>lac</t>
        </is>
      </c>
      <c r="B89" s="13" t="inlineStr">
        <is>
          <t>barbados</t>
        </is>
      </c>
      <c r="C89" s="13" t="n">
        <v>3</v>
      </c>
      <c r="D89" s="13" t="n">
        <v>150</v>
      </c>
      <c r="E89" s="13" t="n">
        <v>54</v>
      </c>
      <c r="F89" s="13" t="inlineStr">
        <is>
          <t>No wholesale or NSO average-price feed; fresh produce/fish/tubers rely entirely on whatever the 3 retail sources happen to stock.</t>
        </is>
      </c>
      <c r="G89" s="13" t="inlineStr">
        <is>
          <t>Massy Stores (WooCommerce, real supermarket chain) ~130 + PriceSmart (warehouse-club bakery/grocery, Playwright-only) adds ~20 unique + Aone (Shopify, general-merchandise-leaning) adds ~10 unique. No official_avg/WFP feed exists for Barbados (checked data.humdata.org, no wfp-food-prices-for-barbados panel; Barbados Statistical Service site unreachable/timed out).</t>
        </is>
      </c>
    </row>
    <row r="90">
      <c r="A90" s="13" t="inlineStr">
        <is>
          <t>lac</t>
        </is>
      </c>
      <c r="B90" s="13" t="inlineStr">
        <is>
          <t>guyana</t>
        </is>
      </c>
      <c r="C90" s="13" t="n">
        <v>2</v>
      </c>
      <c r="D90" s="13" t="n">
        <v>145</v>
      </c>
      <c r="E90" s="13" t="n">
        <v>52</v>
      </c>
      <c r="F90" s="13" t="inlineStr">
        <is>
          <t>Two SUSPECT React-SPA candidates (CaribeEats, ZIP.GY) unresolved; would need a dedicated Playwright network-sniff round.</t>
        </is>
      </c>
      <c r="G90" s="13" t="inlineStr">
        <is>
          <t>Guystar (Zen Cart, explicit deep meat/seafood taxonomy per site keywords) ~140 anchors; gtPlaza (PrestaShop, tea/coffee/cocoa/dairy) adds ~10-15 unique dry-goods/beverage leaves. CaribeEats and ZIP.GY are both React SPAs left inconclusive (no productive JSON endpoint found within budget) — worth a follow-up Playwright pass. No WFP panel exists for Guyana; a FAOSTAT aggregate dataset (guy-faostat-food-prices) exists on HDX but is national-index-level, not SKU-level, so not counted as coverage.</t>
        </is>
      </c>
    </row>
    <row r="91">
      <c r="A91" s="13" t="inlineStr">
        <is>
          <t>lac</t>
        </is>
      </c>
      <c r="B91" s="13" t="inlineStr">
        <is>
          <t>aruba</t>
        </is>
      </c>
      <c r="C91" s="13" t="n">
        <v>1</v>
      </c>
      <c r="D91" s="13" t="n">
        <v>140</v>
      </c>
      <c r="E91" s="13" t="n">
        <v>50</v>
      </c>
      <c r="F91" s="13" t="inlineStr">
        <is>
          <t>Super Food Aruba (likely AW's largest-volume chain) is an SPA with no open API found; would add meaningful incremental coverage if unlocked via Playwright.</t>
        </is>
      </c>
      <c r="G91" s="13" t="inlineStr">
        <is>
          <t>Ling &amp; Sons (Shopify, 1,850 products, fresh produce confirmed) verified as Aruba's premium full-line grocery chain.</t>
        </is>
      </c>
    </row>
    <row r="92">
      <c r="A92" s="13" t="inlineStr">
        <is>
          <t>lac</t>
        </is>
      </c>
      <c r="B92" s="13" t="inlineStr">
        <is>
          <t>british_virgin_islands</t>
        </is>
      </c>
      <c r="C92" s="13" t="n">
        <v>1</v>
      </c>
      <c r="D92" s="13" t="n">
        <v>130</v>
      </c>
      <c r="E92" s="13" t="n">
        <v>47</v>
      </c>
      <c r="F92" s="13" t="inlineStr">
        <is>
          <t>Only one of BVI's ~3 chains (Bobby's, Riteway, Buck's) verified; fresh produce depth not directly confirmed in the sampled category page.</t>
        </is>
      </c>
      <c r="G92" s="13" t="inlineStr">
        <is>
          <t>RiteWay Food Markets verified Tier 1A via SSR category pages (meat, dairy, bakery, beverages, spirits categories all present with real prices).</t>
        </is>
      </c>
    </row>
    <row r="93">
      <c r="A93" s="13" t="inlineStr">
        <is>
          <t>lac</t>
        </is>
      </c>
      <c r="B93" s="13" t="inlineStr">
        <is>
          <t>venezuela_rb</t>
        </is>
      </c>
      <c r="C93" s="13" t="n">
        <v>2</v>
      </c>
      <c r="D93" s="13" t="n">
        <v>130</v>
      </c>
      <c r="E93" s="13" t="n">
        <v>47</v>
      </c>
      <c r="F93" s="13" t="inlineStr">
        <is>
          <t>despensallena.com (3,000+ products, instant Caracas delivery) is Cloudflare-blocked (403); Central Madeirense and Excelsior Gama (VE's two largest physical supermarket chains) were not located/probed this pass. WFP panel needs a fresher alternative or manual re-check for an update past May 2025.</t>
        </is>
      </c>
      <c r="G93" s="13" t="inlineStr">
        <is>
          <t>Mafabre (established Caracas food distributor, WooCommerce, rice product confirmed) and Supermercados Pao Trolado (WooCommerce, general household+grocery, first-page sample was non-food) are both curated online delivery stores rather than full hypermarkets -- estimated thinner on fresh perishables than a full-line supermarket, hence below the 150-165 range used elsewhere. WFP Venezuela HDX panel exists but its max observation date is 2025-05-15 (~15 months stale vs today 2026-08-06) so it is excluded from coverage per the brief's stale-panel rule.</t>
        </is>
      </c>
    </row>
    <row r="94">
      <c r="A94" s="13" t="inlineStr">
        <is>
          <t>lac</t>
        </is>
      </c>
      <c r="B94" s="13" t="inlineStr">
        <is>
          <t>cayman_islands</t>
        </is>
      </c>
      <c r="C94" s="13" t="n">
        <v>1</v>
      </c>
      <c r="D94" s="13" t="n">
        <v>110</v>
      </c>
      <c r="E94" s="13" t="n">
        <v>39</v>
      </c>
      <c r="F94" s="13" t="inlineStr">
        <is>
          <t>Foster's Food Fair (Cayman's largest chain) and Kirk Market not probed; currency for Cost-U-Less unconfirmed (USD assumed, KYD is official).</t>
        </is>
      </c>
      <c r="G94" s="13" t="inlineStr">
        <is>
          <t>Cost-U-Less Grand Cayman verified via Freshop (1,574 items), warehouse-club format so narrower per-leaf depth than a full-line supermarket despite broad category spread.</t>
        </is>
      </c>
    </row>
    <row r="95">
      <c r="A95" s="13" t="inlineStr">
        <is>
          <t>lac</t>
        </is>
      </c>
      <c r="B95" s="13" t="inlineStr">
        <is>
          <t>virgin_islands_us</t>
        </is>
      </c>
      <c r="C95" s="13" t="n">
        <v>2</v>
      </c>
      <c r="D95" s="13" t="n">
        <v>110</v>
      </c>
      <c r="E95" s="13" t="n">
        <v>39</v>
      </c>
      <c r="F95" s="13" t="inlineStr">
        <is>
          <t>Pueblo/Plaza Extra (other USVI chains) not probed; warehouse-club format limits per-leaf depth versus a full-line supermarket.</t>
        </is>
      </c>
      <c r="G95" s="13" t="inlineStr">
        <is>
          <t>Cost-U-Less St. Thomas (2,219 items) + St. Croix (2,085 items) verified via Freshop, same tenant/app_key, high SKU overlap expected between the two stores so combined estimate is only modestly above either store alone.</t>
        </is>
      </c>
    </row>
    <row r="96">
      <c r="A96" s="13" t="inlineStr">
        <is>
          <t>lac</t>
        </is>
      </c>
      <c r="B96" s="13" t="inlineStr">
        <is>
          <t>st_vincent_and_the_grenadines</t>
        </is>
      </c>
      <c r="C96" s="13" t="n">
        <v>1</v>
      </c>
      <c r="D96" s="13" t="n">
        <v>100</v>
      </c>
      <c r="E96" s="13" t="n">
        <v>36</v>
      </c>
      <c r="F96" s="13" t="inlineStr">
        <is>
          <t>Massy Stores SVG resolves to a bare '/lander' redirect stub, not a working storefront — fresh-produce/meat leaves likely under-covered by C.K. Greaves alone.</t>
        </is>
      </c>
      <c r="G96" s="13" t="inlineStr">
        <is>
          <t>C.K. Greaves verified Tier 1A via SSR PDP with real price markup. Sampled categories skewed packaged goods (juice, tea, cleaning); fresh produce/meat depth not directly confirmed, so estimate is conservative relative to a typical full-line supermarket.</t>
        </is>
      </c>
    </row>
    <row r="97">
      <c r="A97" s="13" t="inlineStr">
        <is>
          <t>lac</t>
        </is>
      </c>
      <c r="B97" s="13" t="inlineStr">
        <is>
          <t>sint_maarten_dutch_part</t>
        </is>
      </c>
      <c r="C97" s="13" t="n">
        <v>1</v>
      </c>
      <c r="D97" s="13" t="n">
        <v>100</v>
      </c>
      <c r="E97" s="13" t="n">
        <v>36</v>
      </c>
      <c r="F97" s="13" t="inlineStr">
        <is>
          <t>Le Grand Marché and other local chains not probed; currency unconfirmed (USD assumed).</t>
        </is>
      </c>
      <c r="G97" s="13" t="inlineStr">
        <is>
          <t>Cost-U-Less St. Maarten verified via Freshop (1,704 items), warehouse-club format.</t>
        </is>
      </c>
    </row>
    <row r="98">
      <c r="A98" s="13" t="inlineStr">
        <is>
          <t>lac</t>
        </is>
      </c>
      <c r="B98" s="13" t="inlineStr">
        <is>
          <t>haiti</t>
        </is>
      </c>
      <c r="C98" s="13" t="n">
        <v>1</v>
      </c>
      <c r="D98" s="13" t="n">
        <v>65</v>
      </c>
      <c r="E98" s="13" t="n">
        <v>23</v>
      </c>
      <c r="F98" s="13" t="inlineStr">
        <is>
          <t>No live full-line domestic supermarket found on the open web; the WFP panel's fresh-produce/pulses set is currently doing more coverage work than any retailer.</t>
        </is>
      </c>
      <c r="G98" s="13" t="inlineStr">
        <is>
          <t>KITT National (Supabase-backed marketplace) is thin on food specifically — 1,341 total products spread across electronics/auto/apparel/tools plus a Manje/Bwason/Desè (food/drink/dessert) vertical — estimated ~40 leaves. The WFP panel (wfp-food-prices-for-haiti, 16,444 rows, last observation 2025-07-15) is the real lever: 34 commodities heavily weighted toward fresh produce and pulses (avocados, mangoes, oranges, pineapples, cabbage, carrots, eggplants, okra, plantains, yams, black/red beans, pigeon peas) that KITT does not carry at all, adding an estimated ~28 non-overlapping leaves. 4 of 5 CSV retail candidates failed (brochure-only, 403+diaspora, image-only promo gallery, unreachable).</t>
        </is>
      </c>
    </row>
    <row r="99">
      <c r="A99" s="13" t="inlineStr">
        <is>
          <t>lac</t>
        </is>
      </c>
      <c r="B99" s="13" t="inlineStr">
        <is>
          <t>cuba</t>
        </is>
      </c>
      <c r="C99" s="13" t="n">
        <v>1</v>
      </c>
      <c r="D99" s="13" t="n">
        <v>60</v>
      </c>
      <c r="E99" s="13" t="n">
        <v>22</v>
      </c>
      <c r="F99" s="13" t="inlineStr">
        <is>
          <t>No domestic CUP-priced retail source found (structurally very hard given Cuba's state-controlled retail system); fresh produce, meat, and wet-market leaves are essentially unreachable from what was found.</t>
        </is>
      </c>
      <c r="G99" s="13" t="inlineStr">
        <is>
          <t>MercoCaribe WooCommerce store verified (packaged/frozen imports: juice, chicken, dairy, canned goods, snacks). This is an MLC/foreign-card diaspora-purchase channel, not domestic CUP retail — assortment observed skews packaged goods with no fresh produce/wet-market categories seen, so the estimate is capped well below a normal full-line supermarket.</t>
        </is>
      </c>
    </row>
    <row r="100">
      <c r="A100" s="13" t="inlineStr">
        <is>
          <t>lac</t>
        </is>
      </c>
      <c r="B100" s="13" t="inlineStr">
        <is>
          <t>belize</t>
        </is>
      </c>
      <c r="C100" s="13" t="n">
        <v>1</v>
      </c>
      <c r="D100" s="13" t="n">
        <v>60</v>
      </c>
      <c r="E100" s="13" t="n">
        <v>22</v>
      </c>
      <c r="F100" s="13" t="inlineStr">
        <is>
          <t>Zero fresh-produce/meat/fish/bakery source; Belize needs new discovery, not depth on Ultraw.</t>
        </is>
      </c>
      <c r="G100" s="13" t="inlineStr">
        <is>
          <t>Only Ultraw verified viable (WooCommerce marketplace). Its category counts show deep dry-goods/dairy/beverage coverage (408 general groceries, 302 pantry, 48 dairy, 33 beverages) but near-total absence of fresh produce/meat/fish/bakery (1-2 items each). 5 of the 6 CSV candidates failed (2 unreachable, 1 app-only, 1 no-price catalog, 1 non-representative). No WFP panel exists for Belize.</t>
        </is>
      </c>
    </row>
    <row r="101">
      <c r="A101" s="13" t="inlineStr">
        <is>
          <t>lac</t>
        </is>
      </c>
      <c r="B101" s="13" t="inlineStr">
        <is>
          <t>dominica</t>
        </is>
      </c>
      <c r="C101" s="13" t="n">
        <v>0</v>
      </c>
      <c r="D101" s="13" t="n">
        <v>0</v>
      </c>
      <c r="E101" s="13" t="n">
        <v>0</v>
      </c>
      <c r="F101" s="13" t="inlineStr">
        <is>
          <t>Everything; J. Astaphans &amp; Co not yet probed.</t>
        </is>
      </c>
      <c r="G101" s="13" t="inlineStr">
        <is>
          <t>Whitchurch IGA Super Centre (Dominica's only IGA, has an in-store bakery/deli per marketing copy) confirmed brochure-only with no shop links.</t>
        </is>
      </c>
    </row>
    <row r="102">
      <c r="A102" s="13" t="inlineStr">
        <is>
          <t>lac</t>
        </is>
      </c>
      <c r="B102" s="13" t="inlineStr">
        <is>
          <t>antigua_and_barbuda</t>
        </is>
      </c>
      <c r="C102" s="13" t="n">
        <v>0</v>
      </c>
      <c r="D102" s="13" t="n">
        <v>0</v>
      </c>
      <c r="E102" s="13" t="n">
        <v>0</v>
      </c>
      <c r="F102" s="13" t="inlineStr">
        <is>
          <t>Everything; no second chain probed given time budget — Bryson's supermarket not yet checked.</t>
        </is>
      </c>
      <c r="G102" s="13" t="inlineStr">
        <is>
          <t>Epicurean Fine Foods (largest AG grocery/pharmacy chain) confirmed brochure-only, no cart/catalog markup.</t>
        </is>
      </c>
    </row>
    <row r="103">
      <c r="A103" s="13" t="inlineStr">
        <is>
          <t>lac</t>
        </is>
      </c>
      <c r="B103" s="13" t="inlineStr">
        <is>
          <t>grenada</t>
        </is>
      </c>
      <c r="C103" s="13" t="n">
        <v>0</v>
      </c>
      <c r="D103" s="13" t="n">
        <v>0</v>
      </c>
      <c r="E103" s="13" t="n">
        <v>0</v>
      </c>
      <c r="F103" s="13" t="inlineStr">
        <is>
          <t>Everything by the strict verification bar, though the underlying store clearly has a large digital catalog — highest-value next step is a Playwright session capture of shop.realvalueiga.com to grab an auth token, which may also unlock other LocalExpress-powered Eastern Caribbean IGA stores.</t>
        </is>
      </c>
      <c r="G103" s="13" t="inlineStr">
        <is>
          <t>Real Value IGA (Grenada's premier chain, has a dedicated mobile app) confirmed to run on the LocalExpress platform with a real REST API, but the API requires session auth not obtainable from a bare probe (HTTP 401). Not counted as verified coverage without a product+price.</t>
        </is>
      </c>
    </row>
    <row r="104">
      <c r="A104" s="13" t="inlineStr">
        <is>
          <t>lac</t>
        </is>
      </c>
      <c r="B104" s="13" t="inlineStr">
        <is>
          <t>st_kitts_and_nevis</t>
        </is>
      </c>
      <c r="C104" s="13" t="n">
        <v>0</v>
      </c>
      <c r="D104" s="13" t="n">
        <v>0</v>
      </c>
      <c r="E104" s="13" t="n">
        <v>0</v>
      </c>
      <c r="F104" s="13" t="inlineStr">
        <is>
          <t>Everything; worth a re-probe from a different network/UA before writing off — this looked like the most promising KN lead found.</t>
        </is>
      </c>
      <c r="G104" s="13" t="inlineStr">
        <is>
          <t>RamsToGo (Ram's Supermarket's real online grocery platform, partnered with 869ToGo for delivery) returned a generic HTTP 403 with no identifiable WAF signature from this probe origin — not confirmed as a hard structural block.</t>
        </is>
      </c>
    </row>
    <row r="105">
      <c r="A105" s="13" t="inlineStr">
        <is>
          <t>lac</t>
        </is>
      </c>
      <c r="B105" s="13" t="inlineStr">
        <is>
          <t>st_lucia</t>
        </is>
      </c>
      <c r="C105" s="13" t="n">
        <v>0</v>
      </c>
      <c r="D105" s="13" t="n">
        <v>0</v>
      </c>
      <c r="E105" s="13" t="n">
        <v>0</v>
      </c>
      <c r="F105" s="13" t="inlineStr">
        <is>
          <t>Everything; Massy is the clear highest-value target and worth a re-probe.</t>
        </is>
      </c>
      <c r="G105" s="13" t="inlineStr">
        <is>
          <t>Massy Stores St. Lucia (regional chain, has a mega warehouse-club format per corporate messaging) 403-blocked; JQ Rodney Bay Mall is a directory site, not a grocery catalog.</t>
        </is>
      </c>
    </row>
    <row r="106">
      <c r="A106" s="13" t="inlineStr">
        <is>
          <t>lac</t>
        </is>
      </c>
      <c r="B106" s="13" t="inlineStr">
        <is>
          <t>st_martin_french_part</t>
        </is>
      </c>
      <c r="C106" s="13" t="n">
        <v>0</v>
      </c>
      <c r="D106" s="13" t="n">
        <v>0</v>
      </c>
      <c r="E106" s="13" t="n">
        <v>0</v>
      </c>
      <c r="F106" s="13" t="inlineStr">
        <is>
          <t>Everything; would need a French-Antilles-specific directory (e.g. via Guadeloupe/Martinique distributor networks) rather than a generic brand search.</t>
        </is>
      </c>
      <c r="G106" s="13" t="inlineStr">
        <is>
          <t>No island-specific online grocery storefront located via French-language search; Simply Market/Match/Carrefour results all resolved to mainland-France communes with similar names. No URL was found to probe.</t>
        </is>
      </c>
    </row>
    <row r="107">
      <c r="A107" s="13" t="inlineStr">
        <is>
          <t>lac</t>
        </is>
      </c>
      <c r="B107" s="13" t="inlineStr">
        <is>
          <t>turks_and_caicos_islands</t>
        </is>
      </c>
      <c r="C107" s="13" t="n">
        <v>0</v>
      </c>
      <c r="D107" s="13" t="n">
        <v>0</v>
      </c>
      <c r="E107" s="13" t="n">
        <v>0</v>
      </c>
      <c r="F107" s="13" t="inlineStr">
        <is>
          <t>Everything; grocery delivery in TCI reportedly runs through third-party Instacart-style apps per web search, not the retailer's own site — worth checking those apps' backend directly in a follow-up.</t>
        </is>
      </c>
      <c r="G107" s="13" t="inlineStr">
        <is>
          <t>Graceway Supermarkets (TCI's largest, Providenciales) confirmed brochure-only, no e-commerce fingerprint or shop links found.</t>
        </is>
      </c>
    </row>
    <row r="108">
      <c r="A108" s="13" t="inlineStr">
        <is>
          <t>lac</t>
        </is>
      </c>
      <c r="B108" s="13" t="inlineStr">
        <is>
          <t>bahamas_the</t>
        </is>
      </c>
      <c r="C108" s="13" t="n">
        <v>0</v>
      </c>
      <c r="D108" s="13" t="n">
        <v>0</v>
      </c>
      <c r="E108" s="13" t="n">
        <v>0</v>
      </c>
      <c r="F108" s="13" t="inlineStr">
        <is>
          <t>Everything — no verified per-SKU source yet; Solomon's is the highest-value next step (real functioning e-commerce, just needs the internal API found).</t>
        </is>
      </c>
      <c r="G108" s="13" t="inlineStr">
        <is>
          <t>Two real online grocery platforms confirmed to exist (Solomon's Fresh Market SPA, SuperValue WooCommerce) but neither exposed a working per-SKU JSON endpoint within probe budget — Solomon's is an SPA on the ECRS Catapult WebCart platform (needs Playwright network capture), SuperValue's WooCommerce Store API route is disabled and its public catalog is PDF/image flyers only.</t>
        </is>
      </c>
    </row>
    <row r="109">
      <c r="A109" s="13" t="inlineStr">
        <is>
          <t>lac</t>
        </is>
      </c>
      <c r="B109" s="13" t="inlineStr">
        <is>
          <t>suriname</t>
        </is>
      </c>
      <c r="C109" s="13" t="n">
        <v>0</v>
      </c>
      <c r="D109" s="13" t="n">
        <v>0</v>
      </c>
      <c r="E109" s="13" t="n">
        <v>0</v>
      </c>
      <c r="F109" s="13" t="inlineStr">
        <is>
          <t>Everything -- the market may only be reachable from a Suriname residential IP (Cloudflare-gated) or would need a captcha-aware browser session for avoda.sr/now2su.com. ABS Suriname (statistics-suriname.org) publishes a monthly CPI PDF (through at least CPI-0925.pdf) that may contain an itemized basic-basket table, but PDF text extraction was inconclusive (compressed streams) -- worth a pdfplumber pass, not counted as a verified source here.</t>
        </is>
      </c>
      <c r="G109" s="13" t="inlineStr">
        <is>
          <t>Every lead traced this pass failed for a distinct, confirmed reason: avoda.sr (SR's main online supermarket) and now2su.com (HEM Suriname's ordering portal) both return the Cloudflare 'Attention Required' challenge page (HTTP 403); tulip-supermarket.com is a single-page brochure site (anchor links only, #departments/#contact, no catalog); shop.amazonewholesale.com has an expired SSL certificate and 404s on both root and /shop even with -k. hem.sr itself also fails certificate verification. No viable source found.</t>
        </is>
      </c>
    </row>
    <row r="110">
      <c r="A110" s="13" t="inlineStr">
        <is>
          <t>menaap</t>
        </is>
      </c>
      <c r="B110" s="13" t="inlineStr">
        <is>
          <t>israel</t>
        </is>
      </c>
      <c r="C110" s="13" t="n">
        <v>2</v>
      </c>
      <c r="D110" s="13" t="n">
        <v>210</v>
      </c>
      <c r="E110" s="13" t="n">
        <v>75</v>
      </c>
      <c r="F110" s="13" t="inlineStr">
        <is>
          <t>I only byte-verified 2 of the ~30 regulated chains directly; the rest is inferred from an external open-source project's architecture rather than my own curl trace of each chain. A follow-up pass should directly confirm 3-5 more chains (Yohananof, Osher Ad, Tiv Taam via Cerberus; Victory via laibcatalog, currently timing out) and check whether div-02 (alcohol/tobacco) leaves appear in the XML schema.</t>
        </is>
      </c>
      <c r="G110" s="13" t="inlineStr">
        <is>
          <t>Israel has a 2015 legally-mandated Food Price Transparency Law: every supermarket chain with 3+ branches must publish full per-store product catalogs (name, barcode, manufacturer, unit, price, promo) as machine-readable XML/gz files, updated at least hourly. Directly confirmed live and open on 2 of the ~30 regulated chains: (1) Shufersal (Israel's largest chain) via its own domain prices.shufersal.co.il, no auth, direct file-listing UI -&gt; signed Azure blob URLs -&gt; downloaded a real store file with a fresh-produce line item ('pomegranate premium' 16.90 ILS/kg). (2) Rami Levy via the shared 'Cerberus' regulatory portal (url.retail.publishedprices.co.il), which explicitly states 'Public Published Prices Server ... The site is open!' -- logged in with the publicly-known username 'RamiLevi' and a blank password (CSRF-token-gated but fully scriptable), listed the store's hourly file directory going back weeks, downloaded a file with another fresh-produce line ('peach' 17 ILS/kg). The same Cerberus portal (per an actively-maintained, CI-passing open-source scraper, OpenIsraeliSupermarkets/israeli-supermarket-scarpers) hosts ~15 more chains under the identical login pattern (Yohananof, Osher Ad, Tiv Taam, King Store, Good Pharm, Hazi Hinam, etc.), and a further ~10 run their own MultiPageWeb-style portal like Shufersal (Super Pharm) or a JSON API (Victory, via laibcatalog.co.il -- connection timed out on 2 of my attempts, possibly geo-fenced, not independently confirmed live). Given this is a full national retail census across dozens of full-line supermarket chains with confirmed fresh, loose-weight (bIsWeighted=1) produce items in both directly-verified samples, coverage of COICOP division 01 should be very high; I estimate conservatively (not counting div-02 alcohol/tobacco, which is present in some chains but not verified, and allowing for a handful of true-absent niche leaves).</t>
        </is>
      </c>
    </row>
    <row r="111">
      <c r="A111" s="13" t="inlineStr">
        <is>
          <t>menaap</t>
        </is>
      </c>
      <c r="B111" s="13" t="inlineStr">
        <is>
          <t>egypt</t>
        </is>
      </c>
      <c r="C111" s="13" t="n">
        <v>5</v>
      </c>
      <c r="D111" s="13" t="n">
        <v>190</v>
      </c>
      <c r="E111" s="13" t="n">
        <v>68</v>
      </c>
      <c r="F111" s="13" t="inlineStr">
        <is>
          <t>No official_avg/NSO feed reached (CAPMAS average-retail-price tables not probed this round); fresh fish/tuber depth likely still thin despite Seafood categories existing on 3 of the 4 supermarkets.</t>
        </is>
      </c>
      <c r="G111" s="13" t="inlineStr">
        <is>
          <t>4 full-line Magento-family supermarkets confirmed live (Gourmet ~150, Hyper One ~155, Seoudi ~160, Spinneys ~165 individually), each carrying meat/poultry/seafood, dairy, bakery, frozen and a deep food-cupboard. Union across 4 differentiated full-line stores (premium/imported vs value/large-format vs established-chain vs upper-mid) pushes past any single store's ceiling but is still capped by structural absences (teff, several minor cereals, niche div-02 alcohol lines not confirmed carried). Talabat's confirmed vendor-directory (butchers, roasteries, dairies with no web presence) is upside not yet counted since it requires onboarding individual stores. No official_avg/wholesale feed found (CAPMAS not reached in this probe window) -- estimate is retailer_sku only.</t>
        </is>
      </c>
    </row>
    <row r="112">
      <c r="A112" s="13" t="inlineStr">
        <is>
          <t>menaap</t>
        </is>
      </c>
      <c r="B112" s="13" t="inlineStr">
        <is>
          <t>tunisia</t>
        </is>
      </c>
      <c r="C112" s="13" t="n">
        <v>2</v>
      </c>
      <c r="D112" s="13" t="n">
        <v>175</v>
      </c>
      <c r="E112" s="13" t="n">
        <v>63</v>
      </c>
      <c r="F112" s="13" t="inlineStr">
        <is>
          <t>No live official_avg feed -- agridata.tn/catalog.agridata.tn 'Suivi des prix' (Sidi Bouzid governorate, viandes/fruits/legumes/poissons.csv) is a real historical wholesale-price series but confirmed STALE (legumes.csv ends 2022-10, poulet-vif series ends 2022-01, both ~4 years old); INS.tn publishes only aggregate CPI indices, not itemized average-retail-price tables.</t>
        </is>
      </c>
      <c r="G112" s="13" t="inlineStr">
        <is>
          <t>Carrefour Tunisia is a genuine full-line hypermarket (confirmed 'Le marché' fresh section, crèmerie, surgelés, epicerie salée/sucrée) estimated at the top of the 120-180 full-line range (~160). Otrity is packaged-goods only (no fresh produce/meat/fish categories) but adds Tunisian-specific pantry depth (couscous, harissa, conserves de poissons/viandes, chorba, chamia) not necessarily on Carrefour's shelf -- incremental +15. Magik.tn (fresh produce + meat, confirmed via rendered PDP) is a real gap-filler for regional/Gabès-area coverage but not yet counted since no clean extraction path was found (TIER_2, needs follow-up engineering).</t>
        </is>
      </c>
    </row>
    <row r="113">
      <c r="A113" s="13" t="inlineStr">
        <is>
          <t>menaap</t>
        </is>
      </c>
      <c r="B113" s="13" t="inlineStr">
        <is>
          <t>morocco</t>
        </is>
      </c>
      <c r="C113" s="13" t="n">
        <v>1</v>
      </c>
      <c r="D113" s="13" t="n">
        <v>150</v>
      </c>
      <c r="E113" s="13" t="n">
        <v>54</v>
      </c>
      <c r="F113" s="13" t="inlineStr">
        <is>
          <t>Carrefour Maroc (Label'Vie) and Marjane (Morocco's #1 and #2 chains) are both reachable-but-not-yet-cracked SPAs, not hard WAF blocks -- a follow-up Playwright network-trace session on either would likely add meaningful cross-retailer coverage and price variance.</t>
        </is>
      </c>
      <c r="G113" s="13" t="inlineStr">
        <is>
          <t>Aswak Assalam alone is a genuine full-line hypermarket: 5260 SKUs with dedicated butchery (BOUCHERIE/BOUCHERIE &amp; VOLAILLE), deli (CHARCUTERIE, 3 sub-categories), bakery (BOULANGERIE, 72 items), dairy (CREMERIE, 343 items), canned goods (208), beverages (311), water (86), biscuits/confectionery (827). This matches the brief's cited 120-180 range for a full-line supermarket with fresh+meat+dairy+bakery; I placed it at 150 given the very large SKU count and category breadth actually observed (not merely assumed). The other 9 candidates are either walled (Cloudflare: Marjane, Jumia, Acima), brochure/app-only (Marjane via Done, BIM), or genuinely promising but client-hydrated SPAs I could not crack within budget (Carrefour.ma, Marjane via Glovo) -- none of those contribute confirmed leaf coverage.</t>
        </is>
      </c>
    </row>
    <row r="114">
      <c r="A114" s="13" t="inlineStr">
        <is>
          <t>menaap</t>
        </is>
      </c>
      <c r="B114" s="13" t="inlineStr">
        <is>
          <t>djibouti</t>
        </is>
      </c>
      <c r="C114" s="13" t="n">
        <v>3</v>
      </c>
      <c r="D114" s="13" t="n">
        <v>65</v>
      </c>
      <c r="E114" s="13" t="n">
        <v>23</v>
      </c>
      <c r="F114" s="13" t="inlineStr">
        <is>
          <t>No fresh produce, meat, fish, dairy-fresh, or bakery source found for Djibouti -- would need a wholesale/municipal market feed to close this, none located within budget.</t>
        </is>
      </c>
      <c r="G114" s="13" t="inlineStr">
        <is>
          <t>3 open TIER_1B sources (Ahado via a Google Sheet, Djibonline + Nirigs via WooCommerce Store API), 448+174+142 SKUs combined. All 3 are small imported-goods grocery-delivery catalogs: rice/pasta/flour, cooking oils, canned goods, powdered/UHT dairy, baby formula/cereal, coffee/tea, sugar/confectionery, spices, non-alcoholic beverages. Zero fresh produce, meat, fish, or bakery visible in any of the 3 category trees (only 1 'Frais' row across 764 combined SKUs). Estimate assumes packaged-goods coverage only -- roughly the div-01.1 (cereals/oils/dairy-shelf-stable/canned) and div-01.7/01.8 (sugar/confectionery/spices) portions of the taxonomy, maybe 60-70 of 279 leaves.</t>
        </is>
      </c>
    </row>
    <row r="115">
      <c r="A115" s="13" t="inlineStr">
        <is>
          <t>menaap</t>
        </is>
      </c>
      <c r="B115" s="13" t="inlineStr">
        <is>
          <t>algeria</t>
        </is>
      </c>
      <c r="C115" s="13" t="n">
        <v>1</v>
      </c>
      <c r="D115" s="13" t="n">
        <v>65</v>
      </c>
      <c r="E115" s="13" t="n">
        <v>23</v>
      </c>
      <c r="F115" s="13" t="inlineStr">
        <is>
          <t>No full-line fresh supermarket found for Algeria at all -- this is the single biggest structural hole across all three countries. The Ministère du Commerce national 'reléve des prix des produits alimentaires' bulletin series is confirmed STALE (archive stops May 2020, 6+ years old), but per-wilaya DCW bulletins (dcwtiziouzou.dz 'Prix Fevrier 2026'/'Prix Janvier 2026' PDFs, dcwalger.dz 'Prix Mensuel' page) surfaced via search with apparently current 2026 dates and were NOT directly probed this round (dcwalger.dz itself returned a live MySQL connection error when hit directly, suggesting the site is currently broken) -- this is the most promising unresolved lead for Algeria and should be the first follow-up.</t>
        </is>
      </c>
      <c r="G115" s="13" t="inlineStr">
        <is>
          <t>Only one confirmed-live retailer source (Coursesnet, WooCommerce, ~2500 items) and it is packaged-goods/pantry only -- no meat, fish, or meaningful fresh-produce categories (Legumes has 3 items). This is the weakest of the 3 countries: Jumia (marketplace directory) is Cloudflare-hardened, Carrefour Algeria has no online store at all (brochure/loyalty only), Superetti times out at the TCP layer (likely geo-fenced, re-probe from a DZ IP), and Echrily's WooCommerce routes are not exposed (may be the wrong subdomain for the actual shop).</t>
        </is>
      </c>
    </row>
    <row r="116">
      <c r="A116" s="13" t="inlineStr">
        <is>
          <t>menaap</t>
        </is>
      </c>
      <c r="B116" s="13" t="inlineStr">
        <is>
          <t>syria</t>
        </is>
      </c>
      <c r="C116" s="13" t="n">
        <v>2</v>
      </c>
      <c r="D116" s="13" t="n">
        <v>47</v>
      </c>
      <c r="E116" s="13" t="n">
        <v>17</v>
      </c>
      <c r="F116" s="13" t="inlineStr"/>
      <c r="G116" s="13" t="inlineStr">
        <is>
          <t>WFP official_avg is by far the richest panel in the whole shard (44 leaves - fruit, veg, full dairy incl. labaneh/yogurt, meat, pulses, cereals with parallel-market bread/fuel splits) thanks to dedicated crisis-monitoring granularity. Tsaooq's live WooCommerce Food &amp; Beverages category adds a thin, mostly non-overlapping slice of 4 prepared/bakery items (pizza, fruit salad, baklava, cake) -&gt; net +3 after dedup. Syria is the strongest single-country result in this shard, entirely from WFP.</t>
        </is>
      </c>
    </row>
    <row r="117">
      <c r="A117" s="13" t="inlineStr">
        <is>
          <t>menaap</t>
        </is>
      </c>
      <c r="B117" s="13" t="inlineStr">
        <is>
          <t>west_bank_and_gaza</t>
        </is>
      </c>
      <c r="C117" s="13" t="n">
        <v>1</v>
      </c>
      <c r="D117" s="13" t="n">
        <v>33</v>
      </c>
      <c r="E117" s="13" t="n">
        <v>12</v>
      </c>
      <c r="F117" s="13" t="inlineStr"/>
      <c r="G117" s="13" t="inlineStr">
        <is>
          <t>No F&amp;B retail source found - Arammon (100+ categories, confirmed WooCommerce API) and the Gaza Store are both live general marketplaces (clothing/electronics/beauty) with zero food SKUs. Coverage is WFP-only (33 leaves: fruit, veg, full dairy incl. labaneh, 3 meats, 3 rice types, 2 oils, semolina, bottled water).</t>
        </is>
      </c>
    </row>
    <row r="118">
      <c r="A118" s="13" t="inlineStr">
        <is>
          <t>menaap</t>
        </is>
      </c>
      <c r="B118" s="13" t="inlineStr">
        <is>
          <t>libya</t>
        </is>
      </c>
      <c r="C118" s="13" t="n">
        <v>4</v>
      </c>
      <c r="D118" s="13" t="n">
        <v>32</v>
      </c>
      <c r="E118" s="13" t="n">
        <v>11</v>
      </c>
      <c r="F118" s="13" t="inlineStr"/>
      <c r="G118" s="13" t="inlineStr">
        <is>
          <t>WFP official_avg (23 leaves: cereals/tubers, meat/fish/eggs, some dairy, oils, pulses, veg) + big.ly fresh-produce category (verified 20 SKUs incl. eggplant/peas/onions with likely some overlap on veg with WFP) = ~32 net distinct leaves after removing duplicate onion/tomato/potato entries. Shobly + Matjar Libya are live but confirmed non-food, not counted.</t>
        </is>
      </c>
    </row>
    <row r="119">
      <c r="A119" s="13" t="inlineStr">
        <is>
          <t>menaap</t>
        </is>
      </c>
      <c r="B119" s="13" t="inlineStr">
        <is>
          <t>jordan</t>
        </is>
      </c>
      <c r="C119" s="13" t="n">
        <v>1</v>
      </c>
      <c r="D119" s="13" t="n">
        <v>29</v>
      </c>
      <c r="E119" s="13" t="n">
        <v>10</v>
      </c>
      <c r="F119" s="13" t="inlineStr"/>
      <c r="G119" s="13" t="inlineStr">
        <is>
          <t>No retail source verified this pass - matjarii.com (403), imoneh.com and carrefourjordan.com (connection failures). Coverage is entirely from WFP's richest non-conflict panel (29 leaves: fruit, veg, 2 dairy, 3 meats, 2 oils, cereals, pulses).</t>
        </is>
      </c>
    </row>
    <row r="120">
      <c r="A120" s="13" t="inlineStr">
        <is>
          <t>menaap</t>
        </is>
      </c>
      <c r="B120" s="13" t="inlineStr">
        <is>
          <t>yemen</t>
        </is>
      </c>
      <c r="C120" s="13" t="n">
        <v>2</v>
      </c>
      <c r="D120" s="13" t="n">
        <v>26</v>
      </c>
      <c r="E120" s="13" t="n">
        <v>9</v>
      </c>
      <c r="F120" s="13" t="inlineStr"/>
      <c r="G120" s="13" t="inlineStr">
        <is>
          <t>WFP official_avg (17 leaves - Yemen's thinnest panel, no dairy/fruit at all) + Yemen Box's packaged-goods grocery collection (12 SKUs, mostly imported shelf-stable items like cheese/dessert, near-zero overlap with WFP's staples) = ~26 net leaves. Yemen Storez has a confirmed Food &amp; Beverages category but products could not be extracted without Playwright, so not counted.</t>
        </is>
      </c>
    </row>
    <row r="121">
      <c r="A121" s="13" t="inlineStr">
        <is>
          <t>menaap</t>
        </is>
      </c>
      <c r="B121" s="13" t="inlineStr">
        <is>
          <t>iran</t>
        </is>
      </c>
      <c r="C121" s="13" t="n">
        <v>1</v>
      </c>
      <c r="D121" s="13" t="n">
        <v>26</v>
      </c>
      <c r="E121" s="13" t="n">
        <v>9</v>
      </c>
      <c r="F121" s="13" t="inlineStr"/>
      <c r="G121" s="13" t="inlineStr">
        <is>
          <t>No retail source confirmed this pass despite Iran's large domestic e-commerce sector - Bamo Market (mid-tier, best lead) needs a city/session cookie not captured via curl; Digikala Jet and Snapp Market are the two largest platforms and both show the expected market-leader hardening (Snapp: ArvanCloud infinite-redirect bot wall). Coverage is WFP-only (26 leaves), on a panel that is 4-25x thinner in row count than the other 7 countries - worth checking date coverage before treating it as equally current.</t>
        </is>
      </c>
    </row>
    <row r="122">
      <c r="A122" s="13" t="inlineStr">
        <is>
          <t>menaap</t>
        </is>
      </c>
      <c r="B122" s="13" t="inlineStr">
        <is>
          <t>iraq</t>
        </is>
      </c>
      <c r="C122" s="13" t="n">
        <v>1</v>
      </c>
      <c r="D122" s="13" t="n">
        <v>26</v>
      </c>
      <c r="E122" s="13" t="n">
        <v>9</v>
      </c>
      <c r="F122" s="13" t="inlineStr"/>
      <c r="G122" s="13" t="inlineStr">
        <is>
          <t>No retail source confirmed this pass - Zad is undeployed, Al-Taawon is an unrendered SPA shell, Carrefour Iraq failed to connect. Coverage is WFP-only (26 leaves: dates, cheese, yogurt, 3 rice varieties, meats, pulses, cereals).</t>
        </is>
      </c>
    </row>
    <row r="123">
      <c r="A123" s="13" t="inlineStr">
        <is>
          <t>menaap</t>
        </is>
      </c>
      <c r="B123" s="13" t="inlineStr">
        <is>
          <t>lebanon</t>
        </is>
      </c>
      <c r="C123" s="13" t="n">
        <v>1</v>
      </c>
      <c r="D123" s="13" t="n">
        <v>26</v>
      </c>
      <c r="E123" s="13" t="n">
        <v>9</v>
      </c>
      <c r="F123" s="13" t="inlineStr"/>
      <c r="G123" s="13" t="inlineStr">
        <is>
          <t>No retail source confirmed this pass - Allosh Market (alloshmart.com) is a real 24hr supermarket app but is a React+Supabase SPA with no server-rendered product data reached via curl. Coverage is WFP-only (26 leaves).</t>
        </is>
      </c>
    </row>
    <row r="124">
      <c r="A124" s="13" t="inlineStr">
        <is>
          <t>menaap</t>
        </is>
      </c>
      <c r="B124" s="13" t="inlineStr">
        <is>
          <t>saudi_arabia</t>
        </is>
      </c>
      <c r="C124" s="13" t="n">
        <v>0</v>
      </c>
      <c r="D124" s="13" t="n">
        <v>0</v>
      </c>
      <c r="E124" s="13" t="n">
        <v>0</v>
      </c>
      <c r="F124" s="13" t="inlineStr">
        <is>
          <t>Store/location-gating is the dominant pattern across all 3 non-walled KSA candidates (Danube, Othaim, Lulu) -- cracking the store-selection flow on any one of them (found Danube's supermarket ID list at /en/store_selector) would likely unlock a large, confirmable full-line hypermarket catalog.</t>
        </is>
      </c>
      <c r="G124" s="13" t="inlineStr">
        <is>
          <t>Most-probed Gulf country in this run and still zero confirmed product+price. Carrefour KSA (mafsau) Akamai-walled. Danube.sa (Spree Commerce, full department taxonomy incl. bakery/dairy/produce/beverages) and Othaim (Next.js) and Lulu KSA both return 200 with no WAF but gate the actual product listing behind a store/branch selection step I could not complete via curl or a quick Playwright pass. Panda hit a 429 (not retried). Nana.sa's root domain turned out to be a gift-card/top-up portal, not the grocery app entry point.</t>
        </is>
      </c>
    </row>
    <row r="125">
      <c r="A125" s="13" t="inlineStr">
        <is>
          <t>menaap</t>
        </is>
      </c>
      <c r="B125" s="13" t="inlineStr">
        <is>
          <t>qatar</t>
        </is>
      </c>
      <c r="C125" s="13" t="n">
        <v>0</v>
      </c>
      <c r="D125" s="13" t="n">
        <v>0</v>
      </c>
      <c r="E125" s="13" t="n">
        <v>0</v>
      </c>
      <c r="F125" s="13" t="inlineStr">
        <is>
          <t>Confirm Lulu's Qatar storefront and look for Family Food Centre / other mid-tier Qatari grocers not yet searched.</t>
        </is>
      </c>
      <c r="G125" s="13" t="inlineStr">
        <is>
          <t>Carrefour Qatar (carrefourqatar.com/mafqat) directly confirmed Akamai-walled (403, AkamaiGHost, 'Access Denied' edge page). Lulu Qatar storefront not separately confirmed beyond the UAE probe.</t>
        </is>
      </c>
    </row>
    <row r="126">
      <c r="A126" s="13" t="inlineStr">
        <is>
          <t>menaap</t>
        </is>
      </c>
      <c r="B126" s="13" t="inlineStr">
        <is>
          <t>united_arab_emirates</t>
        </is>
      </c>
      <c r="C126" s="13" t="n">
        <v>0</v>
      </c>
      <c r="D126" s="13" t="n">
        <v>0</v>
      </c>
      <c r="E126" s="13" t="n">
        <v>0</v>
      </c>
      <c r="F126" s="13" t="inlineStr">
        <is>
          <t>Lulu UAE is the closest Gulf source to being crackable -- Cloudflare is already defeated; only the store-selection interaction remains, which needs a longer, interaction-driven Playwright session (click through a city/store picker) rather than a static GET.</t>
        </is>
      </c>
      <c r="G126" s="13" t="inlineStr">
        <is>
          <t>Carrefour UAE (mafuae) confirmed Akamai-walled. Lulu Hypermarket UAE storefront: Cloudflare challenge successfully bypassed with curl_cffi impersonate=chrome120 (200, 460KB, correct pz-locale/pz-currency session cookies obtained), but the product-listing page (/en-ae/list/?search_text=X) never renders product cards even after setting cookies and an 8s Playwright wait -- confirmed store/location-gated, same pattern as Danube. Talabat UAE homepage loads (200, React SPA) but no grocery/store links surfaced without a delivery location.</t>
        </is>
      </c>
    </row>
    <row r="127">
      <c r="A127" s="13" t="inlineStr">
        <is>
          <t>menaap</t>
        </is>
      </c>
      <c r="B127" s="13" t="inlineStr">
        <is>
          <t>oman</t>
        </is>
      </c>
      <c r="C127" s="13" t="n">
        <v>0</v>
      </c>
      <c r="D127" s="13" t="n">
        <v>0</v>
      </c>
      <c r="E127" s="13" t="n">
        <v>0</v>
      </c>
      <c r="F127" s="13" t="inlineStr">
        <is>
          <t>Zero direct Oman probing done -- lowest-confidence country in this run given time was spent confirming the MAF/Lulu/Danube tenant patterns generically rather than per-country.</t>
        </is>
      </c>
      <c r="G127" s="13" t="inlineStr">
        <is>
          <t>Not directly probed beyond the MAF Carrefour tenant pattern (Akamai-walled in the 4 domains actually tested; Oman's carrefouroman.com was not tested but is presumed same tenant/same block). Lulu Oman storefront not separately confirmed.</t>
        </is>
      </c>
    </row>
    <row r="128">
      <c r="A128" s="13" t="inlineStr">
        <is>
          <t>menaap</t>
        </is>
      </c>
      <c r="B128" s="13" t="inlineStr">
        <is>
          <t>kuwait</t>
        </is>
      </c>
      <c r="C128" s="13" t="n">
        <v>0</v>
      </c>
      <c r="D128" s="13" t="n">
        <v>0</v>
      </c>
      <c r="E128" s="13" t="n">
        <v>0</v>
      </c>
      <c r="F128" s="13" t="inlineStr">
        <is>
          <t>Re-probe The Sultan Center later (site may recover); confirm Lulu's Kuwait storefront (en-kw path) directly.</t>
        </is>
      </c>
      <c r="G128" s="13" t="inlineStr">
        <is>
          <t>The Sultan Center (tsc-kw.com), Kuwait's best-known supermarket e-commerce site, is live but currently serving an unhandled Laravel/Carbon PHP fatal error (HTTP 500) on every request -- a real, broken production deployment, not a WAF. No other Kuwait-specific source confirmed; Lulu Kuwait storefront not separately probed.</t>
        </is>
      </c>
    </row>
    <row r="129">
      <c r="A129" s="13" t="inlineStr">
        <is>
          <t>menaap</t>
        </is>
      </c>
      <c r="B129" s="13" t="inlineStr">
        <is>
          <t>bahrain</t>
        </is>
      </c>
      <c r="C129" s="13" t="n">
        <v>0</v>
      </c>
      <c r="D129" s="13" t="n">
        <v>0</v>
      </c>
      <c r="E129" s="13" t="n">
        <v>0</v>
      </c>
      <c r="F129" s="13" t="inlineStr">
        <is>
          <t>No Bahrain-specific probing was done beyond domain guesses that failed to resolve -- a proper marketplace/seller-directory sweep (Talabat/Instashop Bahrain storefront) was not attempted.</t>
        </is>
      </c>
      <c r="G129" s="13" t="inlineStr">
        <is>
          <t>No confirmed source. Carrefour Bahrain domain guess did not resolve; Al Jazira Supermarket domain guess (aljazirasupermarket.com) did not resolve; MAF Carrefour tenant (confirmed Akamai-walled in UAE/KSA/Qatar/Egypt) almost certainly covers Bahrain too. Lulu Hypermarket (GCC-wide tenant, see discovered) is the most promising unresolved candidate but was only probed on the UAE storefront, not confirmed for Bahrain specifically.</t>
        </is>
      </c>
    </row>
    <row r="130">
      <c r="A130" s="13" t="inlineStr">
        <is>
          <t>sar</t>
        </is>
      </c>
      <c r="B130" s="13" t="inlineStr">
        <is>
          <t>sri_lanka</t>
        </is>
      </c>
      <c r="C130" s="13" t="n">
        <v>6</v>
      </c>
      <c r="D130" s="13" t="n">
        <v>180</v>
      </c>
      <c r="E130" s="13" t="n">
        <v>65</v>
      </c>
      <c r="F130" s="13" t="inlineStr">
        <is>
          <t>No fresh-fish-species breadth beyond Glomark's 2 categories and DCS's Sea Fish Large/Small split; div-02 (alcohol/tobacco, 10 leaves) essentially uncovered since Sri Lanka's alcohol retail is separately licensed and wasn't visible in any catalog probed. Keells (a major chain, likely comparable to Glomark) stayed unreachable behind its React SPA -- a dedicated Playwright session targeting an in-app store/category click could still unlock it.</t>
        </is>
      </c>
      <c r="G130" s="13" t="inlineStr">
        <is>
          <t>Anchor is Glomark (full-line, ~160 leaves: fresh meat-by-cut, two fish types, three vegetable tiers, imported+local fruit, full dairy/bakery/frozen). SPAR2U (110) and OnlineKade (100) and ColomboSuper (90) overlap heavily with Glomark on packaged/dairy/beverage leaves but each contributes a few incremental SKUs at the margins (SPAR2U's meat depth, OnlineKade's baby-food/imported-brand breadth). DCS's official_avg feed (50, retail prices at leaf-level granularity supermarkets don't carry: specific leafy greens, fish-size classes, up-country vs low-country vegetable splits) is the main source of genuinely NEW leaves beyond the supermarket set -- estimated ~20 net-new leaves. Carkeells (15) is fully subsumed by the above. Net union estimate: 160 (Glomark) + ~20 (DCS incremental) = 180. This EXCLUDES the pre-existing singer_lk source entirely (electronics, zero F&amp;B) and the div-02 alcohol/tobacco leaves, which none of the sources found here visibly stock.</t>
        </is>
      </c>
    </row>
    <row r="131">
      <c r="A131" s="13" t="inlineStr">
        <is>
          <t>sar</t>
        </is>
      </c>
      <c r="B131" s="13" t="inlineStr">
        <is>
          <t>bangladesh</t>
        </is>
      </c>
      <c r="C131" s="13" t="n">
        <v>4</v>
      </c>
      <c r="D131" s="13" t="n">
        <v>180</v>
      </c>
      <c r="E131" s="13" t="n">
        <v>65</v>
      </c>
      <c r="F131" s="13" t="inlineStr">
        <is>
          <t>No confirmed wholesale/fish/tuber official_avg feed -- DAM/MoA's market-directory portal is a Vue SPA that didn't surface a JSON endpoint in passive network capture (needs an interactive date/market-picker probe). Meena Bazar (8,000-10,000 SKU chain) is also unresolved -- both are SPA shells needing a session-bootstrap Playwright pass, not attempted further within this budget.</t>
        </is>
      </c>
      <c r="G131" s="13" t="inlineStr">
        <is>
          <t>Chaldal (existing, ~3,557 SKUs, full grocery) and Shwapno (new, TIER_1A via sitemap-walk, full-line supermarket) are both wide, overlapping, full-line grocers -- union estimated at ~170 leaves given both carry fresh produce, dairy, bakery, canned/frozen goods, and pantry staples. Othoba (existing, general e-commerce + daily-bazar) adds modest non-overlapping depth. TCB's daily XLSX (new, official_avg) adds a handful of officially-verified prices for rice/oil/sugar/pulses/onion that partially overlap the supermarkets but strengthen data quality on those specific leaves.</t>
        </is>
      </c>
    </row>
    <row r="132">
      <c r="A132" s="13" t="inlineStr">
        <is>
          <t>sar</t>
        </is>
      </c>
      <c r="B132" s="13" t="inlineStr">
        <is>
          <t>pakistan</t>
        </is>
      </c>
      <c r="C132" s="13" t="n">
        <v>2</v>
      </c>
      <c r="D132" s="13" t="n">
        <v>160</v>
      </c>
      <c r="E132" s="13" t="n">
        <v>57</v>
      </c>
      <c r="F132" s="13" t="inlineStr">
        <is>
          <t>No fresh wholesale mandi/market-committee feed was probed for Pakistan (equivalent of Agmarknet -- e.g. a provincial Agriculture Marketing Information Service) despite Pakistan having active mandi-based wholesale price reporting; not in the brief's named target list and not discovered within budget. Naheed.pk, Imtiaz, and Krave Mart -- three of Pakistan's largest grocery brands -- remain blocked or session-gated; Imtiaz in particular (886KB geofence payload behind a live session) is worth a dedicated follow-up.</t>
        </is>
      </c>
      <c r="G132" s="13" t="inlineStr">
        <is>
          <t>Metro Online (new, TIER_1B, whole-catalog walker via 183 Food category ids) is a full hypermarket-format grocer covering fresh produce, dairy, bakery, rice/grains, sauces, snacks, beverages -- estimated ~150 leaves on its own. PBS's Weekly SPI bulletin (new, official_avg, TIER_1A) adds a small officially-verified, cross-city set of ~25 leaves (flour, rice, meat, dairy, eggs, oils, pulses, onion/potato) with modest overlap. Zero manifests existed for Pakistan before this probe -- both sources found here take it from 0 to the strongest of the three countries on a per-source basis.</t>
        </is>
      </c>
    </row>
    <row r="133">
      <c r="A133" s="13" t="inlineStr">
        <is>
          <t>sar</t>
        </is>
      </c>
      <c r="B133" s="13" t="inlineStr">
        <is>
          <t>nepal</t>
        </is>
      </c>
      <c r="C133" s="13" t="n">
        <v>9</v>
      </c>
      <c r="D133" s="13" t="n">
        <v>150</v>
      </c>
      <c r="E133" s="13" t="n">
        <v>54</v>
      </c>
      <c r="F133" s="13" t="inlineStr">
        <is>
          <t>No confirmed fresh meat/fish/poultry retail source at SKU level (MeroKirana has an Eggs &amp; Meat category but per-item depth unverified); Bhat-Bhateni (Nepal's largest chain, presumably the deepest fresh+meat+dairy catalog) has no usable web storefront -- corporate site only, SSL cert expired, no /shop path found even via known subdomain guesses.</t>
        </is>
      </c>
      <c r="G133" s="13" t="inlineStr">
        <is>
          <t>MeroKirana (full-line kirana app: fresh Veg&amp;Fruits + Eggs&amp;Meat + Bakery&amp;Dairy + Grocery + Beverage + Packaged Food) ~95 leaves, largely non-overlapping with Kalimati wholesale (fresh vegetables/fruits/tubers at wholesale grain, ~35 leaves distinct from retail SKU granularity), plus incremental packaged-goods breadth from Vhandar/Groceries Nepal/ShopIt/Thulo/Daraz/MilanWholesale/Goket collectively adding ~20 more leaves once heavy category overlap between them is discounted. Existing onboarded sources (onlinesaathi, smartdoko, epharmacy_np are pharmacy-channel, contribute near-zero div-01/02). Conservative because: (a) many of the 279 leaves are internationally exotic items (specific wines, cheeses, imported delicacies) that are structurally near-absent in the Nepali market regardless of source depth, (b) leaf counts are estimated from category names, not exhaustive SKU audits.</t>
        </is>
      </c>
    </row>
    <row r="134">
      <c r="A134" s="13" t="inlineStr">
        <is>
          <t>sar</t>
        </is>
      </c>
      <c r="B134" s="13" t="inlineStr">
        <is>
          <t>maldives</t>
        </is>
      </c>
      <c r="C134" s="13" t="n">
        <v>4</v>
      </c>
      <c r="D134" s="13" t="n">
        <v>140</v>
      </c>
      <c r="E134" s="13" t="n">
        <v>50</v>
      </c>
      <c r="F134" s="13" t="inlineStr">
        <is>
          <t>No fresh meat or fresh fish source at all -- the entire country's retail online-grocery layer appears to run on frozen/imported protein, and no wholesale/NSO feed exists to fill the fresh-produce/fish gap the way DCS does for Sri Lanka. This is a structural, not a scraping, gap: Maldives' import dependency and lack of domestic agriculture likely means these leaves are genuinely thin or absent from the retail economy, not just unscraped.</t>
        </is>
      </c>
      <c r="G134" s="13" t="inlineStr">
        <is>
          <t>Anchor is whim_mv/WHIM (already onboarded, ~140 leaves: full pantry/dairy/drinks/frozen breadth, but structurally missing fresh meat and fresh fish -- only frozen/chilled substitutes). good_food_mv (already onboarded, Shopify, organic/specialty -- categories like 'Fruits &amp; Vegetables Preserved' and 'Fish &amp; Meat' skew processed/preserved not fresh) and the newly-found fino.com.mv (WooCommerce, packaged/frozen-heavy, 1 SKU under actual fresh produce) both overlap heavily with whim_mv's pantry section and add only marginal incremental leaves (~10-15 combined, mostly niche organic/imported-brand SKUs). redwave_mv is tagged channel:pharmacy in its own manifest despite onboarding notes calling it a 'hypermarket' -- contributes near-zero F&amp;B. No official_avg source exists for Maldives: the Bureau of Statistics' Essential Commodity Price Index is a COICOP-class-level INDEX (13 food classes, values based to 100, not absolute per-item retail prices), which the brief's rules exclude from coverage counting the same way as a CPI aggregate; its dataportal PxWeb subdomain (data.statisticsmaldives.gov.mv) is also currently dead/repurposed to an unrelated site.</t>
        </is>
      </c>
    </row>
    <row r="135">
      <c r="A135" s="13" t="inlineStr">
        <is>
          <t>sar</t>
        </is>
      </c>
      <c r="B135" s="13" t="inlineStr">
        <is>
          <t>india</t>
        </is>
      </c>
      <c r="C135" s="13" t="n">
        <v>3</v>
      </c>
      <c r="D135" s="13" t="n">
        <v>125</v>
      </c>
      <c r="E135" s="13" t="n">
        <v>45</v>
      </c>
      <c r="F135" s="13" t="inlineStr">
        <is>
          <t>No confirmed official_avg/wholesale feed for India despite this being the country the brief flagged as having the best government price data in the region -- Agmarknet is network-blocked and DCA's ASPX postback wasn't cracked. JioMart is the highest-value unresolved retail lead (would likely add 100+ leaves given its national grocery scale) but needs a pincode-aware Playwright session, not a bare-curl probe.</t>
        </is>
      </c>
      <c r="G135" s="13" t="inlineStr">
        <is>
          <t>StarQuik/Star Bazaar (new, TIER_1B, ~120 leaves: fresh veg, fruits, dairy, bakery, snacks, oils) is the only verified new F&amp;B source. pharmeasy + tata_1mg (existing) are pharmacy channels and add only a handful of overlapping leaves (health drinks, supplements, baby formula). Every national-leader grocery/quick-commerce app probed (BigBasket, DMart, Blinkit, Zepto, Swiggy Instamart, Amazon Fresh, Nature's Basket, Spencer's) is walled or session-gated; JioMart (Reliance, huge footprint) has an identified but unresolved Fynd-platform API. Both flagged official_avg feeds (Agmarknet, DCA/fcainfoweb) are blocked/gated, not counted toward coverage.</t>
        </is>
      </c>
    </row>
    <row r="136">
      <c r="A136" s="13" t="inlineStr">
        <is>
          <t>sar</t>
        </is>
      </c>
      <c r="B136" s="13" t="inlineStr">
        <is>
          <t>bhutan</t>
        </is>
      </c>
      <c r="C136" s="13" t="n">
        <v>1</v>
      </c>
      <c r="D136" s="13" t="n">
        <v>20</v>
      </c>
      <c r="E136" s="13" t="n">
        <v>7</v>
      </c>
      <c r="F136" s="13" t="inlineStr">
        <is>
          <t>No fresh-produce or wholesale/official_avg feed found for Bhutan in this pass (no Bhutanese equivalent of Kalimati market located); all viable sources (sherza, shoponline, azha_pasa) are packaged/convenience-grocery, none confirmed to carry loose fruits/vegetables/fresh meat as a distinct SKU category.</t>
        </is>
      </c>
      <c r="G136" s="13" t="inlineStr">
        <is>
          <t>New discovery only adds ShopOnline (~45 leaves on packaged goods, same shape as the already-onboarded sherza.bt, so mostly overlapping with what the region already has, not purely incremental -- discounted to ~20 net-new leaves for this report which counts only what THIS agent found, not the pre-existing manifest). Combined with the already-onboarded sherza.bt (full packaged grocery: meat/dairy/beverages/snacks, 500+ SKUs across 137 product_types) the country's TOTAL reachable set (existing + this agent's finds) is materially higher (~70-90 leaves) but that credit belongs to the earlier onboarding round, not this shard.</t>
        </is>
      </c>
    </row>
    <row r="137">
      <c r="A137" s="13" t="inlineStr">
        <is>
          <t>ssa</t>
        </is>
      </c>
      <c r="B137" s="13" t="inlineStr">
        <is>
          <t>mozambique</t>
        </is>
      </c>
      <c r="C137" s="13" t="n">
        <v>2</v>
      </c>
      <c r="D137" s="13" t="n">
        <v>195</v>
      </c>
      <c r="E137" s="13" t="n">
        <v>70</v>
      </c>
      <c r="F137" s="13" t="inlineStr"/>
      <c r="G137" s="13" t="inlineStr">
        <is>
          <t>RECHEIO (1,456-SKU mercearia category alone per prior research + full aisle taxonomy, held to 120 since I couldn't pull a live price myself this pass) + VIP Supermercado (WooCommerce Store API confirmed open at a nonstandard path, net-new ~30) + WFP's 57-commodity panel (net-new ~15: cassava leaves, multi-grade maize meal). Highest estimate in the shard given RECHEIO's breadth is independently well-documented even though my own re-probe only reached the category-existence level, not individual prices.</t>
        </is>
      </c>
    </row>
    <row r="138">
      <c r="A138" s="13" t="inlineStr">
        <is>
          <t>ssa</t>
        </is>
      </c>
      <c r="B138" s="13" t="inlineStr">
        <is>
          <t>senegal</t>
        </is>
      </c>
      <c r="C138" s="13" t="n">
        <v>6</v>
      </c>
      <c r="D138" s="13" t="n">
        <v>185</v>
      </c>
      <c r="E138" s="13" t="n">
        <v>66</v>
      </c>
      <c r="F138" s="13" t="inlineStr"/>
      <c r="G138" s="13" t="inlineStr">
        <is>
          <t>Auchan (full-line anchor, 130) + Yombouna (Supabase, real 'Produits Frais'/'Produits Locaux' categories, net-new ~30 beyond Auchan) + Sakanal (epicerie, net-new ~15) + Kaynoo (local items, net-new ~8) + DiborMarket (unique local fresh/tuber items, net-new ~12) + WFP (live animals + fonio + local cereal forms, net-new ~13). Strongest bloc in the whole shard -- 4 independently-confirmed live full-catalog platforms plus a farm-direct local-item specialist plus WFP.</t>
        </is>
      </c>
    </row>
    <row r="139">
      <c r="A139" s="13" t="inlineStr">
        <is>
          <t>ssa</t>
        </is>
      </c>
      <c r="B139" s="13" t="inlineStr">
        <is>
          <t>malawi</t>
        </is>
      </c>
      <c r="C139" s="13" t="n">
        <v>3</v>
      </c>
      <c r="D139" s="13" t="n">
        <v>183</v>
      </c>
      <c r="E139" s="13" t="n">
        <v>66</v>
      </c>
      <c r="F139" s="13" t="inlineStr"/>
      <c r="G139" s="13" t="inlineStr">
        <is>
          <t>Add2Cart (open Shopify JSON, 110) + DoorShoppin (501 SKUs confirmed, net-new ~40) + Tambala (thin food category, net-new ~3) + WFP's 63-commodity panel (net-new ~30: Malawi-specific leafy greens -- amaranthus/blackjack/cowpea/mustard/pumpkin/rape leaves -- and 5 dried small-fish species, none of which any retailer here carries). EasyMart's prior evidence is now stale (site rebuilt as an SPA) so excluded.</t>
        </is>
      </c>
    </row>
    <row r="140">
      <c r="A140" s="13" t="inlineStr">
        <is>
          <t>ssa</t>
        </is>
      </c>
      <c r="B140" s="13" t="inlineStr">
        <is>
          <t>mauritania</t>
        </is>
      </c>
      <c r="C140" s="13" t="n">
        <v>2</v>
      </c>
      <c r="D140" s="13" t="n">
        <v>175</v>
      </c>
      <c r="E140" s="13" t="n">
        <v>63</v>
      </c>
      <c r="F140" s="13" t="inlineStr"/>
      <c r="G140" s="13" t="inlineStr">
        <is>
          <t>GROX (Shopify+MRU confirmed, 100) + Galerie TATA (PrestaShop+MRU confirmed, net-new ~50) + WFP's 50-commodity panel (net-new ~25: camel meat/milk, live animals, dates -- unique to this feed). Maurikilchi and Almersoul are both real operations behind SPA shells (Inertia.js, Angular) -- not counted, upside only.</t>
        </is>
      </c>
    </row>
    <row r="141">
      <c r="A141" s="13" t="inlineStr">
        <is>
          <t>ssa</t>
        </is>
      </c>
      <c r="B141" s="13" t="inlineStr">
        <is>
          <t>zimbabwe</t>
        </is>
      </c>
      <c r="C141" s="13" t="n">
        <v>1</v>
      </c>
      <c r="D141" s="13" t="n">
        <v>175</v>
      </c>
      <c r="E141" s="13" t="n">
        <v>63</v>
      </c>
      <c r="F141" s="13" t="inlineStr"/>
      <c r="G141" s="13" t="inlineStr">
        <is>
          <t>SPAR Zimbabwe directly confirmed with live USD prices and a real product-listing template (140, full dollarised supermarket chain). TM Pick n Pay net-new ~20 (conservative -- real product-grid container confirmed to exist but no live price pulled this pass). WFP net-new ~15 (biofortified variants, dried kapenta). TillPoint and online-spar.co.zw not counted.</t>
        </is>
      </c>
    </row>
    <row r="142">
      <c r="A142" s="13" t="inlineStr">
        <is>
          <t>ssa</t>
        </is>
      </c>
      <c r="B142" s="13" t="inlineStr">
        <is>
          <t>kenya</t>
        </is>
      </c>
      <c r="C142" s="13" t="n">
        <v>4</v>
      </c>
      <c r="D142" s="13" t="n">
        <v>175</v>
      </c>
      <c r="E142" s="13" t="n">
        <v>63</v>
      </c>
      <c r="F142" s="13" t="inlineStr"/>
      <c r="G142" s="13" t="inlineStr">
        <is>
          <t>foodplus.co.ke (Chandarana, 150, full-line premium supermarket with verified fresh fruit/veg/dairy/meat/cheese/yoghurt taxonomy at 18,205 SKUs) is the backbone; greenspoon.co.ke and zucchini.co.ke add a modest ~15 unique fresh/organic leaves; WFP Kenya (51 commodities, freshest of any panel in the shard) adds ~5 unique (camel meat/milk not sold retail). Naivas/Quickmart/Carrefour/Jumia/Cleanshelf all remain blocked or unconfirmed -- true ceiling is likely higher once those are cracked.</t>
        </is>
      </c>
    </row>
    <row r="143">
      <c r="A143" s="13" t="inlineStr">
        <is>
          <t>ssa</t>
        </is>
      </c>
      <c r="B143" s="13" t="inlineStr">
        <is>
          <t>madagascar</t>
        </is>
      </c>
      <c r="C143" s="13" t="n">
        <v>4</v>
      </c>
      <c r="D143" s="13" t="n">
        <v>170</v>
      </c>
      <c r="E143" s="13" t="n">
        <v>61</v>
      </c>
      <c r="F143" s="13" t="inlineStr"/>
      <c r="G143" s="13" t="inlineStr">
        <is>
          <t>Leader Price (9-store drive chain, ~4,000 SKUs claimed, held to 120 since only one homepage price was independently verified) + Bazariko (full taxonomy confirmed, net-new ~40) + mescourses.mg/ex-supermarche.mg (PrestaShop confirmed, net-new ~20) + WFP (net-new ~8, Bambara groundnuts/cassava specificity). Kibo (PrestaShop platform confirmed but no live category found) not counted -- upside.</t>
        </is>
      </c>
    </row>
    <row r="144">
      <c r="A144" s="13" t="inlineStr">
        <is>
          <t>ssa</t>
        </is>
      </c>
      <c r="B144" s="13" t="inlineStr">
        <is>
          <t>benin</t>
        </is>
      </c>
      <c r="C144" s="13" t="n">
        <v>2</v>
      </c>
      <c r="D144" s="13" t="n">
        <v>160</v>
      </c>
      <c r="E144" s="13" t="n">
        <v>57</v>
      </c>
      <c r="F144" s="13" t="inlineStr">
        <is>
          <t>Meat cuts beyond what NolMarket's 'Viandes-Poissons-Crustasses-Oeufs' category shows in a single page-1 sample; dairy/cheese depth unconfirmed beyond category name.</t>
        </is>
      </c>
      <c r="G144" s="13" t="inlineStr">
        <is>
          <t>NolMarket (2,887 products, genuinely full-line with a dedicated local-staples section) is the strongest single retail source found in this entire pass, estimated ~130 leaves on the brief's full-line-supermarket heuristic. Yobou Market adds a thinner, partially-overlapping ~130-180 SKUs (adds an estimated +15 incremental leaves beyond NolMarket). WFP Benin is live/current with 53 commodities and adds an estimated +15 incremental leaves not well covered by either retailer (snail, bambara groundnut, specific bean/yam varieties).</t>
        </is>
      </c>
    </row>
    <row r="145">
      <c r="A145" s="13" t="inlineStr">
        <is>
          <t>ssa</t>
        </is>
      </c>
      <c r="B145" s="13" t="inlineStr">
        <is>
          <t>zambia</t>
        </is>
      </c>
      <c r="C145" s="13" t="n">
        <v>1</v>
      </c>
      <c r="D145" s="13" t="n">
        <v>135</v>
      </c>
      <c r="E145" s="13" t="n">
        <v>48</v>
      </c>
      <c r="F145" s="13" t="inlineStr">
        <is>
          <t>Shoprite Zambia's absence of an actual online catalog is the biggest correction to the CSV's assumptions -- despite being flagged 'IMPORTANT: Shoprite retained Zambia', there is no e-commerce surface to scrape at all.</t>
        </is>
      </c>
      <c r="G145" s="13" t="inlineStr">
        <is>
          <t>The Lusaka Grocery Delivery Company (Shopify, 250+ products sampled on page 1 alone, full-line per CSV's per-subcategory counts) is a strong single source, estimated near the top of the brief's full-line-supermarket heuristic (120-180 leaves). Shoprite Zambia -- like Shoprite Lesotho -- turned out to be a pure AEM brochure site with no catalog, despite HTTP 200 and CSV's ACCEPT verdict (the '47 stores since 1995' retention note describes physical retail presence, not e-commerce). TigmooEats and AfriDelivery are both inconclusive/app-gated. WFP Zambia is live and mid-depth (29 commodities, including the distinctive dried-kapenta and rape-leaves entries) and adds a meaningful incremental slice not carried by the online grocer.</t>
        </is>
      </c>
    </row>
    <row r="146">
      <c r="A146" s="13" t="inlineStr">
        <is>
          <t>ssa</t>
        </is>
      </c>
      <c r="B146" s="13" t="inlineStr">
        <is>
          <t>ethiopia</t>
        </is>
      </c>
      <c r="C146" s="13" t="n">
        <v>2</v>
      </c>
      <c r="D146" s="13" t="n">
        <v>115</v>
      </c>
      <c r="E146" s="13" t="n">
        <v>41</v>
      </c>
      <c r="F146" s="13" t="inlineStr"/>
      <c r="G146" s="13" t="inlineStr">
        <is>
          <t>Deliver Addis confirmed live (70, packaged-goods-leaning delivery app) + WFP Ethiopia's 96-commodity panel (net-new ~45: teff x4 forms, live animals, camel dairy, multi-form legumes -- essentially zero retail overlap). AradaMart (Wix, claims deep fresh produce) NOT counted -- client-rendered, unverified this pass; treat as upside if a Wix storefront API is found.</t>
        </is>
      </c>
    </row>
    <row r="147">
      <c r="A147" s="13" t="inlineStr">
        <is>
          <t>ssa</t>
        </is>
      </c>
      <c r="B147" s="13" t="inlineStr">
        <is>
          <t>tanzania</t>
        </is>
      </c>
      <c r="C147" s="13" t="n">
        <v>1</v>
      </c>
      <c r="D147" s="13" t="n">
        <v>90</v>
      </c>
      <c r="E147" s="13" t="n">
        <v>32</v>
      </c>
      <c r="F147" s="13" t="inlineStr"/>
      <c r="G147" s="13" t="inlineStr">
        <is>
          <t>Only Fast &amp; Fresh directly confirmed with live prices (70). WFP Tanzania's 31-commodity panel adds ~20 net-new (bone-in/out meat cuts, fresh fish, millet). Jambo Supermarket, duka.direct, and Pick True Fresh (dead domain) are all unconfirmed SPA/app-gated fronts this pass -- weakest country in the shard for confirmed retail depth despite several live operators existing.</t>
        </is>
      </c>
    </row>
    <row r="148">
      <c r="A148" s="13" t="inlineStr">
        <is>
          <t>ssa</t>
        </is>
      </c>
      <c r="B148" s="13" t="inlineStr">
        <is>
          <t>togo</t>
        </is>
      </c>
      <c r="C148" s="13" t="n">
        <v>2</v>
      </c>
      <c r="D148" s="13" t="n">
        <v>90</v>
      </c>
      <c r="E148" s="13" t="n">
        <v>32</v>
      </c>
      <c r="F148" s="13" t="inlineStr">
        <is>
          <t>Mivashop's blocked catalog is the single biggest loss in this country -- it was assessed by the CSV as the deepest, most food-focused Togo source found. Dairy and meat/fish depth beyond Miabe's sampled categories is unconfirmed.</t>
        </is>
      </c>
      <c r="G148" s="13" t="inlineStr">
        <is>
          <t>Miabe Marche (confirmed TIER_1B, real fresh-produce and dried-fish pricing plus a packaged/branded-goods catalog) is the strongest Togo source. Assivito adds a modest, genuinely-local incremental slice (gari, groundnut/sesame paste, dried beans) via its one food category out of 21. Mivashop -- the CSV's own top pick, with a dedicated ALIMENTATION GENERALE category and a full CASINO/CADIE/DOLAIT brand index -- is Cloudflare-blocked on both curl and Playwright, a real loss. KAL Togo's grocery vertical is live but currently empty (a transient state per the CSV's own pass-3 note, not a permanent block). WFP Togo is live but narrow (cereals/pulses only), adding a handful of incremental leaves.</t>
        </is>
      </c>
    </row>
    <row r="149">
      <c r="A149" s="13" t="inlineStr">
        <is>
          <t>ssa</t>
        </is>
      </c>
      <c r="B149" s="13" t="inlineStr">
        <is>
          <t>cabo_verde</t>
        </is>
      </c>
      <c r="C149" s="13" t="n">
        <v>1</v>
      </c>
      <c r="D149" s="13" t="n">
        <v>87</v>
      </c>
      <c r="E149" s="13" t="n">
        <v>31</v>
      </c>
      <c r="F149" s="13" t="inlineStr"/>
      <c r="G149" s="13" t="inlineStr">
        <is>
          <t>Nha Kretxeu (Magento SSR, 1,306 SKUs, confirmed fresh + packaged products on one category page alone) drives essentially all of this estimate. WFP Cabo Verde exists but is stale (2022) and thin (7 commodities) -- weighted near zero, adds ~2 unique leaves at most.</t>
        </is>
      </c>
    </row>
    <row r="150">
      <c r="A150" s="13" t="inlineStr">
        <is>
          <t>ssa</t>
        </is>
      </c>
      <c r="B150" s="13" t="inlineStr">
        <is>
          <t>lesotho</t>
        </is>
      </c>
      <c r="C150" s="13" t="n">
        <v>2</v>
      </c>
      <c r="D150" s="13" t="n">
        <v>80</v>
      </c>
      <c r="E150" s="13" t="n">
        <v>29</v>
      </c>
      <c r="F150" s="13" t="inlineStr">
        <is>
          <t>No confirmed source for the national supermarket chains (Shoprite/PnP have no online catalog); fresh produce and meat depth relies entirely on Wiza's comparison listings and LVM's grocery section, neither independently deep-sampled beyond page 1.</t>
        </is>
      </c>
      <c r="G150" s="13" t="inlineStr">
        <is>
          <t>Lesotho Virtual Mall (1080+ mixed pharmacy/grocery/prepared-food products) and Wiza Shopping (multi-retailer price-comparison hub, confirmed per-kg meat pricing) are both confirmed TIER_1B. Both Pick n Pay and Shoprite Lesotho -- the two national supermarket chains -- turned out to have no e-commerce surface at all (Shoprite is a pure AEM brochure site; PnP is unreachable). Coverage is therefore carried by two smaller/aggregator platforms rather than the chains themselves. WFP Lesotho is live but very narrow (9 commodities, mostly cereals) and adds little beyond what the two retail sources likely already carry.</t>
        </is>
      </c>
    </row>
    <row r="151">
      <c r="A151" s="13" t="inlineStr">
        <is>
          <t>ssa</t>
        </is>
      </c>
      <c r="B151" s="13" t="inlineStr">
        <is>
          <t>sudan</t>
        </is>
      </c>
      <c r="C151" s="13" t="n">
        <v>2</v>
      </c>
      <c r="D151" s="13" t="n">
        <v>58</v>
      </c>
      <c r="E151" s="13" t="n">
        <v>21</v>
      </c>
      <c r="F151" s="13" t="inlineStr"/>
      <c r="G151" s="13" t="inlineStr">
        <is>
          <t>HyperSale's dedicated grocery-market category (packaged goods: coffee, frozen items, biscuits, dairy substitutes) reaches ~45 leaves; WFP Sudan (16 commodities, thinnest panel in the shard, reflecting constrained wartime data collection) adds ~13 unique fresh-meat/cereal leaves not on HyperSale's shelf.</t>
        </is>
      </c>
    </row>
    <row r="152">
      <c r="A152" s="13" t="inlineStr">
        <is>
          <t>ssa</t>
        </is>
      </c>
      <c r="B152" s="13" t="inlineStr">
        <is>
          <t>congo_dem_rep</t>
        </is>
      </c>
      <c r="C152" s="13" t="n">
        <v>2</v>
      </c>
      <c r="D152" s="13" t="n">
        <v>55</v>
      </c>
      <c r="E152" s="13" t="n">
        <v>20</v>
      </c>
      <c r="F152" s="13" t="inlineStr"/>
      <c r="G152" s="13" t="inlineStr">
        <is>
          <t>Shoppi.cd (Shopify, confirmed) is packaged-goods-leaning (~35 leaves: dairy/eggs, dry groceries, alcohol) with NO fresh produce/meat/fish categories observed; WFP DRC (38 commodities, largest raw panel in the shard at 95k rows) supplies the complementary ~20 fresh-tuber/plantain/meat/fish leaves that Shoppi structurally lacks.</t>
        </is>
      </c>
    </row>
    <row r="153">
      <c r="A153" s="13" t="inlineStr">
        <is>
          <t>ssa</t>
        </is>
      </c>
      <c r="B153" s="13" t="inlineStr">
        <is>
          <t>guinea</t>
        </is>
      </c>
      <c r="C153" s="13" t="n">
        <v>2</v>
      </c>
      <c r="D153" s="13" t="n">
        <v>55</v>
      </c>
      <c r="E153" s="13" t="n">
        <v>20</v>
      </c>
      <c r="F153" s="13" t="inlineStr"/>
      <c r="G153" s="13" t="inlineStr">
        <is>
          <t>Beryz's alimentation vertical (dual retail/wholesale pricing, regional tagging) reaches ~40 leaves; WFP Guinea (26 commodities) adds ~15 unique -- fonio, cassava meal products, and 3 separate dried/smoked/fresh fish leaves that Beryz's sampled page did not show.</t>
        </is>
      </c>
    </row>
    <row r="154">
      <c r="A154" s="13" t="inlineStr">
        <is>
          <t>ssa</t>
        </is>
      </c>
      <c r="B154" s="13" t="inlineStr">
        <is>
          <t>ghana</t>
        </is>
      </c>
      <c r="C154" s="13" t="n">
        <v>3</v>
      </c>
      <c r="D154" s="13" t="n">
        <v>47</v>
      </c>
      <c r="E154" s="13" t="n">
        <v>17</v>
      </c>
      <c r="F154" s="13" t="inlineStr">
        <is>
          <t>No confirmed fresh-produce-heavy full-line supermarket currently reachable -- GHBasket and Konzoom are narrower, semi-specialty catalogs. Coverage here is meaningfully lower than the CSV's ACCEPT-heavy list implied, because domain churn and WAF hardening have taken out several of the previously '5.0/A' sources since scoring.</t>
        </is>
      </c>
      <c r="G154" s="13" t="inlineStr">
        <is>
          <t>GHBasket and Konzoom confirmed exactly as the CSV's own EXTRACTION column predicted (both TIER_1B, endpoints live). Tezeon is technically open (Django REST) with a 'Groceries &amp; Food' category present in the taxonomy but the filter param was not resolved in time, so it is counted as thin/uncertain. Several previously-scored 'A - low-hanging fruit' sources did not hold up on re-verification: Melcom's CSV domain is dead (real domain is Cloudflare/Sucuri-blocked), Jumia GH is a documented Cloudflare-challenge block, MaxMart and Palace Hypermarket are respectively inconclusive/dead. WFP Ghana exists but is 3 years stale, contributing little current value.</t>
        </is>
      </c>
    </row>
    <row r="155">
      <c r="A155" s="13" t="inlineStr">
        <is>
          <t>ssa</t>
        </is>
      </c>
      <c r="B155" s="13" t="inlineStr">
        <is>
          <t>cameroon</t>
        </is>
      </c>
      <c r="C155" s="13" t="n">
        <v>0</v>
      </c>
      <c r="D155" s="13" t="n">
        <v>45</v>
      </c>
      <c r="E155" s="13" t="n">
        <v>16</v>
      </c>
      <c r="F155" s="13" t="inlineStr">
        <is>
          <t>Zero working retailer_sku source for Cameroon currently; needs a fresh discovery pass (the three shard candidates all under-delivered on inspection) -- Carrefour/Casino Cameroun stores are indexed by the now-rebranded jeloue.cm per the original CSV note, worth a Playwright pass on that rebrand.</t>
        </is>
      </c>
      <c r="G155" s="13" t="inlineStr">
        <is>
          <t>No confirmed viable retail SKU source: all three ACCEPT/SUSPECT candidates in the shard were either a rebranded general marketplace with no verified price data (Express Market CM / JeLoue), or technically-open-but-thin marketplaces (QuickGo237: 6 vendors citywide; Yorix: 13/189 food SKUs). Coverage this pass is carried almost entirely by WFP Cameroon, the deepest WFP panel found in this shard (55 commodities, live, ~45 leaves).</t>
        </is>
      </c>
    </row>
    <row r="156">
      <c r="A156" s="13" t="inlineStr">
        <is>
          <t>ssa</t>
        </is>
      </c>
      <c r="B156" s="13" t="inlineStr">
        <is>
          <t>rwanda</t>
        </is>
      </c>
      <c r="C156" s="13" t="n">
        <v>1</v>
      </c>
      <c r="D156" s="13" t="n">
        <v>42</v>
      </c>
      <c r="E156" s="13" t="n">
        <v>15</v>
      </c>
      <c r="F156" s="13" t="inlineStr"/>
      <c r="G156" s="13" t="inlineStr">
        <is>
          <t>Zero confirmed retail sources within budget -- haha.rw/Fasita/Pride Farms are all SPA shells needing an API-sniff pass, N.Honest's product API is a confirmed 403. WFP Rwanda is exceptional (65 commodities, 152k rows, near-retail-market resolution) and stands alone as the current backbone.</t>
        </is>
      </c>
    </row>
    <row r="157">
      <c r="A157" s="13" t="inlineStr">
        <is>
          <t>ssa</t>
        </is>
      </c>
      <c r="B157" s="13" t="inlineStr">
        <is>
          <t>angola</t>
        </is>
      </c>
      <c r="C157" s="13" t="n">
        <v>1</v>
      </c>
      <c r="D157" s="13" t="n">
        <v>30</v>
      </c>
      <c r="E157" s="13" t="n">
        <v>11</v>
      </c>
      <c r="F157" s="13" t="inlineStr">
        <is>
          <t>No confirmed fresh-produce or wholesale/official_avg feed with current data; Menamart's login wall is the single highest-value unlock if it can be cracked (guest checkout or scripted auth).</t>
        </is>
      </c>
      <c r="G157" s="13" t="inlineStr">
        <is>
          <t>Only Kiwaba Online (TIER_1B, 302 mixed food+pharmacy products across meat/fish/veg/cereals/dairy/flour) confirmed reachable. Menamart has a much richer 9-category, 1182-SKU F&amp;B taxonomy but prices are login-gated (0 usable leaves as-is). Angoremia is a live, well-branded, food-focused SPA but its Supabase key was not extracted within budget -- likely upgradeable to TIER_1B next pass. Kibabo is self-described non-food, correcting the CSV. WFP official_avg exists but is 5.5 years stale (last update 2020-12), so it adds essentially nothing to a 'current' coverage estimate even though it nominally covers ~10 more leaves historically.</t>
        </is>
      </c>
    </row>
    <row r="158">
      <c r="A158" s="13" t="inlineStr">
        <is>
          <t>ssa</t>
        </is>
      </c>
      <c r="B158" s="13" t="inlineStr">
        <is>
          <t>central_african_republic</t>
        </is>
      </c>
      <c r="C158" s="13" t="n">
        <v>1</v>
      </c>
      <c r="D158" s="13" t="n">
        <v>28</v>
      </c>
      <c r="E158" s="13" t="n">
        <v>10</v>
      </c>
      <c r="F158" s="13" t="inlineStr"/>
      <c r="G158" s="13" t="inlineStr">
        <is>
          <t>Zero confirmed retail sources -- Warani (CSV's only real candidate) is now DNS-dead and Bangui Mall is a brochure with no catalog. WFP CAR (39 commodities, tied-richest panel in the shard, incl. bushmeat species) is the sole viable F&amp;B source; coverage equals its own commodity-to-leaf mapping.</t>
        </is>
      </c>
    </row>
    <row r="159">
      <c r="A159" s="13" t="inlineStr">
        <is>
          <t>ssa</t>
        </is>
      </c>
      <c r="B159" s="13" t="inlineStr">
        <is>
          <t>cote_divoire</t>
        </is>
      </c>
      <c r="C159" s="13" t="n">
        <v>1</v>
      </c>
      <c r="D159" s="13" t="n">
        <v>20</v>
      </c>
      <c r="E159" s="13" t="n">
        <v>7</v>
      </c>
      <c r="F159" s="13" t="inlineStr"/>
      <c r="G159" s="13" t="inlineStr">
        <is>
          <t>Zero confirmed retail sources despite the CSV's optimistic ACCEPT ratings -- Adjovan is 403 on curl AND Playwright, Jumia CI is a confirmed Cloudflare Turnstile challenge, MegaMarche/Playce render but expose no product data within budget, AfricMart is dead. WFP Cote d'Ivoire (27 commodities) is the only viable channel. Weakest country in this shard -- see biggest_remaining_gap.</t>
        </is>
      </c>
    </row>
    <row r="160">
      <c r="A160" s="13" t="inlineStr">
        <is>
          <t>ssa</t>
        </is>
      </c>
      <c r="B160" s="13" t="inlineStr">
        <is>
          <t>gabon</t>
        </is>
      </c>
      <c r="C160" s="13" t="n">
        <v>0</v>
      </c>
      <c r="D160" s="13" t="n">
        <v>4</v>
      </c>
      <c r="E160" s="13" t="n">
        <v>1</v>
      </c>
      <c r="F160" s="13" t="inlineStr"/>
      <c r="G160" s="13" t="inlineStr">
        <is>
          <t>Every retail candidate hit a wall this pass: Cerise = Cloudflare challenge (3 probes), Malumbi = OVHcloud hosting outage (2 probes), Chap Chap = unconfirmed React SPA, Ceca Gadis = dead domain, SendMonTchop = restaurant not grocery. WFP Gabon is structurally thin (4 commodities: cassava/plantains/rice/wheat flour). This is close to a total gap for the country -- Cerise and Malumbi are the two to re-probe first since both hit transient rather than structural failures.</t>
        </is>
      </c>
    </row>
    <row r="161">
      <c r="A161" s="13" t="inlineStr">
        <is>
          <t>ssa</t>
        </is>
      </c>
      <c r="B161" s="13" t="inlineStr">
        <is>
          <t>sao_tome_and_principe</t>
        </is>
      </c>
      <c r="C161" s="13" t="n">
        <v>0</v>
      </c>
      <c r="D161" s="13" t="n">
        <v>0</v>
      </c>
      <c r="E161" s="13" t="n">
        <v>0</v>
      </c>
      <c r="F161" s="13" t="inlineStr">
        <is>
          <t>Everything. This is the weakest country in the shard by a wide margin; next steps would be (a) a scripted-registration attempt on Entrega.st, (b) checking FAO GIEWS or IMF/World Bank price monitors as an alternate official source (not checked this pass), (c) a fresh marketplace/directory discovery pass -- STP is small enough that even a Facebook-Marketplace-style informal-sector census might be the only realistic option.</t>
        </is>
      </c>
      <c r="G161" s="13" t="inlineStr">
        <is>
          <t>Zero confirmed viable sources. Entrega.st is live and food-focused but appears to require a login/account before any catalog data is reachable (zero API calls in an 8s Playwright trace). Sokeru and Super CKdo are both dead domains. No WFP HDX panel exists for this country (confirmed via CKAN 404) -- the only country in this shard with no official_avg fallback at all.</t>
        </is>
      </c>
    </row>
  </sheetData>
  <autoFilter ref="A1:G16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0"/>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16" customWidth="1" min="3" max="3"/>
    <col width="16" customWidth="1" min="4" max="4"/>
    <col width="12" customWidth="1" min="5" max="5"/>
    <col width="58" customWidth="1" min="6" max="6"/>
    <col width="58" customWidth="1" min="7" max="7"/>
  </cols>
  <sheetData>
    <row r="1" ht="30" customHeight="1">
      <c r="A1" s="12" t="inlineStr">
        <is>
          <t>region</t>
        </is>
      </c>
      <c r="B1" s="12" t="inlineStr">
        <is>
          <t>country</t>
        </is>
      </c>
      <c r="C1" s="12" t="inlineStr">
        <is>
          <t>viable_sources</t>
        </is>
      </c>
      <c r="D1" s="12" t="inlineStr">
        <is>
          <t>fnb_leaves_est</t>
        </is>
      </c>
      <c r="E1" s="12" t="inlineStr">
        <is>
          <t>pct_of_279</t>
        </is>
      </c>
      <c r="F1" s="12" t="inlineStr">
        <is>
          <t>biggest_remaining_gap</t>
        </is>
      </c>
      <c r="G1" s="12" t="inlineStr">
        <is>
          <t>reasoning</t>
        </is>
      </c>
    </row>
    <row r="2">
      <c r="A2" s="13" t="inlineStr">
        <is>
          <t>lac</t>
        </is>
      </c>
      <c r="B2" s="13" t="inlineStr">
        <is>
          <t>st_kitts_and_nevis</t>
        </is>
      </c>
      <c r="C2" s="13" t="n">
        <v>0</v>
      </c>
      <c r="D2" s="13" t="n">
        <v>0</v>
      </c>
      <c r="E2" s="13" t="n">
        <v>0</v>
      </c>
      <c r="F2" s="13" t="inlineStr">
        <is>
          <t>Everything; worth a re-probe from a different network/UA before writing off — this looked like the most promising KN lead found.</t>
        </is>
      </c>
      <c r="G2" s="13" t="inlineStr">
        <is>
          <t>RamsToGo (Ram's Supermarket's real online grocery platform, partnered with 869ToGo for delivery) returned a generic HTTP 403 with no identifiable WAF signature from this probe origin — not confirmed as a hard structural block.</t>
        </is>
      </c>
    </row>
    <row r="3">
      <c r="A3" s="13" t="inlineStr">
        <is>
          <t>eca</t>
        </is>
      </c>
      <c r="B3" s="13" t="inlineStr">
        <is>
          <t>denmark</t>
        </is>
      </c>
      <c r="C3" s="13" t="n">
        <v>3</v>
      </c>
      <c r="D3" s="13" t="n">
        <v>0</v>
      </c>
      <c r="E3" s="13" t="n">
        <v>0</v>
      </c>
      <c r="F3" s="13" t="inlineStr">
        <is>
          <t>Zero confirmed F&amp;B coverage - all 3 open candidates are genuine national chains that almost certainly reach 100+ leaves once a correct category/product URL is found; this is a pure follow-up-budget gap, not a structural block.</t>
        </is>
      </c>
      <c r="G3" s="13" t="inlineStr">
        <is>
          <t>Bilka ToGo, Coop.dk MAD, and Foetex all return 200 (Salling Group / Coop platforms, Nuxt-based) with zero Cloudflare/WAF block, but no category or price evidence was captured on their homepages within budget - all need a category-page follow-up before any leaf can be credited.</t>
        </is>
      </c>
    </row>
    <row r="4">
      <c r="A4" s="13" t="inlineStr">
        <is>
          <t>eca</t>
        </is>
      </c>
      <c r="B4" s="13" t="inlineStr">
        <is>
          <t>united_kingdom</t>
        </is>
      </c>
      <c r="C4" s="13" t="n">
        <v>0</v>
      </c>
      <c r="D4" s="13" t="n">
        <v>0</v>
      </c>
      <c r="E4" s="13" t="n">
        <v>0</v>
      </c>
      <c r="F4" s="13" t="inlineStr">
        <is>
          <t>The entire UK grocery retail surface in this shard is walled. Morrisons is the one open door worth a follow-up with a correct category URL; otherwise this market needs a residential-proxy/stealth-Playwright investment before any retailer_sku source is viable.</t>
        </is>
      </c>
      <c r="G4" s="13" t="inlineStr">
        <is>
          <t>Every confirmed-reachable UK grocery chain in the shard is hard-walled: AWS WAF (Ocado), Incapsula (Co-op), Distil-style bot-challenge (ASDA), Akamai (Iceland/Sainsbury's/Tesco), or TCP-layer timeout (Waitrose). Morrisons alone returned 200 without a WAF page but no confirmed product price was extracted.</t>
        </is>
      </c>
    </row>
    <row r="5">
      <c r="A5" s="13" t="inlineStr">
        <is>
          <t>eca</t>
        </is>
      </c>
      <c r="B5" s="13" t="inlineStr">
        <is>
          <t>ireland</t>
        </is>
      </c>
      <c r="C5" s="13" t="n">
        <v>0</v>
      </c>
      <c r="D5" s="13" t="n">
        <v>0</v>
      </c>
      <c r="E5" s="13" t="n">
        <v>0</v>
      </c>
      <c r="F5" s="13" t="inlineStr"/>
      <c r="G5" s="13" t="inlineStr">
        <is>
          <t>Zero retailer_sku catalogues confirmed: all 4 direct chains (Dunnes, Aldi, SuperValu, Tesco) are curl-403 and Lidl is confirmed leaflet-only. MasterMarket (the CSV's recommended workaround for Aldi/Lidl, 8,089 products across all 5 chains) is a pure client-rendered shell this round. supermarket.ie and Quidu are real basket-comparison tools with genuine retailer-sourced EUR data but at basket/category-total grain, not itemized catalogue -- tagged aggregate_proxy and excluded from the leaf count per the brief's rule.</t>
        </is>
      </c>
    </row>
    <row r="6">
      <c r="A6" s="13" t="inlineStr">
        <is>
          <t>eca</t>
        </is>
      </c>
      <c r="B6" s="13" t="inlineStr">
        <is>
          <t>liechtenstein</t>
        </is>
      </c>
      <c r="C6" s="13" t="n">
        <v>0</v>
      </c>
      <c r="D6" s="13" t="n">
        <v>0</v>
      </c>
      <c r="E6" s="13" t="n">
        <v>0</v>
      </c>
      <c r="F6" s="13" t="inlineStr">
        <is>
          <t>Everything - this is a structural zero. The only path forward is unblocking coop.ch or migros.ch (which would also solve Switzerland's biggest gap) since Liechtenstein itself has no addressable retail web presence to onboard.</t>
        </is>
      </c>
      <c r="G6" s="13" t="inlineStr">
        <is>
          <t>Liechtenstein has no domestic supermarket e-commerce sector - it is served entirely by Swiss (coop.ch, migros.ch, both blocked) and to a lesser extent Austrian retailers whose catalogs are not LI-specific. Targeted German-language discovery search found only farm-box subscription services (Hofladen Express, Gmueslada) without itemized online catalogs.</t>
        </is>
      </c>
    </row>
    <row r="7">
      <c r="A7" s="13" t="inlineStr">
        <is>
          <t>lac</t>
        </is>
      </c>
      <c r="B7" s="13" t="inlineStr">
        <is>
          <t>dominica</t>
        </is>
      </c>
      <c r="C7" s="13" t="n">
        <v>0</v>
      </c>
      <c r="D7" s="13" t="n">
        <v>0</v>
      </c>
      <c r="E7" s="13" t="n">
        <v>0</v>
      </c>
      <c r="F7" s="13" t="inlineStr">
        <is>
          <t>Everything; J. Astaphans &amp; Co not yet probed.</t>
        </is>
      </c>
      <c r="G7" s="13" t="inlineStr">
        <is>
          <t>Whitchurch IGA Super Centre (Dominica's only IGA, has an in-store bakery/deli per marketing copy) confirmed brochure-only with no shop links.</t>
        </is>
      </c>
    </row>
    <row r="8">
      <c r="A8" s="13" t="inlineStr">
        <is>
          <t>lac</t>
        </is>
      </c>
      <c r="B8" s="13" t="inlineStr">
        <is>
          <t>antigua_and_barbuda</t>
        </is>
      </c>
      <c r="C8" s="13" t="n">
        <v>0</v>
      </c>
      <c r="D8" s="13" t="n">
        <v>0</v>
      </c>
      <c r="E8" s="13" t="n">
        <v>0</v>
      </c>
      <c r="F8" s="13" t="inlineStr">
        <is>
          <t>Everything; no second chain probed given time budget — Bryson's supermarket not yet checked.</t>
        </is>
      </c>
      <c r="G8" s="13" t="inlineStr">
        <is>
          <t>Epicurean Fine Foods (largest AG grocery/pharmacy chain) confirmed brochure-only, no cart/catalog markup.</t>
        </is>
      </c>
    </row>
    <row r="9">
      <c r="A9" s="13" t="inlineStr">
        <is>
          <t>lac</t>
        </is>
      </c>
      <c r="B9" s="13" t="inlineStr">
        <is>
          <t>grenada</t>
        </is>
      </c>
      <c r="C9" s="13" t="n">
        <v>0</v>
      </c>
      <c r="D9" s="13" t="n">
        <v>0</v>
      </c>
      <c r="E9" s="13" t="n">
        <v>0</v>
      </c>
      <c r="F9" s="13" t="inlineStr">
        <is>
          <t>Everything by the strict verification bar, though the underlying store clearly has a large digital catalog — highest-value next step is a Playwright session capture of shop.realvalueiga.com to grab an auth token, which may also unlock other LocalExpress-powered Eastern Caribbean IGA stores.</t>
        </is>
      </c>
      <c r="G9" s="13" t="inlineStr">
        <is>
          <t>Real Value IGA (Grenada's premier chain, has a dedicated mobile app) confirmed to run on the LocalExpress platform with a real REST API, but the API requires session auth not obtainable from a bare probe (HTTP 401). Not counted as verified coverage without a product+price.</t>
        </is>
      </c>
    </row>
    <row r="10">
      <c r="A10" s="13" t="inlineStr">
        <is>
          <t>lac</t>
        </is>
      </c>
      <c r="B10" s="13" t="inlineStr">
        <is>
          <t>st_lucia</t>
        </is>
      </c>
      <c r="C10" s="13" t="n">
        <v>0</v>
      </c>
      <c r="D10" s="13" t="n">
        <v>0</v>
      </c>
      <c r="E10" s="13" t="n">
        <v>0</v>
      </c>
      <c r="F10" s="13" t="inlineStr">
        <is>
          <t>Everything; Massy is the clear highest-value target and worth a re-probe.</t>
        </is>
      </c>
      <c r="G10" s="13" t="inlineStr">
        <is>
          <t>Massy Stores St. Lucia (regional chain, has a mega warehouse-club format per corporate messaging) 403-blocked; JQ Rodney Bay Mall is a directory site, not a grocery catalog.</t>
        </is>
      </c>
    </row>
    <row r="11">
      <c r="A11" s="13" t="inlineStr">
        <is>
          <t>eca</t>
        </is>
      </c>
      <c r="B11" s="13" t="inlineStr">
        <is>
          <t>sweden</t>
        </is>
      </c>
      <c r="C11" s="13" t="n">
        <v>0</v>
      </c>
      <c r="D11" s="13" t="n">
        <v>0</v>
      </c>
      <c r="E11" s="13" t="n">
        <v>0</v>
      </c>
      <c r="F11" s="13" t="inlineStr">
        <is>
          <t>Sweden currently has zero confirmed retailer_sku sources in this shard. Coop and ICA are the best unconfirmed leads (not blocked, just need a store-select + category flow) and were not in this agent's flagged discovery list, so no net-new search was attempted -- worth flagging for a dedicated follow-up.</t>
        </is>
      </c>
      <c r="G11" s="13" t="inlineStr">
        <is>
          <t>No source in the Swedish shard could be confirmed working: Hemkop and Willys are explicit CloudFront country-geo-fenced, Mathem times out at the TCP layer, and Coop/ICA return 200 but no catalog reachable from a cold homepage fetch (ICA structurally requires store selection first per shard notes).</t>
        </is>
      </c>
    </row>
    <row r="12">
      <c r="A12" s="13" t="inlineStr">
        <is>
          <t>lac</t>
        </is>
      </c>
      <c r="B12" s="13" t="inlineStr">
        <is>
          <t>st_martin_french_part</t>
        </is>
      </c>
      <c r="C12" s="13" t="n">
        <v>0</v>
      </c>
      <c r="D12" s="13" t="n">
        <v>0</v>
      </c>
      <c r="E12" s="13" t="n">
        <v>0</v>
      </c>
      <c r="F12" s="13" t="inlineStr">
        <is>
          <t>Everything; would need a French-Antilles-specific directory (e.g. via Guadeloupe/Martinique distributor networks) rather than a generic brand search.</t>
        </is>
      </c>
      <c r="G12" s="13" t="inlineStr">
        <is>
          <t>No island-specific online grocery storefront located via French-language search; Simply Market/Match/Carrefour results all resolved to mainland-France communes with similar names. No URL was found to probe.</t>
        </is>
      </c>
    </row>
    <row r="13">
      <c r="A13" s="13" t="inlineStr">
        <is>
          <t>lac</t>
        </is>
      </c>
      <c r="B13" s="13" t="inlineStr">
        <is>
          <t>bahamas_the</t>
        </is>
      </c>
      <c r="C13" s="13" t="n">
        <v>0</v>
      </c>
      <c r="D13" s="13" t="n">
        <v>0</v>
      </c>
      <c r="E13" s="13" t="n">
        <v>0</v>
      </c>
      <c r="F13" s="13" t="inlineStr">
        <is>
          <t>Everything — no verified per-SKU source yet; Solomon's is the highest-value next step (real functioning e-commerce, just needs the internal API found).</t>
        </is>
      </c>
      <c r="G13" s="13" t="inlineStr">
        <is>
          <t>Two real online grocery platforms confirmed to exist (Solomon's Fresh Market SPA, SuperValue WooCommerce) but neither exposed a working per-SKU JSON endpoint within probe budget — Solomon's is an SPA on the ECRS Catapult WebCart platform (needs Playwright network capture), SuperValue's WooCommerce Store API route is disabled and its public catalog is PDF/image flyers only.</t>
        </is>
      </c>
    </row>
    <row r="14">
      <c r="A14" s="13" t="inlineStr">
        <is>
          <t>lac</t>
        </is>
      </c>
      <c r="B14" s="13" t="inlineStr">
        <is>
          <t>suriname</t>
        </is>
      </c>
      <c r="C14" s="13" t="n">
        <v>0</v>
      </c>
      <c r="D14" s="13" t="n">
        <v>0</v>
      </c>
      <c r="E14" s="13" t="n">
        <v>0</v>
      </c>
      <c r="F14" s="13" t="inlineStr">
        <is>
          <t>Everything -- the market may only be reachable from a Suriname residential IP (Cloudflare-gated) or would need a captcha-aware browser session for avoda.sr/now2su.com. ABS Suriname (statistics-suriname.org) publishes a monthly CPI PDF (through at least CPI-0925.pdf) that may contain an itemized basic-basket table, but PDF text extraction was inconclusive (compressed streams) -- worth a pdfplumber pass, not counted as a verified source here.</t>
        </is>
      </c>
      <c r="G14" s="13" t="inlineStr">
        <is>
          <t>Every lead traced this pass failed for a distinct, confirmed reason: avoda.sr (SR's main online supermarket) and now2su.com (HEM Suriname's ordering portal) both return the Cloudflare 'Attention Required' challenge page (HTTP 403); tulip-supermarket.com is a single-page brochure site (anchor links only, #departments/#contact, no catalog); shop.amazonewholesale.com has an expired SSL certificate and 404s on both root and /shop even with -k. hem.sr itself also fails certificate verification. No viable source found.</t>
        </is>
      </c>
    </row>
    <row r="15">
      <c r="A15" s="13" t="inlineStr">
        <is>
          <t>menaap</t>
        </is>
      </c>
      <c r="B15" s="13" t="inlineStr">
        <is>
          <t>saudi_arabia</t>
        </is>
      </c>
      <c r="C15" s="13" t="n">
        <v>0</v>
      </c>
      <c r="D15" s="13" t="n">
        <v>0</v>
      </c>
      <c r="E15" s="13" t="n">
        <v>0</v>
      </c>
      <c r="F15" s="13" t="inlineStr">
        <is>
          <t>Store/location-gating is the dominant pattern across all 3 non-walled KSA candidates (Danube, Othaim, Lulu) -- cracking the store-selection flow on any one of them (found Danube's supermarket ID list at /en/store_selector) would likely unlock a large, confirmable full-line hypermarket catalog.</t>
        </is>
      </c>
      <c r="G15" s="13" t="inlineStr">
        <is>
          <t>Most-probed Gulf country in this run and still zero confirmed product+price. Carrefour KSA (mafsau) Akamai-walled. Danube.sa (Spree Commerce, full department taxonomy incl. bakery/dairy/produce/beverages) and Othaim (Next.js) and Lulu KSA both return 200 with no WAF but gate the actual product listing behind a store/branch selection step I could not complete via curl or a quick Playwright pass. Panda hit a 429 (not retried). Nana.sa's root domain turned out to be a gift-card/top-up portal, not the grocery app entry point.</t>
        </is>
      </c>
    </row>
    <row r="16">
      <c r="A16" s="13" t="inlineStr">
        <is>
          <t>menaap</t>
        </is>
      </c>
      <c r="B16" s="13" t="inlineStr">
        <is>
          <t>qatar</t>
        </is>
      </c>
      <c r="C16" s="13" t="n">
        <v>0</v>
      </c>
      <c r="D16" s="13" t="n">
        <v>0</v>
      </c>
      <c r="E16" s="13" t="n">
        <v>0</v>
      </c>
      <c r="F16" s="13" t="inlineStr">
        <is>
          <t>Confirm Lulu's Qatar storefront and look for Family Food Centre / other mid-tier Qatari grocers not yet searched.</t>
        </is>
      </c>
      <c r="G16" s="13" t="inlineStr">
        <is>
          <t>Carrefour Qatar (carrefourqatar.com/mafqat) directly confirmed Akamai-walled (403, AkamaiGHost, 'Access Denied' edge page). Lulu Qatar storefront not separately confirmed beyond the UAE probe.</t>
        </is>
      </c>
    </row>
    <row r="17">
      <c r="A17" s="13" t="inlineStr">
        <is>
          <t>menaap</t>
        </is>
      </c>
      <c r="B17" s="13" t="inlineStr">
        <is>
          <t>united_arab_emirates</t>
        </is>
      </c>
      <c r="C17" s="13" t="n">
        <v>0</v>
      </c>
      <c r="D17" s="13" t="n">
        <v>0</v>
      </c>
      <c r="E17" s="13" t="n">
        <v>0</v>
      </c>
      <c r="F17" s="13" t="inlineStr">
        <is>
          <t>Lulu UAE is the closest Gulf source to being crackable -- Cloudflare is already defeated; only the store-selection interaction remains, which needs a longer, interaction-driven Playwright session (click through a city/store picker) rather than a static GET.</t>
        </is>
      </c>
      <c r="G17" s="13" t="inlineStr">
        <is>
          <t>Carrefour UAE (mafuae) confirmed Akamai-walled. Lulu Hypermarket UAE storefront: Cloudflare challenge successfully bypassed with curl_cffi impersonate=chrome120 (200, 460KB, correct pz-locale/pz-currency session cookies obtained), but the product-listing page (/en-ae/list/?search_text=X) never renders product cards even after setting cookies and an 8s Playwright wait -- confirmed store/location-gated, same pattern as Danube. Talabat UAE homepage loads (200, React SPA) but no grocery/store links surfaced without a delivery location.</t>
        </is>
      </c>
    </row>
    <row r="18">
      <c r="A18" s="13" t="inlineStr">
        <is>
          <t>menaap</t>
        </is>
      </c>
      <c r="B18" s="13" t="inlineStr">
        <is>
          <t>oman</t>
        </is>
      </c>
      <c r="C18" s="13" t="n">
        <v>0</v>
      </c>
      <c r="D18" s="13" t="n">
        <v>0</v>
      </c>
      <c r="E18" s="13" t="n">
        <v>0</v>
      </c>
      <c r="F18" s="13" t="inlineStr">
        <is>
          <t>Zero direct Oman probing done -- lowest-confidence country in this run given time was spent confirming the MAF/Lulu/Danube tenant patterns generically rather than per-country.</t>
        </is>
      </c>
      <c r="G18" s="13" t="inlineStr">
        <is>
          <t>Not directly probed beyond the MAF Carrefour tenant pattern (Akamai-walled in the 4 domains actually tested; Oman's carrefouroman.com was not tested but is presumed same tenant/same block). Lulu Oman storefront not separately confirmed.</t>
        </is>
      </c>
    </row>
    <row r="19">
      <c r="A19" s="13" t="inlineStr">
        <is>
          <t>menaap</t>
        </is>
      </c>
      <c r="B19" s="13" t="inlineStr">
        <is>
          <t>kuwait</t>
        </is>
      </c>
      <c r="C19" s="13" t="n">
        <v>0</v>
      </c>
      <c r="D19" s="13" t="n">
        <v>0</v>
      </c>
      <c r="E19" s="13" t="n">
        <v>0</v>
      </c>
      <c r="F19" s="13" t="inlineStr">
        <is>
          <t>Re-probe The Sultan Center later (site may recover); confirm Lulu's Kuwait storefront (en-kw path) directly.</t>
        </is>
      </c>
      <c r="G19" s="13" t="inlineStr">
        <is>
          <t>The Sultan Center (tsc-kw.com), Kuwait's best-known supermarket e-commerce site, is live but currently serving an unhandled Laravel/Carbon PHP fatal error (HTTP 500) on every request -- a real, broken production deployment, not a WAF. No other Kuwait-specific source confirmed; Lulu Kuwait storefront not separately probed.</t>
        </is>
      </c>
    </row>
    <row r="20">
      <c r="A20" s="13" t="inlineStr">
        <is>
          <t>menaap</t>
        </is>
      </c>
      <c r="B20" s="13" t="inlineStr">
        <is>
          <t>bahrain</t>
        </is>
      </c>
      <c r="C20" s="13" t="n">
        <v>0</v>
      </c>
      <c r="D20" s="13" t="n">
        <v>0</v>
      </c>
      <c r="E20" s="13" t="n">
        <v>0</v>
      </c>
      <c r="F20" s="13" t="inlineStr">
        <is>
          <t>No Bahrain-specific probing was done beyond domain guesses that failed to resolve -- a proper marketplace/seller-directory sweep (Talabat/Instashop Bahrain storefront) was not attempted.</t>
        </is>
      </c>
      <c r="G20" s="13" t="inlineStr">
        <is>
          <t>No confirmed source. Carrefour Bahrain domain guess did not resolve; Al Jazira Supermarket domain guess (aljazirasupermarket.com) did not resolve; MAF Carrefour tenant (confirmed Akamai-walled in UAE/KSA/Qatar/Egypt) almost certainly covers Bahrain too. Lulu Hypermarket (GCC-wide tenant, see discovered) is the most promising unresolved candidate but was only probed on the UAE storefront, not confirmed for Bahrain specifically.</t>
        </is>
      </c>
    </row>
    <row r="21">
      <c r="A21" s="13" t="inlineStr">
        <is>
          <t>lac</t>
        </is>
      </c>
      <c r="B21" s="13" t="inlineStr">
        <is>
          <t>turks_and_caicos_islands</t>
        </is>
      </c>
      <c r="C21" s="13" t="n">
        <v>0</v>
      </c>
      <c r="D21" s="13" t="n">
        <v>0</v>
      </c>
      <c r="E21" s="13" t="n">
        <v>0</v>
      </c>
      <c r="F21" s="13" t="inlineStr">
        <is>
          <t>Everything; grocery delivery in TCI reportedly runs through third-party Instacart-style apps per web search, not the retailer's own site — worth checking those apps' backend directly in a follow-up.</t>
        </is>
      </c>
      <c r="G21" s="13" t="inlineStr">
        <is>
          <t>Graceway Supermarkets (TCI's largest, Providenciales) confirmed brochure-only, no e-commerce fingerprint or shop links found.</t>
        </is>
      </c>
    </row>
    <row r="22">
      <c r="A22" s="13" t="inlineStr">
        <is>
          <t>eca</t>
        </is>
      </c>
      <c r="B22" s="13" t="inlineStr">
        <is>
          <t>belgium</t>
        </is>
      </c>
      <c r="C22" s="13" t="n">
        <v>2</v>
      </c>
      <c r="D22" s="13" t="n">
        <v>0</v>
      </c>
      <c r="E22" s="13" t="n">
        <v>0</v>
      </c>
      <c r="F22" s="13" t="inlineStr">
        <is>
          <t>No confirmed F&amp;B leaf coverage for Belgium at all yet - Colruyt.be (the price leader with a lowest-price guarantee per CSV) is the highest-value next probe.</t>
        </is>
      </c>
      <c r="G22" s="13" t="inlineStr">
        <is>
          <t>Cora is structurally dead (chain closed Jan 2026). AH, Delhaize, Carrefour Belgium are all hard-blocked (Akamai/Cloudflare). Spar Colruyt and Colruyt.be both return 200 with no block signal but no price/category evidence was captured within budget, so zero leaves are counted today despite 2 nominally 'viable' (not-blocked) sources.</t>
        </is>
      </c>
    </row>
    <row r="23">
      <c r="A23" s="13" t="inlineStr">
        <is>
          <t>ssa</t>
        </is>
      </c>
      <c r="B23" s="13" t="inlineStr">
        <is>
          <t>sao_tome_and_principe</t>
        </is>
      </c>
      <c r="C23" s="13" t="n">
        <v>0</v>
      </c>
      <c r="D23" s="13" t="n">
        <v>0</v>
      </c>
      <c r="E23" s="13" t="n">
        <v>0</v>
      </c>
      <c r="F23" s="13" t="inlineStr">
        <is>
          <t>Everything. This is the weakest country in the shard by a wide margin; next steps would be (a) a scripted-registration attempt on Entrega.st, (b) checking FAO GIEWS or IMF/World Bank price monitors as an alternate official source (not checked this pass), (c) a fresh marketplace/directory discovery pass -- STP is small enough that even a Facebook-Marketplace-style informal-sector census might be the only realistic option.</t>
        </is>
      </c>
      <c r="G23" s="13" t="inlineStr">
        <is>
          <t>Zero confirmed viable sources. Entrega.st is live and food-focused but appears to require a login/account before any catalog data is reachable (zero API calls in an 8s Playwright trace). Sokeru and Super CKdo are both dead domains. No WFP HDX panel exists for this country (confirmed via CKAN 404) -- the only country in this shard with no official_avg fallback at all.</t>
        </is>
      </c>
    </row>
    <row r="24">
      <c r="A24" s="13" t="inlineStr">
        <is>
          <t>eap</t>
        </is>
      </c>
      <c r="B24" s="13" t="inlineStr">
        <is>
          <t>guam</t>
        </is>
      </c>
      <c r="C24" s="13" t="n">
        <v>0</v>
      </c>
      <c r="D24" s="13" t="n">
        <v>0</v>
      </c>
      <c r="E24" s="13" t="n">
        <v>0</v>
      </c>
      <c r="F24" s="13" t="inlineStr">
        <is>
          <t>Everything currently usable is 0; Payless Markets is the one credible near-term unlock but needs Firestore protocol work, not a browsing session.</t>
        </is>
      </c>
      <c r="G24" s="13" t="inlineStr">
        <is>
          <t>Payless Markets Guam (paylessmarkets.com) has a live weekly-circular widget at /specials backed by a Google Firestore realtime Listen channel (project duplo-ideal-prod, vendor is a white-label 'Ideal'/'Duplo' circular platform used across several small chains) -- confirmed real product+price data flows through it, but it is not a simple REST endpoint: it requires replicating Firestore's session-negotiated long-polling protocol (gsessionid/SID/RID handshake), which is high-effort and was not completed this session. /online-shopping on the same site now 302-redirects back to the homepage (dead link, feature apparently discontinued). Cost.U.Less (costuless.com, shared Guam/American Samoa/Fiji/Caribbean/Hawaii site) is confirmed brochure-only (store locator + about pages only, no /shop, no /products, 'pick up a flyer in stores' language). islandchoicegrocery.com (a lead surfaced by web search as Guam's first online grocery delivery) now resolves to an unrelated Chinese-language parked/hijacked domain -- dead.</t>
        </is>
      </c>
    </row>
    <row r="25">
      <c r="A25" s="13" t="inlineStr">
        <is>
          <t>eap</t>
        </is>
      </c>
      <c r="B25" s="13" t="inlineStr">
        <is>
          <t>solomon_islands</t>
        </is>
      </c>
      <c r="C25" s="13" t="n">
        <v>0</v>
      </c>
      <c r="D25" s="13" t="n">
        <v>0</v>
      </c>
      <c r="E25" s="13" t="n">
        <v>0</v>
      </c>
      <c r="F25" s="13" t="inlineStr">
        <is>
          <t>Everything. This is a true zero -- worth a dedicated revisit (Bulk Solomons re-probe in case the 404s were transient; Facebook-only chains would need a different acquisition strategy).</t>
        </is>
      </c>
      <c r="G25" s="13" t="inlineStr">
        <is>
          <t>Zero retailer_sku, zero official_avg with item-level prices. sinso_cpi is a cpi_benchmark (aggregate index, not per-commodity prices) so it does not unlock individual COICOP leaves. our_telekom_plans and siea_tariff are non-F&amp;B tariffs. The one new lead found, Bulk Solomons (bulksolomons.com.sb), resolves via DNS but every path -- including the root -- returns an nginx 404, and HTTPS fails the TLS handshake; the site appears to be down or misconfigured, not a live storefront, despite external directory listings describing it as an active online grocery importer. No other Solomon Islands supermarket has a public web catalog found in this pass (Pacific business directories list stores but none link to functioning e-commerce).</t>
        </is>
      </c>
    </row>
    <row r="26">
      <c r="A26" s="13" t="inlineStr">
        <is>
          <t>eap</t>
        </is>
      </c>
      <c r="B26" s="13" t="inlineStr">
        <is>
          <t>kiribati</t>
        </is>
      </c>
      <c r="C26" s="13" t="n">
        <v>0</v>
      </c>
      <c r="D26" s="13" t="n">
        <v>0</v>
      </c>
      <c r="E26" s="13" t="n">
        <v>0</v>
      </c>
      <c r="F26" s="13" t="inlineStr">
        <is>
          <t>Everything. True zero, well-evidenced (see blockers).</t>
        </is>
      </c>
      <c r="G26" s="13" t="inlineStr">
        <is>
          <t>No retailer_sku source exists or was found this session. SPC DF_CPI gives only a division-01 (all-food) inflation index for Kiribati (GEO_PICT=KI), not item-level prices, so it does not count as coverage under the brief's rule (index != observed price).</t>
        </is>
      </c>
    </row>
    <row r="27">
      <c r="A27" s="13" t="inlineStr">
        <is>
          <t>eap</t>
        </is>
      </c>
      <c r="B27" s="13" t="inlineStr">
        <is>
          <t>marshall_islands</t>
        </is>
      </c>
      <c r="C27" s="13" t="n">
        <v>0</v>
      </c>
      <c r="D27" s="13" t="n">
        <v>0</v>
      </c>
      <c r="E27" s="13" t="n">
        <v>0</v>
      </c>
      <c r="F27" s="13" t="inlineStr">
        <is>
          <t>Everything. True zero for retail; DF_HHEXP is a promising structural lead for basket-weighting work but not for price-level corpus.</t>
        </is>
      </c>
      <c r="G27" s="13" t="inlineStr">
        <is>
          <t>No retailer_sku source exists or was found this session (EZ Price Mart, Payless Supermarket, K&amp;K Island Pride, Formosa Supermarket -- none have a resolvable domain). SPC DF_HHEXP has COICOP-subclass-level HOUSEHOLD EXPENDITURE data for GEO_PICT=MH (79 distinct 01_* subclass codes) but this is expenditure/budget-share, not a per-unit price observation -- cannot be turned into a price without an accompanying quantity field, which the dataflow does not carry. Not counted as coverage.</t>
        </is>
      </c>
    </row>
    <row r="28">
      <c r="A28" s="13" t="inlineStr">
        <is>
          <t>eap</t>
        </is>
      </c>
      <c r="B28" s="13" t="inlineStr">
        <is>
          <t>french_polynesia</t>
        </is>
      </c>
      <c r="C28" s="13" t="n">
        <v>0</v>
      </c>
      <c r="D28" s="13" t="n">
        <v>0</v>
      </c>
      <c r="E28" s="13" t="n">
        <v>0</v>
      </c>
      <c r="F28" s="13" t="inlineStr">
        <is>
          <t>If a France/PF-routed proxy or residential IP ever becomes available, ecourses.carrefour.pf is very likely the single highest-value unlock in this whole shard -- worth flagging for future sessions rather than re-probing from scratch.</t>
        </is>
      </c>
      <c r="G28" s="13" t="inlineStr">
        <is>
          <t>carrefour.pf's e-commerce arm (ecourses.carrefour.pf, per-store: /arue, /punaauia) is a real, working PrestaShop-family platform but returns HTTP 403 with an explicit French message ('Vous ne pouvez pas accéder a notre boutique depuis votre pays' -- you cannot access our shop from your country) -- a genuine geo-restriction, not a generic bot block, confirmed via direct curl from non-PF IP. championtahiti.com (Champion) and magasins-u.pf (Super U) are both brochure-only, no online shop link found in either. Because none of these currently return usable product+price data, coverage is 0 despite the underlying retail landscape (French supermarket chains, full-line) being the strongest fundamentals in the entire 12-country set.</t>
        </is>
      </c>
    </row>
    <row r="29">
      <c r="A29" s="13" t="inlineStr">
        <is>
          <t>eap</t>
        </is>
      </c>
      <c r="B29" s="13" t="inlineStr">
        <is>
          <t>american_samoa</t>
        </is>
      </c>
      <c r="C29" s="13" t="n">
        <v>0</v>
      </c>
      <c r="D29" s="13" t="n">
        <v>0</v>
      </c>
      <c r="E29" s="13" t="n">
        <v>0</v>
      </c>
      <c r="F29" s="13" t="inlineStr">
        <is>
          <t>Everything. True zero, well-evidenced.</t>
        </is>
      </c>
      <c r="G29" s="13" t="inlineStr">
        <is>
          <t>No retailer_sku source exists or was found this session (Pago Supermarket, KS Mart, TSM Mart -- no resolvable domains; Cost.U.Less American Samoa has no online catalog, only a Facebook page).</t>
        </is>
      </c>
    </row>
    <row r="30">
      <c r="A30" s="13" t="inlineStr">
        <is>
          <t>eap</t>
        </is>
      </c>
      <c r="B30" s="13" t="inlineStr">
        <is>
          <t>northern_mariana_islands</t>
        </is>
      </c>
      <c r="C30" s="13" t="n">
        <v>0</v>
      </c>
      <c r="D30" s="13" t="n">
        <v>0</v>
      </c>
      <c r="E30" s="13" t="n">
        <v>0</v>
      </c>
      <c r="F30" s="13" t="inlineStr">
        <is>
          <t>Everything. True zero, well-evidenced.</t>
        </is>
      </c>
      <c r="G30" s="13" t="inlineStr">
        <is>
          <t>No retailer_sku source exists or was found this session. Joeten (CNMI's leading grocery chain per search) -- joetensuperstore.com resolves but is a GoDaddy 'Launching Soon' parked page, no content. Welcome Supermarket and K-Supermarket (Saipan/Tinian) have no discoverable domains.</t>
        </is>
      </c>
    </row>
    <row r="31">
      <c r="A31" s="13" t="inlineStr">
        <is>
          <t>eap</t>
        </is>
      </c>
      <c r="B31" s="13" t="inlineStr">
        <is>
          <t>new_caledonia</t>
        </is>
      </c>
      <c r="C31" s="13" t="n">
        <v>0</v>
      </c>
      <c r="D31" s="13" t="n">
        <v>0</v>
      </c>
      <c r="E31" s="13" t="n">
        <v>0</v>
      </c>
      <c r="F31" s="13" t="inlineStr">
        <is>
          <t>Everything. Korail Drive re-probe (DNS retry, possibly a different resolver or off-peak) is the single highest-value next step -- it is the one candidate here that isn't a confirmed structural block.</t>
        </is>
      </c>
      <c r="G31" s="13" t="inlineStr">
        <is>
          <t>Zero retailer_sku, zero official_avg with price levels. Casino (supermarche-casino.nc), the largest chain with online delivery, returns HTTP 400 with a Facebook-branded error page (id="facebook") -- the ordering flow appears gated behind Facebook login/OAuth and is not reachable with a bare client. Korail Drive (koraildrive.nc, ~1,500 SKUs per press coverage) fails to resolve via DNS in this environment after repeated retries (isee.nc and data.gouv.nc resolve fine from the same host, so this looks like a domain-specific issue, not a sandbox-wide TLD block) -- genuinely unverified, not a confirmed block. ISEE's open-data IPC detaille dataset (data.gouv.nc, Opendatasoft API, confirmed working, 30,712 records) publishes a COICOP-classified consumer price INDEX (base=100 'valeur' field), not absolute price levels -- does not fit the official_avg role as-is.</t>
        </is>
      </c>
    </row>
    <row r="32">
      <c r="A32" s="13" t="inlineStr">
        <is>
          <t>eap</t>
        </is>
      </c>
      <c r="B32" s="13" t="inlineStr">
        <is>
          <t>south_korea</t>
        </is>
      </c>
      <c r="C32" s="13" t="n">
        <v>0</v>
      </c>
      <c r="D32" s="13" t="n">
        <v>0</v>
      </c>
      <c r="E32" s="13" t="n">
        <v>0</v>
      </c>
      <c r="F32" s="13" t="inlineStr">
        <is>
          <t>Everything KAMIS would cover -- fresh produce, livestock, fishery wholesale/retail prices across ~17 KAMIS sub-APIs. This needs a human to complete registration out-of-band; South Korea's existing retail_sku sources (emart_kr, kurly_kr, oasis_kr) already give reasonable grocery e-commerce coverage in the meantime.</t>
        </is>
      </c>
      <c r="G32" s="13" t="inlineStr">
        <is>
          <t>KAMIS (kamis.or.kr) and its data.go.kr mirror both gate every endpoint behind a registered cert_key/cert_id issued after member signup and approval -- no unauthenticated read path exists on either domain. Confirms the prior finding (2026-08-05 session note) that KAMIS is signup-blocked, not code-blocked; re-derivation this session reached the same wall via a second domain (data.go.kr) as well.</t>
        </is>
      </c>
    </row>
    <row r="33">
      <c r="A33" s="13" t="inlineStr">
        <is>
          <t>ssa</t>
        </is>
      </c>
      <c r="B33" s="13" t="inlineStr">
        <is>
          <t>gabon</t>
        </is>
      </c>
      <c r="C33" s="13" t="n">
        <v>0</v>
      </c>
      <c r="D33" s="13" t="n">
        <v>4</v>
      </c>
      <c r="E33" s="13" t="n">
        <v>1</v>
      </c>
      <c r="F33" s="13" t="inlineStr"/>
      <c r="G33" s="13" t="inlineStr">
        <is>
          <t>Every retail candidate hit a wall this pass: Cerise = Cloudflare challenge (3 probes), Malumbi = OVHcloud hosting outage (2 probes), Chap Chap = unconfirmed React SPA, Ceca Gadis = dead domain, SendMonTchop = restaurant not grocery. WFP Gabon is structurally thin (4 commodities: cassava/plantains/rice/wheat flour). This is close to a total gap for the country -- Cerise and Malumbi are the two to re-probe first since both hit transient rather than structural failures.</t>
        </is>
      </c>
    </row>
    <row r="34">
      <c r="A34" s="13" t="inlineStr">
        <is>
          <t>eca</t>
        </is>
      </c>
      <c r="B34" s="13" t="inlineStr">
        <is>
          <t>cyprus</t>
        </is>
      </c>
      <c r="C34" s="13" t="n">
        <v>0</v>
      </c>
      <c r="D34" s="13" t="n">
        <v>5</v>
      </c>
      <c r="E34" s="13" t="n">
        <v>2</v>
      </c>
      <c r="F34" s="13" t="inlineStr"/>
      <c r="G34" s="13" t="inlineStr">
        <is>
          <t>Zero confirmed retailer_sku sources: Alphamega and SupermarketCy are Cloudflare-walled, Sklavenitis Cyprus's original domain is parked, its successor domain (via Papantoniou redirect) has a WooCommerce theme but no exposed Store API and no visible catalogue, Metro Cyprus shows no e-commerce on its homepage. Biggest remaining gap in this shard.</t>
        </is>
      </c>
    </row>
    <row r="35">
      <c r="A35" s="13" t="inlineStr">
        <is>
          <t>eca</t>
        </is>
      </c>
      <c r="B35" s="13" t="inlineStr">
        <is>
          <t>luxembourg</t>
        </is>
      </c>
      <c r="C35" s="13" t="n">
        <v>0</v>
      </c>
      <c r="D35" s="13" t="n">
        <v>5</v>
      </c>
      <c r="E35" s="13" t="n">
        <v>2</v>
      </c>
      <c r="F35" s="13" t="inlineStr"/>
      <c r="G35" s="13" t="inlineStr">
        <is>
          <t>Zero confirmed retailer_sku sources out of 5 shard candidates: Auchan and Delhaize are curl-403, Cactus is behind an F5 BIG-IP ASM WAF rejection page (new blocker class this run), Match Luxembourg timed out, and Pall Center has a WooCommerce theme but no registered Store API route and no visible catalogue on its homepage. Total gap alongside Cyprus, Greece and Ireland; a tiny, rich, heavily-WAF'd EU market.</t>
        </is>
      </c>
    </row>
    <row r="36">
      <c r="A36" s="13" t="inlineStr">
        <is>
          <t>eca</t>
        </is>
      </c>
      <c r="B36" s="13" t="inlineStr">
        <is>
          <t>norway</t>
        </is>
      </c>
      <c r="C36" s="13" t="n">
        <v>1</v>
      </c>
      <c r="D36" s="13" t="n">
        <v>9</v>
      </c>
      <c r="E36" s="13" t="n">
        <v>3</v>
      </c>
      <c r="F36" s="13" t="inlineStr">
        <is>
          <t>General grocery (fresh, dairy, meat, bakery) entirely unconfirmed - Meny's /varer route already resolves (not 404), making it the fastest next win.</t>
        </is>
      </c>
      <c r="G36" s="13" t="inlineStr">
        <is>
          <t>Only Vinmonopolet has confirmed category evidence (state alcohol monopoly, ~9 COICOP-02 alcohol leaves). Coop Norge, Spar NO, and Meny are all real national chains returning 200 with zero block signal, but their homepages carry no product/category data in static HTML (fully client-rendered) - per the brief's strict 'count what you saw' rule these are not credited today even though structurally they would likely reach 120-160 leaves each once resolved.</t>
        </is>
      </c>
    </row>
    <row r="37">
      <c r="A37" s="13" t="inlineStr">
        <is>
          <t>eca</t>
        </is>
      </c>
      <c r="B37" s="13" t="inlineStr">
        <is>
          <t>greece</t>
        </is>
      </c>
      <c r="C37" s="13" t="n">
        <v>0</v>
      </c>
      <c r="D37" s="13" t="n">
        <v>10</v>
      </c>
      <c r="E37" s="13" t="n">
        <v>4</v>
      </c>
      <c r="F37" s="13" t="inlineStr"/>
      <c r="G37" s="13" t="inlineStr">
        <is>
          <t>Heaviest wall in the whole shard: PosoKanei.gov.gr (the CSV's single most valuable ECA source) 403s with no CDN fingerprint (likely a Greece-only IP allowlist); AB Vassilopoulos is Akamai-blocked; Sklavenitis, My Market, Masoutis are all curl-403; efood.gr is Cloudflare-challenged; Lidl Greece is confirmed leaflet-only (no real catalogue); Chalkiadakis is a dead 1990s-era site. Zero retailer_sku sources confirmed this round despite Greece having the strongest documented candidates in the whole shard on paper.</t>
        </is>
      </c>
    </row>
    <row r="38">
      <c r="A38" s="13" t="inlineStr">
        <is>
          <t>eap</t>
        </is>
      </c>
      <c r="B38" s="13" t="inlineStr">
        <is>
          <t>papua_new_guinea</t>
        </is>
      </c>
      <c r="C38" s="13" t="n">
        <v>1</v>
      </c>
      <c r="D38" s="13" t="n">
        <v>18</v>
      </c>
      <c r="E38" s="13" t="n">
        <v>6</v>
      </c>
      <c r="F38" s="13" t="inlineStr">
        <is>
          <t>Fresh produce, dairy, bakery, beverages -- essentially everything except meat. This is the weakest country in the shard for supermarket coverage; the FPDA food price bulletin (see discovered) is the most promising unexploited lead for fresh produce/staples but is unverified.</t>
        </is>
      </c>
      <c r="G38" s="13" t="inlineStr">
        <is>
          <t>Only food_pro is live, and it is a meat/butcher-shop catalog (Tablebird chicken, pork cuts, hams, salami, sausages, beef steaks) plus gift vouchers -- 152 items, reaches roughly the meat &amp; processed-meat leaves only (~18 of 279), no fresh produce, dairy, bakery, or beverages. RH Hypermarket (PNG's largest, ~45,000 products) is now Cloudflare-walled. CPL/Stop &amp; Shop (shop.cpl.com.pg) reconfirmed geo-fenced (connection refused from non-PNG IP, matches known_blockers.md). Jack's PNG (jackspng.com, live WooCommerce, HTTP 200) has zero grocery/food categories -- apparel and general merchandise only. No official_avg found: PNG NSO's CPI page publishes only index numbers online (PDF may have more detail, not verified); WFP has no HDX food-prices dataset for PNG.</t>
        </is>
      </c>
    </row>
    <row r="39">
      <c r="A39" s="13" t="inlineStr">
        <is>
          <t>sar</t>
        </is>
      </c>
      <c r="B39" s="13" t="inlineStr">
        <is>
          <t>bhutan</t>
        </is>
      </c>
      <c r="C39" s="13" t="n">
        <v>1</v>
      </c>
      <c r="D39" s="13" t="n">
        <v>20</v>
      </c>
      <c r="E39" s="13" t="n">
        <v>7</v>
      </c>
      <c r="F39" s="13" t="inlineStr">
        <is>
          <t>No fresh-produce or wholesale/official_avg feed found for Bhutan in this pass (no Bhutanese equivalent of Kalimati market located); all viable sources (sherza, shoponline, azha_pasa) are packaged/convenience-grocery, none confirmed to carry loose fruits/vegetables/fresh meat as a distinct SKU category.</t>
        </is>
      </c>
      <c r="G39" s="13" t="inlineStr">
        <is>
          <t>New discovery only adds ShopOnline (~45 leaves on packaged goods, same shape as the already-onboarded sherza.bt, so mostly overlapping with what the region already has, not purely incremental -- discounted to ~20 net-new leaves for this report which counts only what THIS agent found, not the pre-existing manifest). Combined with the already-onboarded sherza.bt (full packaged grocery: meat/dairy/beverages/snacks, 500+ SKUs across 137 product_types) the country's TOTAL reachable set (existing + this agent's finds) is materially higher (~70-90 leaves) but that credit belongs to the earlier onboarding round, not this shard.</t>
        </is>
      </c>
    </row>
    <row r="40">
      <c r="A40" s="13" t="inlineStr">
        <is>
          <t>ssa</t>
        </is>
      </c>
      <c r="B40" s="13" t="inlineStr">
        <is>
          <t>cote_divoire</t>
        </is>
      </c>
      <c r="C40" s="13" t="n">
        <v>1</v>
      </c>
      <c r="D40" s="13" t="n">
        <v>20</v>
      </c>
      <c r="E40" s="13" t="n">
        <v>7</v>
      </c>
      <c r="F40" s="13" t="inlineStr"/>
      <c r="G40" s="13" t="inlineStr">
        <is>
          <t>Zero confirmed retail sources despite the CSV's optimistic ACCEPT ratings -- Adjovan is 403 on curl AND Playwright, Jumia CI is a confirmed Cloudflare Turnstile challenge, MegaMarche/Playce render but expose no product data within budget, AfricMart is dead. WFP Cote d'Ivoire (27 commodities) is the only viable channel. Weakest country in this shard -- see biggest_remaining_gap.</t>
        </is>
      </c>
    </row>
    <row r="41">
      <c r="A41" s="13" t="inlineStr">
        <is>
          <t>menaap</t>
        </is>
      </c>
      <c r="B41" s="13" t="inlineStr">
        <is>
          <t>yemen</t>
        </is>
      </c>
      <c r="C41" s="13" t="n">
        <v>2</v>
      </c>
      <c r="D41" s="13" t="n">
        <v>26</v>
      </c>
      <c r="E41" s="13" t="n">
        <v>9</v>
      </c>
      <c r="F41" s="13" t="inlineStr"/>
      <c r="G41" s="13" t="inlineStr">
        <is>
          <t>WFP official_avg (17 leaves - Yemen's thinnest panel, no dairy/fruit at all) + Yemen Box's packaged-goods grocery collection (12 SKUs, mostly imported shelf-stable items like cheese/dessert, near-zero overlap with WFP's staples) = ~26 net leaves. Yemen Storez has a confirmed Food &amp; Beverages category but products could not be extracted without Playwright, so not counted.</t>
        </is>
      </c>
    </row>
    <row r="42">
      <c r="A42" s="13" t="inlineStr">
        <is>
          <t>eap</t>
        </is>
      </c>
      <c r="B42" s="13" t="inlineStr">
        <is>
          <t>china</t>
        </is>
      </c>
      <c r="C42" s="13" t="n">
        <v>1</v>
      </c>
      <c r="D42" s="13" t="n">
        <v>25</v>
      </c>
      <c r="E42" s="13" t="n">
        <v>9</v>
      </c>
      <c r="F42" s="13" t="inlineStr">
        <is>
          <t>MOA's 200-index wholesale feed is the highest-value unresolved lead for China -- needs a Playwright network-tab trace, ideally from a CN-adjacent network path.</t>
        </is>
      </c>
      <c r="G42" s="13" t="inlineStr">
        <is>
          <t>Existing coverage is the WFP HDX panel already onboarded; conservatively estimated lower than other WFP EAP panels (~25 leaves) given China's WFP monitoring is generally thinner than in food-insecure EAP markets, not independently re-verified this session. MOA's 'Agricultural Product Wholesale Price 200 Index' (235 markets, daily) is a real, large, official feed but data.moa.gov.cn and ncpscxx.moa.gov.cn both returned 200 with content that reads as a JS-SPA bootstrap shell rather than server-rendered data or a discoverable JSON endpoint -- not resolved this session, and China sources are additionally exposed to GFW-style connectivity drops for non-CN egress per prior repo history (metro.cn TLS stalls).</t>
        </is>
      </c>
    </row>
    <row r="43">
      <c r="A43" s="13" t="inlineStr">
        <is>
          <t>menaap</t>
        </is>
      </c>
      <c r="B43" s="13" t="inlineStr">
        <is>
          <t>lebanon</t>
        </is>
      </c>
      <c r="C43" s="13" t="n">
        <v>1</v>
      </c>
      <c r="D43" s="13" t="n">
        <v>26</v>
      </c>
      <c r="E43" s="13" t="n">
        <v>9</v>
      </c>
      <c r="F43" s="13" t="inlineStr"/>
      <c r="G43" s="13" t="inlineStr">
        <is>
          <t>No retail source confirmed this pass - Allosh Market (alloshmart.com) is a real 24hr supermarket app but is a React+Supabase SPA with no server-rendered product data reached via curl. Coverage is WFP-only (26 leaves).</t>
        </is>
      </c>
    </row>
    <row r="44">
      <c r="A44" s="13" t="inlineStr">
        <is>
          <t>menaap</t>
        </is>
      </c>
      <c r="B44" s="13" t="inlineStr">
        <is>
          <t>iraq</t>
        </is>
      </c>
      <c r="C44" s="13" t="n">
        <v>1</v>
      </c>
      <c r="D44" s="13" t="n">
        <v>26</v>
      </c>
      <c r="E44" s="13" t="n">
        <v>9</v>
      </c>
      <c r="F44" s="13" t="inlineStr"/>
      <c r="G44" s="13" t="inlineStr">
        <is>
          <t>No retail source confirmed this pass - Zad is undeployed, Al-Taawon is an unrendered SPA shell, Carrefour Iraq failed to connect. Coverage is WFP-only (26 leaves: dates, cheese, yogurt, 3 rice varieties, meats, pulses, cereals).</t>
        </is>
      </c>
    </row>
    <row r="45">
      <c r="A45" s="13" t="inlineStr">
        <is>
          <t>menaap</t>
        </is>
      </c>
      <c r="B45" s="13" t="inlineStr">
        <is>
          <t>iran</t>
        </is>
      </c>
      <c r="C45" s="13" t="n">
        <v>1</v>
      </c>
      <c r="D45" s="13" t="n">
        <v>26</v>
      </c>
      <c r="E45" s="13" t="n">
        <v>9</v>
      </c>
      <c r="F45" s="13" t="inlineStr"/>
      <c r="G45" s="13" t="inlineStr">
        <is>
          <t>No retail source confirmed this pass despite Iran's large domestic e-commerce sector - Bamo Market (mid-tier, best lead) needs a city/session cookie not captured via curl; Digikala Jet and Snapp Market are the two largest platforms and both show the expected market-leader hardening (Snapp: ArvanCloud infinite-redirect bot wall). Coverage is WFP-only (26 leaves), on a panel that is 4-25x thinner in row count than the other 7 countries - worth checking date coverage before treating it as equally current.</t>
        </is>
      </c>
    </row>
    <row r="46">
      <c r="A46" s="13" t="inlineStr">
        <is>
          <t>ssa</t>
        </is>
      </c>
      <c r="B46" s="13" t="inlineStr">
        <is>
          <t>central_african_republic</t>
        </is>
      </c>
      <c r="C46" s="13" t="n">
        <v>1</v>
      </c>
      <c r="D46" s="13" t="n">
        <v>28</v>
      </c>
      <c r="E46" s="13" t="n">
        <v>10</v>
      </c>
      <c r="F46" s="13" t="inlineStr"/>
      <c r="G46" s="13" t="inlineStr">
        <is>
          <t>Zero confirmed retail sources -- Warani (CSV's only real candidate) is now DNS-dead and Bangui Mall is a brochure with no catalog. WFP CAR (39 commodities, tied-richest panel in the shard, incl. bushmeat species) is the sole viable F&amp;B source; coverage equals its own commodity-to-leaf mapping.</t>
        </is>
      </c>
    </row>
    <row r="47">
      <c r="A47" s="13" t="inlineStr">
        <is>
          <t>menaap</t>
        </is>
      </c>
      <c r="B47" s="13" t="inlineStr">
        <is>
          <t>jordan</t>
        </is>
      </c>
      <c r="C47" s="13" t="n">
        <v>1</v>
      </c>
      <c r="D47" s="13" t="n">
        <v>29</v>
      </c>
      <c r="E47" s="13" t="n">
        <v>10</v>
      </c>
      <c r="F47" s="13" t="inlineStr"/>
      <c r="G47" s="13" t="inlineStr">
        <is>
          <t>No retail source verified this pass - matjarii.com (403), imoneh.com and carrefourjordan.com (connection failures). Coverage is entirely from WFP's richest non-conflict panel (29 leaves: fruit, veg, 2 dairy, 3 meats, 2 oils, cereals, pulses).</t>
        </is>
      </c>
    </row>
    <row r="48">
      <c r="A48" s="13" t="inlineStr">
        <is>
          <t>ssa</t>
        </is>
      </c>
      <c r="B48" s="13" t="inlineStr">
        <is>
          <t>angola</t>
        </is>
      </c>
      <c r="C48" s="13" t="n">
        <v>1</v>
      </c>
      <c r="D48" s="13" t="n">
        <v>30</v>
      </c>
      <c r="E48" s="13" t="n">
        <v>11</v>
      </c>
      <c r="F48" s="13" t="inlineStr">
        <is>
          <t>No confirmed fresh-produce or wholesale/official_avg feed with current data; Menamart's login wall is the single highest-value unlock if it can be cracked (guest checkout or scripted auth).</t>
        </is>
      </c>
      <c r="G48" s="13" t="inlineStr">
        <is>
          <t>Only Kiwaba Online (TIER_1B, 302 mixed food+pharmacy products across meat/fish/veg/cereals/dairy/flour) confirmed reachable. Menamart has a much richer 9-category, 1182-SKU F&amp;B taxonomy but prices are login-gated (0 usable leaves as-is). Angoremia is a live, well-branded, food-focused SPA but its Supabase key was not extracted within budget -- likely upgradeable to TIER_1B next pass. Kibabo is self-described non-food, correcting the CSV. WFP official_avg exists but is 5.5 years stale (last update 2020-12), so it adds essentially nothing to a 'current' coverage estimate even though it nominally covers ~10 more leaves historically.</t>
        </is>
      </c>
    </row>
    <row r="49">
      <c r="A49" s="13" t="inlineStr">
        <is>
          <t>menaap</t>
        </is>
      </c>
      <c r="B49" s="13" t="inlineStr">
        <is>
          <t>libya</t>
        </is>
      </c>
      <c r="C49" s="13" t="n">
        <v>4</v>
      </c>
      <c r="D49" s="13" t="n">
        <v>32</v>
      </c>
      <c r="E49" s="13" t="n">
        <v>11</v>
      </c>
      <c r="F49" s="13" t="inlineStr"/>
      <c r="G49" s="13" t="inlineStr">
        <is>
          <t>WFP official_avg (23 leaves: cereals/tubers, meat/fish/eggs, some dairy, oils, pulses, veg) + big.ly fresh-produce category (verified 20 SKUs incl. eggplant/peas/onions with likely some overlap on veg with WFP) = ~32 net distinct leaves after removing duplicate onion/tomato/potato entries. Shobly + Matjar Libya are live but confirmed non-food, not counted.</t>
        </is>
      </c>
    </row>
    <row r="50">
      <c r="A50" s="13" t="inlineStr">
        <is>
          <t>menaap</t>
        </is>
      </c>
      <c r="B50" s="13" t="inlineStr">
        <is>
          <t>west_bank_and_gaza</t>
        </is>
      </c>
      <c r="C50" s="13" t="n">
        <v>1</v>
      </c>
      <c r="D50" s="13" t="n">
        <v>33</v>
      </c>
      <c r="E50" s="13" t="n">
        <v>12</v>
      </c>
      <c r="F50" s="13" t="inlineStr"/>
      <c r="G50" s="13" t="inlineStr">
        <is>
          <t>No F&amp;B retail source found - Arammon (100+ categories, confirmed WooCommerce API) and the Gaza Store are both live general marketplaces (clothing/electronics/beauty) with zero food SKUs. Coverage is WFP-only (33 leaves: fruit, veg, full dairy incl. labaneh, 3 meats, 3 rice types, 2 oils, semolina, bottled water).</t>
        </is>
      </c>
    </row>
    <row r="51">
      <c r="A51" s="13" t="inlineStr">
        <is>
          <t>eap</t>
        </is>
      </c>
      <c r="B51" s="13" t="inlineStr">
        <is>
          <t>micronesia_fed_sts</t>
        </is>
      </c>
      <c r="C51" s="13" t="n">
        <v>2</v>
      </c>
      <c r="D51" s="13" t="n">
        <v>40</v>
      </c>
      <c r="E51" s="13" t="n">
        <v>14</v>
      </c>
      <c r="F51" s="13" t="inlineStr">
        <is>
          <t>Fresh everything; also general-merchandise noise dilutes SAKI's grocery signal so classification/dedup effort per useful row is high for that source specifically.</t>
        </is>
      </c>
      <c r="G51" s="13" t="inlineStr">
        <is>
          <t>New discoveries this session. saki4you.com (SAKI Stores, Chuuk/Pohnpei/Kosrae hypermarket, Shopify, ~650 products across 3 pages) is general-merchandise dominant (electronics/appliances/home) with a thin grocery slice (noodles, water, oil, coffee, sugar, snacks -- keyword-scanned ~40 food-relevant titles out of 468 unique). shoppohnpei.com (Shopify, only 66 SKUs total, page 2 returns empty) is smaller but purely food/household: rice, canned tuna/mackerel, instant ramen, Tyson chicken leg quarters, mixed vegetables, condiments (soy sauce, Golden Curry, Tabasco). Combined this is a packaged/canned/frozen-staples profile -- no fresh produce, no fresh meat, no dairy case visible in either catalog.</t>
        </is>
      </c>
    </row>
    <row r="52">
      <c r="A52" s="13" t="inlineStr">
        <is>
          <t>eap</t>
        </is>
      </c>
      <c r="B52" s="13" t="inlineStr">
        <is>
          <t>indonesia</t>
        </is>
      </c>
      <c r="C52" s="13" t="n">
        <v>1</v>
      </c>
      <c r="D52" s="13" t="n">
        <v>40</v>
      </c>
      <c r="E52" s="13" t="n">
        <v>14</v>
      </c>
      <c r="F52" s="13" t="inlineStr">
        <is>
          <t>PIHPS wholesale + producer tiers are unlocked-but-not-verified -- highest-value next probe for Indonesia specifically (needs a Playwright network-tab trace of the DevExtreme grid's AJAX call).</t>
        </is>
      </c>
      <c r="G52" s="13" t="inlineStr">
        <is>
          <t>Existing coverage is the WFP HDX panel already onboarded (wfp_prices.yaml, official_avg) -- a typical WFP EAP panel reaches roughly 30-45 staple commodities (cereals, pulses, tubers, fish, oils, sugar), estimated conservatively at 40 leaves; not independently re-verified this session. A stronger candidate was found but not unlocked: Bank Indonesia's PIHPS (bi.go.id/hargapangan) publishes FOUR price tiers in one system -- traditional market, modern market, wholesale ('Pedagang Besar'), and producer -- across 82 sample cities, which would likely be a major upgrade. The page is a DevExtreme JS grid; no plain-GET JSON endpoint was found in the time available, so it is listed under discovered/pending, not counted as verified coverage.</t>
        </is>
      </c>
    </row>
    <row r="53">
      <c r="A53" s="13" t="inlineStr">
        <is>
          <t>eap</t>
        </is>
      </c>
      <c r="B53" s="13" t="inlineStr">
        <is>
          <t>philippines</t>
        </is>
      </c>
      <c r="C53" s="13" t="n">
        <v>1</v>
      </c>
      <c r="D53" s="13" t="n">
        <v>40</v>
      </c>
      <c r="E53" s="13" t="n">
        <v>14</v>
      </c>
      <c r="F53" s="13" t="inlineStr">
        <is>
          <t>PSA OpenSTAT table-id discovery for retail/wholesale agri-fishery prices -- cheap next step, PX-Web APIs rarely gate behind auth once the domain root is open (confirmed open here).</t>
        </is>
      </c>
      <c r="G53" s="13" t="inlineStr">
        <is>
          <t>Existing coverage is the WFP HDX panel already onboarded, same conservative ~40-leaf estimate as Indonesia, not independently re-verified. A second candidate was found: PSA OpenSTAT (openstat.psa.gov.ph) is a live, unauthenticated PX-Web JSON API (confirmed: GET /PXWeb/api/v1/en/DB returns a 27-domain folder list including 'Agriculture, Forestry, Fisheries' and 'Food Security Indicators'). PX-Web APIs are normally a clean two-hop discovery (list tables in a folder, then query by table id), so this is very plausibly TIER_1B once a specific retail-price table id is found -- not walked to that point this session, so listed as discovered/pending, not counted.</t>
        </is>
      </c>
    </row>
    <row r="54">
      <c r="A54" s="13" t="inlineStr">
        <is>
          <t>ssa</t>
        </is>
      </c>
      <c r="B54" s="13" t="inlineStr">
        <is>
          <t>rwanda</t>
        </is>
      </c>
      <c r="C54" s="13" t="n">
        <v>1</v>
      </c>
      <c r="D54" s="13" t="n">
        <v>42</v>
      </c>
      <c r="E54" s="13" t="n">
        <v>15</v>
      </c>
      <c r="F54" s="13" t="inlineStr"/>
      <c r="G54" s="13" t="inlineStr">
        <is>
          <t>Zero confirmed retail sources within budget -- haha.rw/Fasita/Pride Farms are all SPA shells needing an API-sniff pass, N.Honest's product API is a confirmed 403. WFP Rwanda is exceptional (65 commodities, 152k rows, near-retail-market resolution) and stands alone as the current backbone.</t>
        </is>
      </c>
    </row>
    <row r="55">
      <c r="A55" s="13" t="inlineStr">
        <is>
          <t>ssa</t>
        </is>
      </c>
      <c r="B55" s="13" t="inlineStr">
        <is>
          <t>cameroon</t>
        </is>
      </c>
      <c r="C55" s="13" t="n">
        <v>0</v>
      </c>
      <c r="D55" s="13" t="n">
        <v>45</v>
      </c>
      <c r="E55" s="13" t="n">
        <v>16</v>
      </c>
      <c r="F55" s="13" t="inlineStr">
        <is>
          <t>Zero working retailer_sku source for Cameroon currently; needs a fresh discovery pass (the three shard candidates all under-delivered on inspection) -- Carrefour/Casino Cameroun stores are indexed by the now-rebranded jeloue.cm per the original CSV note, worth a Playwright pass on that rebrand.</t>
        </is>
      </c>
      <c r="G55" s="13" t="inlineStr">
        <is>
          <t>No confirmed viable retail SKU source: all three ACCEPT/SUSPECT candidates in the shard were either a rebranded general marketplace with no verified price data (Express Market CM / JeLoue), or technically-open-but-thin marketplaces (QuickGo237: 6 vendors citywide; Yorix: 13/189 food SKUs). Coverage this pass is carried almost entirely by WFP Cameroon, the deepest WFP panel found in this shard (55 commodities, live, ~45 leaves).</t>
        </is>
      </c>
    </row>
    <row r="56">
      <c r="A56" s="13" t="inlineStr">
        <is>
          <t>menaap</t>
        </is>
      </c>
      <c r="B56" s="13" t="inlineStr">
        <is>
          <t>syria</t>
        </is>
      </c>
      <c r="C56" s="13" t="n">
        <v>2</v>
      </c>
      <c r="D56" s="13" t="n">
        <v>47</v>
      </c>
      <c r="E56" s="13" t="n">
        <v>17</v>
      </c>
      <c r="F56" s="13" t="inlineStr"/>
      <c r="G56" s="13" t="inlineStr">
        <is>
          <t>WFP official_avg is by far the richest panel in the whole shard (44 leaves - fruit, veg, full dairy incl. labaneh/yogurt, meat, pulses, cereals with parallel-market bread/fuel splits) thanks to dedicated crisis-monitoring granularity. Tsaooq's live WooCommerce Food &amp; Beverages category adds a thin, mostly non-overlapping slice of 4 prepared/bakery items (pizza, fruit salad, baklava, cake) -&gt; net +3 after dedup. Syria is the strongest single-country result in this shard, entirely from WFP.</t>
        </is>
      </c>
    </row>
    <row r="57">
      <c r="A57" s="13" t="inlineStr">
        <is>
          <t>ssa</t>
        </is>
      </c>
      <c r="B57" s="13" t="inlineStr">
        <is>
          <t>ghana</t>
        </is>
      </c>
      <c r="C57" s="13" t="n">
        <v>3</v>
      </c>
      <c r="D57" s="13" t="n">
        <v>47</v>
      </c>
      <c r="E57" s="13" t="n">
        <v>17</v>
      </c>
      <c r="F57" s="13" t="inlineStr">
        <is>
          <t>No confirmed fresh-produce-heavy full-line supermarket currently reachable -- GHBasket and Konzoom are narrower, semi-specialty catalogs. Coverage here is meaningfully lower than the CSV's ACCEPT-heavy list implied, because domain churn and WAF hardening have taken out several of the previously '5.0/A' sources since scoring.</t>
        </is>
      </c>
      <c r="G57" s="13" t="inlineStr">
        <is>
          <t>GHBasket and Konzoom confirmed exactly as the CSV's own EXTRACTION column predicted (both TIER_1B, endpoints live). Tezeon is technically open (Django REST) with a 'Groceries &amp; Food' category present in the taxonomy but the filter param was not resolved in time, so it is counted as thin/uncertain. Several previously-scored 'A - low-hanging fruit' sources did not hold up on re-verification: Melcom's CSV domain is dead (real domain is Cloudflare/Sucuri-blocked), Jumia GH is a documented Cloudflare-challenge block, MaxMart and Palace Hypermarket are respectively inconclusive/dead. WFP Ghana exists but is 3 years stale, contributing little current value.</t>
        </is>
      </c>
    </row>
    <row r="58">
      <c r="A58" s="13" t="inlineStr">
        <is>
          <t>ssa</t>
        </is>
      </c>
      <c r="B58" s="13" t="inlineStr">
        <is>
          <t>guinea</t>
        </is>
      </c>
      <c r="C58" s="13" t="n">
        <v>2</v>
      </c>
      <c r="D58" s="13" t="n">
        <v>55</v>
      </c>
      <c r="E58" s="13" t="n">
        <v>20</v>
      </c>
      <c r="F58" s="13" t="inlineStr"/>
      <c r="G58" s="13" t="inlineStr">
        <is>
          <t>Beryz's alimentation vertical (dual retail/wholesale pricing, regional tagging) reaches ~40 leaves; WFP Guinea (26 commodities) adds ~15 unique -- fonio, cassava meal products, and 3 separate dried/smoked/fresh fish leaves that Beryz's sampled page did not show.</t>
        </is>
      </c>
    </row>
    <row r="59">
      <c r="A59" s="13" t="inlineStr">
        <is>
          <t>ssa</t>
        </is>
      </c>
      <c r="B59" s="13" t="inlineStr">
        <is>
          <t>congo_dem_rep</t>
        </is>
      </c>
      <c r="C59" s="13" t="n">
        <v>2</v>
      </c>
      <c r="D59" s="13" t="n">
        <v>55</v>
      </c>
      <c r="E59" s="13" t="n">
        <v>20</v>
      </c>
      <c r="F59" s="13" t="inlineStr"/>
      <c r="G59" s="13" t="inlineStr">
        <is>
          <t>Shoppi.cd (Shopify, confirmed) is packaged-goods-leaning (~35 leaves: dairy/eggs, dry groceries, alcohol) with NO fresh produce/meat/fish categories observed; WFP DRC (38 commodities, largest raw panel in the shard at 95k rows) supplies the complementary ~20 fresh-tuber/plantain/meat/fish leaves that Shoppi structurally lacks.</t>
        </is>
      </c>
    </row>
    <row r="60">
      <c r="A60" s="13" t="inlineStr">
        <is>
          <t>eap</t>
        </is>
      </c>
      <c r="B60" s="13" t="inlineStr">
        <is>
          <t>tuvalu</t>
        </is>
      </c>
      <c r="C60" s="13" t="n">
        <v>1</v>
      </c>
      <c r="D60" s="13" t="n">
        <v>55</v>
      </c>
      <c r="E60" s="13" t="n">
        <v>20</v>
      </c>
      <c r="F60" s="13" t="inlineStr">
        <is>
          <t>Everything fresh: produce, fish, meat, dairy beyond UHT/powdered.</t>
        </is>
      </c>
      <c r="G60" s="13" t="inlineStr">
        <is>
          <t>jy_ocean_trading is a single general trading store on the world's 4th-smallest country by population; realistic ceiling is packaged/canned/frozen staples only, no dedicated fresh departments.</t>
        </is>
      </c>
    </row>
    <row r="61">
      <c r="A61" s="13" t="inlineStr">
        <is>
          <t>ssa</t>
        </is>
      </c>
      <c r="B61" s="13" t="inlineStr">
        <is>
          <t>sudan</t>
        </is>
      </c>
      <c r="C61" s="13" t="n">
        <v>2</v>
      </c>
      <c r="D61" s="13" t="n">
        <v>58</v>
      </c>
      <c r="E61" s="13" t="n">
        <v>21</v>
      </c>
      <c r="F61" s="13" t="inlineStr"/>
      <c r="G61" s="13" t="inlineStr">
        <is>
          <t>HyperSale's dedicated grocery-market category (packaged goods: coffee, frozen items, biscuits, dairy substitutes) reaches ~45 leaves; WFP Sudan (16 commodities, thinnest panel in the shard, reflecting constrained wartime data collection) adds ~13 unique fresh-meat/cereal leaves not on HyperSale's shelf.</t>
        </is>
      </c>
    </row>
    <row r="62">
      <c r="A62" s="13" t="inlineStr">
        <is>
          <t>lac</t>
        </is>
      </c>
      <c r="B62" s="13" t="inlineStr">
        <is>
          <t>cuba</t>
        </is>
      </c>
      <c r="C62" s="13" t="n">
        <v>1</v>
      </c>
      <c r="D62" s="13" t="n">
        <v>60</v>
      </c>
      <c r="E62" s="13" t="n">
        <v>22</v>
      </c>
      <c r="F62" s="13" t="inlineStr">
        <is>
          <t>No domestic CUP-priced retail source found (structurally very hard given Cuba's state-controlled retail system); fresh produce, meat, and wet-market leaves are essentially unreachable from what was found.</t>
        </is>
      </c>
      <c r="G62" s="13" t="inlineStr">
        <is>
          <t>MercoCaribe WooCommerce store verified (packaged/frozen imports: juice, chicken, dairy, canned goods, snacks). This is an MLC/foreign-card diaspora-purchase channel, not domestic CUP retail — assortment observed skews packaged goods with no fresh produce/wet-market categories seen, so the estimate is capped well below a normal full-line supermarket.</t>
        </is>
      </c>
    </row>
    <row r="63">
      <c r="A63" s="13" t="inlineStr">
        <is>
          <t>lac</t>
        </is>
      </c>
      <c r="B63" s="13" t="inlineStr">
        <is>
          <t>belize</t>
        </is>
      </c>
      <c r="C63" s="13" t="n">
        <v>1</v>
      </c>
      <c r="D63" s="13" t="n">
        <v>60</v>
      </c>
      <c r="E63" s="13" t="n">
        <v>22</v>
      </c>
      <c r="F63" s="13" t="inlineStr">
        <is>
          <t>Zero fresh-produce/meat/fish/bakery source; Belize needs new discovery, not depth on Ultraw.</t>
        </is>
      </c>
      <c r="G63" s="13" t="inlineStr">
        <is>
          <t>Only Ultraw verified viable (WooCommerce marketplace). Its category counts show deep dry-goods/dairy/beverage coverage (408 general groceries, 302 pantry, 48 dairy, 33 beverages) but near-total absence of fresh produce/meat/fish/bakery (1-2 items each). 5 of the 6 CSV candidates failed (2 unreachable, 1 app-only, 1 no-price catalog, 1 non-representative). No WFP panel exists for Belize.</t>
        </is>
      </c>
    </row>
    <row r="64">
      <c r="A64" s="13" t="inlineStr">
        <is>
          <t>eca</t>
        </is>
      </c>
      <c r="B64" s="13" t="inlineStr">
        <is>
          <t>switzerland</t>
        </is>
      </c>
      <c r="C64" s="13" t="n">
        <v>2</v>
      </c>
      <c r="D64" s="13" t="n">
        <v>60</v>
      </c>
      <c r="E64" s="13" t="n">
        <v>22</v>
      </c>
      <c r="F64" s="13" t="inlineStr">
        <is>
          <t>Migros and Coop.ch (the actual Swiss duopoly, ~40,000+ combined SKUs) are both blocked - this is the single largest coverage loss in the whole shard; a DataDome/WAF bypass effort would be worth prioritizing given Switzerland's economic weight in ECA.</t>
        </is>
      </c>
      <c r="G64" s="13" t="inlineStr">
        <is>
          <t>Only Lidl Schweiz (60, confirmed discounter prices) has counted leaf credit. The two national leaders (Migros, Coop.ch) are both hard-blocked (DataDome / shared WAF interstitial), which is a major loss since coop.ch explicitly matches in-store prices online per CSV. Rappn's basket-comparison data was not resolved to per-SKU level.</t>
        </is>
      </c>
    </row>
    <row r="65">
      <c r="A65" s="13" t="inlineStr">
        <is>
          <t>lac</t>
        </is>
      </c>
      <c r="B65" s="13" t="inlineStr">
        <is>
          <t>haiti</t>
        </is>
      </c>
      <c r="C65" s="13" t="n">
        <v>1</v>
      </c>
      <c r="D65" s="13" t="n">
        <v>65</v>
      </c>
      <c r="E65" s="13" t="n">
        <v>23</v>
      </c>
      <c r="F65" s="13" t="inlineStr">
        <is>
          <t>No live full-line domestic supermarket found on the open web; the WFP panel's fresh-produce/pulses set is currently doing more coverage work than any retailer.</t>
        </is>
      </c>
      <c r="G65" s="13" t="inlineStr">
        <is>
          <t>KITT National (Supabase-backed marketplace) is thin on food specifically — 1,341 total products spread across electronics/auto/apparel/tools plus a Manje/Bwason/Desè (food/drink/dessert) vertical — estimated ~40 leaves. The WFP panel (wfp-food-prices-for-haiti, 16,444 rows, last observation 2025-07-15) is the real lever: 34 commodities heavily weighted toward fresh produce and pulses (avocados, mangoes, oranges, pineapples, cabbage, carrots, eggplants, okra, plantains, yams, black/red beans, pigeon peas) that KITT does not carry at all, adding an estimated ~28 non-overlapping leaves. 4 of 5 CSV retail candidates failed (brochure-only, 403+diaspora, image-only promo gallery, unreachable).</t>
        </is>
      </c>
    </row>
    <row r="66">
      <c r="A66" s="13" t="inlineStr">
        <is>
          <t>menaap</t>
        </is>
      </c>
      <c r="B66" s="13" t="inlineStr">
        <is>
          <t>djibouti</t>
        </is>
      </c>
      <c r="C66" s="13" t="n">
        <v>3</v>
      </c>
      <c r="D66" s="13" t="n">
        <v>65</v>
      </c>
      <c r="E66" s="13" t="n">
        <v>23</v>
      </c>
      <c r="F66" s="13" t="inlineStr">
        <is>
          <t>No fresh produce, meat, fish, dairy-fresh, or bakery source found for Djibouti -- would need a wholesale/municipal market feed to close this, none located within budget.</t>
        </is>
      </c>
      <c r="G66" s="13" t="inlineStr">
        <is>
          <t>3 open TIER_1B sources (Ahado via a Google Sheet, Djibonline + Nirigs via WooCommerce Store API), 448+174+142 SKUs combined. All 3 are small imported-goods grocery-delivery catalogs: rice/pasta/flour, cooking oils, canned goods, powdered/UHT dairy, baby formula/cereal, coffee/tea, sugar/confectionery, spices, non-alcoholic beverages. Zero fresh produce, meat, fish, or bakery visible in any of the 3 category trees (only 1 'Frais' row across 764 combined SKUs). Estimate assumes packaged-goods coverage only -- roughly the div-01.1 (cereals/oils/dairy-shelf-stable/canned) and div-01.7/01.8 (sugar/confectionery/spices) portions of the taxonomy, maybe 60-70 of 279 leaves.</t>
        </is>
      </c>
    </row>
    <row r="67">
      <c r="A67" s="13" t="inlineStr">
        <is>
          <t>menaap</t>
        </is>
      </c>
      <c r="B67" s="13" t="inlineStr">
        <is>
          <t>algeria</t>
        </is>
      </c>
      <c r="C67" s="13" t="n">
        <v>1</v>
      </c>
      <c r="D67" s="13" t="n">
        <v>65</v>
      </c>
      <c r="E67" s="13" t="n">
        <v>23</v>
      </c>
      <c r="F67" s="13" t="inlineStr">
        <is>
          <t>No full-line fresh supermarket found for Algeria at all -- this is the single biggest structural hole across all three countries. The Ministère du Commerce national 'reléve des prix des produits alimentaires' bulletin series is confirmed STALE (archive stops May 2020, 6+ years old), but per-wilaya DCW bulletins (dcwtiziouzou.dz 'Prix Fevrier 2026'/'Prix Janvier 2026' PDFs, dcwalger.dz 'Prix Mensuel' page) surfaced via search with apparently current 2026 dates and were NOT directly probed this round (dcwalger.dz itself returned a live MySQL connection error when hit directly, suggesting the site is currently broken) -- this is the most promising unresolved lead for Algeria and should be the first follow-up.</t>
        </is>
      </c>
      <c r="G67" s="13" t="inlineStr">
        <is>
          <t>Only one confirmed-live retailer source (Coursesnet, WooCommerce, ~2500 items) and it is packaged-goods/pantry only -- no meat, fish, or meaningful fresh-produce categories (Legumes has 3 items). This is the weakest of the 3 countries: Jumia (marketplace directory) is Cloudflare-hardened, Carrefour Algeria has no online store at all (brochure/loyalty only), Superetti times out at the TCP layer (likely geo-fenced, re-probe from a DZ IP), and Echrily's WooCommerce routes are not exposed (may be the wrong subdomain for the actual shop).</t>
        </is>
      </c>
    </row>
    <row r="68">
      <c r="A68" s="13" t="inlineStr">
        <is>
          <t>eca</t>
        </is>
      </c>
      <c r="B68" s="13" t="inlineStr">
        <is>
          <t>hungary</t>
        </is>
      </c>
      <c r="C68" s="13" t="n">
        <v>1</v>
      </c>
      <c r="D68" s="13" t="n">
        <v>70</v>
      </c>
      <c r="E68" s="13" t="n">
        <v>25</v>
      </c>
      <c r="F68" s="13" t="inlineStr"/>
      <c r="G68" s="13" t="inlineStr">
        <is>
          <t>Only Coop Online confirmed (OpenCart, 40 product links, HUF prices) and it is explicitly shelf-stable-only (no fresh) per its own CSV note. Arfigyelo (the statutory GVH price DB -- CSV's single most valuable source in the whole project) and Kifli.hu (Rohlik stack) both need Playwright/API work not completed this round; ROKSH and Auchan Hungary show price data in the payload but no clean product-URL pattern was isolated in time.</t>
        </is>
      </c>
    </row>
    <row r="69">
      <c r="A69" s="13" t="inlineStr">
        <is>
          <t>eca</t>
        </is>
      </c>
      <c r="B69" s="13" t="inlineStr">
        <is>
          <t>france</t>
        </is>
      </c>
      <c r="C69" s="13" t="n">
        <v>2</v>
      </c>
      <c r="D69" s="13" t="n">
        <v>70</v>
      </c>
      <c r="E69" s="13" t="n">
        <v>25</v>
      </c>
      <c r="F69" s="13" t="inlineStr">
        <is>
          <t>All of the major French hypermarket/supermarket chains (Carrefour, Auchan, Leclerc, Intermarche, Casino, Monoprix, Franprix, Picard, Courses U) are blocked, ambiguous, or unconfirmed - only the niche organic-membership player is solidly confirmed. Auchan Drive's clean 200 is the fastest next win.</t>
        </is>
      </c>
      <c r="G69" s="13" t="inlineStr">
        <is>
          <t>La Fourche (70, confirmed real prices, organic membership model per CSV) is the only counted source - narrower assortment than a full hypermarket. Auchan Drive returned 200 (not blocked, contrary to its CSV SUSPECT label) and Casino.fr is ambiguous (403 status but real Vue-SSR content) but neither yielded price evidence within budget.</t>
        </is>
      </c>
    </row>
    <row r="70">
      <c r="A70" s="13" t="inlineStr">
        <is>
          <t>ssa</t>
        </is>
      </c>
      <c r="B70" s="13" t="inlineStr">
        <is>
          <t>lesotho</t>
        </is>
      </c>
      <c r="C70" s="13" t="n">
        <v>2</v>
      </c>
      <c r="D70" s="13" t="n">
        <v>80</v>
      </c>
      <c r="E70" s="13" t="n">
        <v>29</v>
      </c>
      <c r="F70" s="13" t="inlineStr">
        <is>
          <t>No confirmed source for the national supermarket chains (Shoprite/PnP have no online catalog); fresh produce and meat depth relies entirely on Wiza's comparison listings and LVM's grocery section, neither independently deep-sampled beyond page 1.</t>
        </is>
      </c>
      <c r="G70" s="13" t="inlineStr">
        <is>
          <t>Lesotho Virtual Mall (1080+ mixed pharmacy/grocery/prepared-food products) and Wiza Shopping (multi-retailer price-comparison hub, confirmed per-kg meat pricing) are both confirmed TIER_1B. Both Pick n Pay and Shoprite Lesotho -- the two national supermarket chains -- turned out to have no e-commerce surface at all (Shoprite is a pure AEM brochure site; PnP is unreachable). Coverage is therefore carried by two smaller/aggregator platforms rather than the chains themselves. WFP Lesotho is live but very narrow (9 commodities, mostly cereals) and adds little beyond what the two retail sources likely already carry.</t>
        </is>
      </c>
    </row>
  </sheetData>
  <autoFilter ref="A1:G7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70"/>
  <sheetViews>
    <sheetView workbookViewId="0">
      <pane ySplit="1" topLeftCell="A2" activePane="bottomLeft" state="frozen"/>
      <selection pane="bottomLeft" activeCell="A1" sqref="A1"/>
    </sheetView>
  </sheetViews>
  <sheetFormatPr baseColWidth="8" defaultRowHeight="15"/>
  <cols>
    <col width="13" customWidth="1" min="1" max="1"/>
    <col width="58" customWidth="1" min="2" max="2"/>
    <col width="10" customWidth="1" min="3" max="3"/>
    <col width="14" customWidth="1" min="4" max="4"/>
    <col width="23" customWidth="1" min="5" max="5"/>
    <col width="14" customWidth="1" min="6" max="6"/>
    <col width="12" customWidth="1" min="7" max="7"/>
    <col width="58" customWidth="1" min="8" max="8"/>
    <col width="18" customWidth="1" min="9" max="9"/>
    <col width="21" customWidth="1" min="10" max="10"/>
    <col width="11" customWidth="1" min="11" max="11"/>
    <col width="21" customWidth="1" min="12" max="12"/>
    <col width="11" customWidth="1" min="13" max="13"/>
    <col width="15" customWidth="1" min="14" max="14"/>
    <col width="58" customWidth="1" min="15" max="15"/>
  </cols>
  <sheetData>
    <row r="1" ht="30" customHeight="1">
      <c r="A1" s="12" t="inlineStr">
        <is>
          <t>coicop_leaf</t>
        </is>
      </c>
      <c r="B1" s="12" t="inlineStr">
        <is>
          <t>title</t>
        </is>
      </c>
      <c r="C1" s="12" t="inlineStr">
        <is>
          <t>class</t>
        </is>
      </c>
      <c r="D1" s="12" t="inlineStr">
        <is>
          <t>failure_mode</t>
        </is>
      </c>
      <c r="E1" s="12" t="inlineStr">
        <is>
          <t>failure_mode_verified</t>
        </is>
      </c>
      <c r="F1" s="12" t="inlineStr">
        <is>
          <t>verdict</t>
        </is>
      </c>
      <c r="G1" s="12" t="inlineStr">
        <is>
          <t>bottleneck</t>
        </is>
      </c>
      <c r="H1" s="12" t="inlineStr">
        <is>
          <t>reason</t>
        </is>
      </c>
      <c r="I1" s="12" t="inlineStr">
        <is>
          <t>n_obs_classified</t>
        </is>
      </c>
      <c r="J1" s="12" t="inlineStr">
        <is>
          <t>n_corpus_candidates</t>
        </is>
      </c>
      <c r="K1" s="12" t="inlineStr">
        <is>
          <t>n_labeled</t>
        </is>
      </c>
      <c r="L1" s="12" t="inlineStr">
        <is>
          <t>n_countries_trusted</t>
        </is>
      </c>
      <c r="M1" s="12" t="inlineStr">
        <is>
          <t>reachable</t>
        </is>
      </c>
      <c r="N1" s="12" t="inlineStr">
        <is>
          <t>out_of_region</t>
        </is>
      </c>
      <c r="O1" s="12" t="inlineStr">
        <is>
          <t>new_sources_help</t>
        </is>
      </c>
    </row>
    <row r="2">
      <c r="A2" s="13" t="inlineStr">
        <is>
          <t>01.1.1.1.8</t>
        </is>
      </c>
      <c r="B2" s="13" t="inlineStr">
        <is>
          <t>Teff</t>
        </is>
      </c>
      <c r="C2" s="13" t="inlineStr">
        <is>
          <t>01.1.1</t>
        </is>
      </c>
      <c r="D2" s="13" t="inlineStr">
        <is>
          <t>out_of_region</t>
        </is>
      </c>
      <c r="E2" s="13" t="inlineStr">
        <is>
          <t>sourcing_gap</t>
        </is>
      </c>
      <c r="F2" s="13" t="inlineStr">
        <is>
          <t>thin_present</t>
        </is>
      </c>
      <c r="G2" s="13" t="inlineStr">
        <is>
          <t>sourcing</t>
        </is>
      </c>
      <c r="H2" s="13" t="inlineStr">
        <is>
          <t>Commodity essentially absent from the EAP online-retail diet; fill only via AFW/SAR basket expansion, not labeling or EAP sourcing.</t>
        </is>
      </c>
      <c r="I2" s="13" t="n">
        <v>0</v>
      </c>
      <c r="J2" s="13" t="n">
        <v>1</v>
      </c>
      <c r="K2" s="13" t="n">
        <v>1</v>
      </c>
      <c r="L2" s="13" t="n">
        <v>0</v>
      </c>
      <c r="M2" s="13" t="b">
        <v>1</v>
      </c>
      <c r="N2" s="13" t="b">
        <v>1</v>
      </c>
      <c r="O2" s="13" t="inlineStr">
        <is>
          <t>YES - new non-EAP sources are the fill for these</t>
        </is>
      </c>
    </row>
    <row r="3">
      <c r="A3" s="13" t="inlineStr">
        <is>
          <t>01.1.1.2.3</t>
        </is>
      </c>
      <c r="B3" s="13" t="inlineStr">
        <is>
          <t>Flour of sorghum</t>
        </is>
      </c>
      <c r="C3" s="13" t="inlineStr">
        <is>
          <t>01.1.1</t>
        </is>
      </c>
      <c r="D3" s="13" t="inlineStr">
        <is>
          <t>out_of_region</t>
        </is>
      </c>
      <c r="E3" s="13" t="inlineStr">
        <is>
          <t>sourcing_gap</t>
        </is>
      </c>
      <c r="F3" s="13" t="inlineStr">
        <is>
          <t>thin_present</t>
        </is>
      </c>
      <c r="G3" s="13" t="inlineStr">
        <is>
          <t>sourcing</t>
        </is>
      </c>
      <c r="H3" s="13" t="inlineStr">
        <is>
          <t>Commodity essentially absent from the EAP online-retail diet; fill only via AFW/SAR basket expansion, not labeling or EAP sourcing.</t>
        </is>
      </c>
      <c r="I3" s="13" t="n">
        <v>0</v>
      </c>
      <c r="J3" s="13" t="n">
        <v>2</v>
      </c>
      <c r="K3" s="13" t="n">
        <v>1</v>
      </c>
      <c r="L3" s="13" t="n">
        <v>0</v>
      </c>
      <c r="M3" s="13" t="b">
        <v>1</v>
      </c>
      <c r="N3" s="13" t="b">
        <v>1</v>
      </c>
      <c r="O3" s="13" t="inlineStr">
        <is>
          <t>YES - new non-EAP sources are the fill for these</t>
        </is>
      </c>
    </row>
    <row r="4">
      <c r="A4" s="13" t="inlineStr">
        <is>
          <t>01.1.1.2.4</t>
        </is>
      </c>
      <c r="B4" s="13" t="inlineStr">
        <is>
          <t>Flour of barley</t>
        </is>
      </c>
      <c r="C4" s="13" t="inlineStr">
        <is>
          <t>01.1.1</t>
        </is>
      </c>
      <c r="D4" s="13" t="inlineStr">
        <is>
          <t>out_of_region</t>
        </is>
      </c>
      <c r="E4" s="13" t="inlineStr">
        <is>
          <t>out_of_region</t>
        </is>
      </c>
      <c r="F4" s="13" t="inlineStr">
        <is>
          <t>true_zero</t>
        </is>
      </c>
      <c r="G4" s="13" t="inlineStr">
        <is>
          <t>true_absence</t>
        </is>
      </c>
      <c r="H4" s="13" t="inlineStr">
        <is>
          <t>Commodity essentially absent from the EAP online-retail diet; fill only via AFW/SAR basket expansion, not labeling or EAP sourcing.</t>
        </is>
      </c>
      <c r="I4" s="13" t="n">
        <v>0</v>
      </c>
      <c r="J4" s="13" t="n">
        <v>0</v>
      </c>
      <c r="K4" s="13" t="n">
        <v>0</v>
      </c>
      <c r="L4" s="13" t="n">
        <v>0</v>
      </c>
      <c r="M4" s="13" t="b">
        <v>1</v>
      </c>
      <c r="N4" s="13" t="b">
        <v>1</v>
      </c>
      <c r="O4" s="13" t="inlineStr">
        <is>
          <t>YES - new non-EAP sources are the fill for these</t>
        </is>
      </c>
    </row>
    <row r="5">
      <c r="A5" s="13" t="inlineStr">
        <is>
          <t>01.1.1.2.5</t>
        </is>
      </c>
      <c r="B5" s="13" t="inlineStr">
        <is>
          <t>Flour of millet</t>
        </is>
      </c>
      <c r="C5" s="13" t="inlineStr">
        <is>
          <t>01.1.1</t>
        </is>
      </c>
      <c r="D5" s="13" t="inlineStr">
        <is>
          <t>out_of_region</t>
        </is>
      </c>
      <c r="E5" s="13" t="inlineStr">
        <is>
          <t>sourcing_gap</t>
        </is>
      </c>
      <c r="F5" s="13" t="inlineStr">
        <is>
          <t>thin_present</t>
        </is>
      </c>
      <c r="G5" s="13" t="inlineStr">
        <is>
          <t>sourcing</t>
        </is>
      </c>
      <c r="H5" s="13" t="inlineStr">
        <is>
          <t>Commodity essentially absent from the EAP online-retail diet; fill only via AFW/SAR basket expansion, not labeling or EAP sourcing.</t>
        </is>
      </c>
      <c r="I5" s="13" t="n">
        <v>0</v>
      </c>
      <c r="J5" s="13" t="n">
        <v>3</v>
      </c>
      <c r="K5" s="13" t="n">
        <v>1</v>
      </c>
      <c r="L5" s="13" t="n">
        <v>0</v>
      </c>
      <c r="M5" s="13" t="b">
        <v>1</v>
      </c>
      <c r="N5" s="13" t="b">
        <v>1</v>
      </c>
      <c r="O5" s="13" t="inlineStr">
        <is>
          <t>YES - new non-EAP sources are the fill for these</t>
        </is>
      </c>
    </row>
    <row r="6">
      <c r="A6" s="13" t="inlineStr">
        <is>
          <t>01.1.1.2.7</t>
        </is>
      </c>
      <c r="B6" s="13" t="inlineStr">
        <is>
          <t>Flour of quinoa</t>
        </is>
      </c>
      <c r="C6" s="13" t="inlineStr">
        <is>
          <t>01.1.1</t>
        </is>
      </c>
      <c r="D6" s="13" t="inlineStr">
        <is>
          <t>out_of_region</t>
        </is>
      </c>
      <c r="E6" s="13" t="inlineStr">
        <is>
          <t>sourcing_gap</t>
        </is>
      </c>
      <c r="F6" s="13" t="inlineStr">
        <is>
          <t>thin_present</t>
        </is>
      </c>
      <c r="G6" s="13" t="inlineStr">
        <is>
          <t>sourcing</t>
        </is>
      </c>
      <c r="H6" s="13" t="inlineStr">
        <is>
          <t>Commodity essentially absent from the EAP online-retail diet; fill only via AFW/SAR basket expansion, not labeling or EAP sourcing.</t>
        </is>
      </c>
      <c r="I6" s="13" t="n">
        <v>0</v>
      </c>
      <c r="J6" s="13" t="n">
        <v>8</v>
      </c>
      <c r="K6" s="13" t="n">
        <v>6</v>
      </c>
      <c r="L6" s="13" t="n">
        <v>0</v>
      </c>
      <c r="M6" s="13" t="b">
        <v>1</v>
      </c>
      <c r="N6" s="13" t="b">
        <v>1</v>
      </c>
      <c r="O6" s="13" t="inlineStr">
        <is>
          <t>YES - new non-EAP sources are the fill for these</t>
        </is>
      </c>
    </row>
    <row r="7">
      <c r="A7" s="13" t="inlineStr">
        <is>
          <t>01.1.1.2.8</t>
        </is>
      </c>
      <c r="B7" s="13" t="inlineStr">
        <is>
          <t>Flour of teff</t>
        </is>
      </c>
      <c r="C7" s="13" t="inlineStr">
        <is>
          <t>01.1.1</t>
        </is>
      </c>
      <c r="D7" s="13" t="inlineStr">
        <is>
          <t>out_of_region</t>
        </is>
      </c>
      <c r="E7" s="13" t="inlineStr">
        <is>
          <t>sourcing_gap</t>
        </is>
      </c>
      <c r="F7" s="13" t="inlineStr">
        <is>
          <t>thin_present</t>
        </is>
      </c>
      <c r="G7" s="13" t="inlineStr">
        <is>
          <t>sourcing</t>
        </is>
      </c>
      <c r="H7" s="13" t="inlineStr">
        <is>
          <t>Commodity essentially absent from the EAP online-retail diet; fill only via AFW/SAR basket expansion, not labeling or EAP sourcing.</t>
        </is>
      </c>
      <c r="I7" s="13" t="n">
        <v>0</v>
      </c>
      <c r="J7" s="13" t="n">
        <v>2</v>
      </c>
      <c r="K7" s="13" t="n">
        <v>1</v>
      </c>
      <c r="L7" s="13" t="n">
        <v>0</v>
      </c>
      <c r="M7" s="13" t="b">
        <v>1</v>
      </c>
      <c r="N7" s="13" t="b">
        <v>1</v>
      </c>
      <c r="O7" s="13" t="inlineStr">
        <is>
          <t>YES - new non-EAP sources are the fill for these</t>
        </is>
      </c>
    </row>
    <row r="8">
      <c r="A8" s="13" t="inlineStr">
        <is>
          <t>01.1.2.2.5</t>
        </is>
      </c>
      <c r="B8" s="13" t="inlineStr">
        <is>
          <t>Meat of hares and rabbits, fresh, chilled or frozen</t>
        </is>
      </c>
      <c r="C8" s="13" t="inlineStr">
        <is>
          <t>01.1.2</t>
        </is>
      </c>
      <c r="D8" s="13" t="inlineStr">
        <is>
          <t>out_of_region</t>
        </is>
      </c>
      <c r="E8" s="13" t="inlineStr">
        <is>
          <t>out_of_region</t>
        </is>
      </c>
      <c r="F8" s="13" t="inlineStr">
        <is>
          <t>thin_present</t>
        </is>
      </c>
      <c r="G8" s="13" t="inlineStr">
        <is>
          <t>true_absence</t>
        </is>
      </c>
      <c r="H8" s="13" t="inlineStr">
        <is>
          <t>Commodity essentially absent from the EAP online-retail diet; fill only via AFW/SAR basket expansion, not labeling or EAP sourcing.</t>
        </is>
      </c>
      <c r="I8" s="13" t="n">
        <v>0</v>
      </c>
      <c r="J8" s="13" t="n">
        <v>1</v>
      </c>
      <c r="K8" s="13" t="n">
        <v>0</v>
      </c>
      <c r="L8" s="13" t="n">
        <v>0</v>
      </c>
      <c r="M8" s="13" t="b">
        <v>1</v>
      </c>
      <c r="N8" s="13" t="b">
        <v>1</v>
      </c>
      <c r="O8" s="13" t="inlineStr">
        <is>
          <t>YES - new non-EAP sources are the fill for these</t>
        </is>
      </c>
    </row>
    <row r="9">
      <c r="A9" s="13" t="inlineStr">
        <is>
          <t>01.1.2.2.7</t>
        </is>
      </c>
      <c r="B9" s="13" t="inlineStr">
        <is>
          <t>Meat of camels and camelids, fresh, chilled or frozen</t>
        </is>
      </c>
      <c r="C9" s="13" t="inlineStr">
        <is>
          <t>01.1.2</t>
        </is>
      </c>
      <c r="D9" s="13" t="inlineStr">
        <is>
          <t>out_of_region</t>
        </is>
      </c>
      <c r="E9" s="13" t="inlineStr">
        <is>
          <t>out_of_region</t>
        </is>
      </c>
      <c r="F9" s="13" t="inlineStr">
        <is>
          <t>true_zero</t>
        </is>
      </c>
      <c r="G9" s="13" t="inlineStr">
        <is>
          <t>true_absence</t>
        </is>
      </c>
      <c r="H9" s="13" t="inlineStr">
        <is>
          <t>Commodity essentially absent from the EAP online-retail diet; fill only via AFW/SAR basket expansion, not labeling or EAP sourcing.</t>
        </is>
      </c>
      <c r="I9" s="13" t="n">
        <v>0</v>
      </c>
      <c r="J9" s="13" t="n">
        <v>0</v>
      </c>
      <c r="K9" s="13" t="n">
        <v>0</v>
      </c>
      <c r="L9" s="13" t="n">
        <v>0</v>
      </c>
      <c r="M9" s="13" t="b">
        <v>1</v>
      </c>
      <c r="N9" s="13" t="b">
        <v>1</v>
      </c>
      <c r="O9" s="13" t="inlineStr">
        <is>
          <t>YES - new non-EAP sources are the fill for these</t>
        </is>
      </c>
    </row>
    <row r="10">
      <c r="A10" s="13" t="inlineStr">
        <is>
          <t>01.1.4.1.2</t>
        </is>
      </c>
      <c r="B10" s="13" t="inlineStr">
        <is>
          <t>Raw and whole milk of buffaloes</t>
        </is>
      </c>
      <c r="C10" s="13" t="inlineStr">
        <is>
          <t>01.1.4</t>
        </is>
      </c>
      <c r="D10" s="13" t="inlineStr">
        <is>
          <t>out_of_region</t>
        </is>
      </c>
      <c r="E10" s="13" t="inlineStr">
        <is>
          <t>out_of_region</t>
        </is>
      </c>
      <c r="F10" s="13" t="inlineStr">
        <is>
          <t>thin_present</t>
        </is>
      </c>
      <c r="G10" s="13" t="inlineStr">
        <is>
          <t>true_absence</t>
        </is>
      </c>
      <c r="H10" s="13" t="inlineStr">
        <is>
          <t>Commodity essentially absent from the EAP online-retail diet; fill only via AFW/SAR basket expansion, not labeling or EAP sourcing.</t>
        </is>
      </c>
      <c r="I10" s="13" t="n">
        <v>0</v>
      </c>
      <c r="J10" s="13" t="n">
        <v>1</v>
      </c>
      <c r="K10" s="13" t="n">
        <v>0</v>
      </c>
      <c r="L10" s="13" t="n">
        <v>0</v>
      </c>
      <c r="M10" s="13" t="b">
        <v>1</v>
      </c>
      <c r="N10" s="13" t="b">
        <v>1</v>
      </c>
      <c r="O10" s="13" t="inlineStr">
        <is>
          <t>YES - new non-EAP sources are the fill for these</t>
        </is>
      </c>
    </row>
    <row r="11">
      <c r="A11" s="13" t="inlineStr">
        <is>
          <t>01.1.4.1.4</t>
        </is>
      </c>
      <c r="B11" s="13" t="inlineStr">
        <is>
          <t>Raw and whole milk of camels</t>
        </is>
      </c>
      <c r="C11" s="13" t="inlineStr">
        <is>
          <t>01.1.4</t>
        </is>
      </c>
      <c r="D11" s="13" t="inlineStr">
        <is>
          <t>out_of_region</t>
        </is>
      </c>
      <c r="E11" s="13" t="inlineStr">
        <is>
          <t>out_of_region</t>
        </is>
      </c>
      <c r="F11" s="13" t="inlineStr">
        <is>
          <t>thin_present</t>
        </is>
      </c>
      <c r="G11" s="13" t="inlineStr">
        <is>
          <t>true_absence</t>
        </is>
      </c>
      <c r="H11" s="13" t="inlineStr">
        <is>
          <t>Commodity essentially absent from the EAP online-retail diet; fill only via AFW/SAR basket expansion, not labeling or EAP sourcing.</t>
        </is>
      </c>
      <c r="I11" s="13" t="n">
        <v>0</v>
      </c>
      <c r="J11" s="13" t="n">
        <v>1</v>
      </c>
      <c r="K11" s="13" t="n">
        <v>1</v>
      </c>
      <c r="L11" s="13" t="n">
        <v>0</v>
      </c>
      <c r="M11" s="13" t="b">
        <v>1</v>
      </c>
      <c r="N11" s="13" t="b">
        <v>1</v>
      </c>
      <c r="O11" s="13" t="inlineStr">
        <is>
          <t>YES - new non-EAP sources are the fill for these</t>
        </is>
      </c>
    </row>
    <row r="12">
      <c r="A12" s="13" t="inlineStr">
        <is>
          <t>01.1.5.9.3</t>
        </is>
      </c>
      <c r="B12" s="13" t="inlineStr">
        <is>
          <t>Edible oils and fats of fish</t>
        </is>
      </c>
      <c r="C12" s="13" t="inlineStr">
        <is>
          <t>01.1.5</t>
        </is>
      </c>
      <c r="D12" s="13" t="inlineStr">
        <is>
          <t>out_of_region</t>
        </is>
      </c>
      <c r="E12" s="13" t="inlineStr">
        <is>
          <t>out_of_region</t>
        </is>
      </c>
      <c r="F12" s="13" t="inlineStr">
        <is>
          <t>true_zero</t>
        </is>
      </c>
      <c r="G12" s="13" t="inlineStr">
        <is>
          <t>true_absence</t>
        </is>
      </c>
      <c r="H12" s="13" t="inlineStr">
        <is>
          <t>Commodity essentially absent from the EAP online-retail diet; fill only via AFW/SAR basket expansion, not labeling or EAP sourcing.</t>
        </is>
      </c>
      <c r="I12" s="13" t="n">
        <v>0</v>
      </c>
      <c r="J12" s="13" t="n">
        <v>0</v>
      </c>
      <c r="K12" s="13" t="n">
        <v>0</v>
      </c>
      <c r="L12" s="13" t="n">
        <v>0</v>
      </c>
      <c r="M12" s="13" t="b">
        <v>1</v>
      </c>
      <c r="N12" s="13" t="b">
        <v>1</v>
      </c>
      <c r="O12" s="13" t="inlineStr">
        <is>
          <t>YES - new non-EAP sources are the fill for these</t>
        </is>
      </c>
    </row>
    <row r="13">
      <c r="A13" s="13" t="inlineStr">
        <is>
          <t>01.1.6.5.6</t>
        </is>
      </c>
      <c r="B13" s="13" t="inlineStr">
        <is>
          <t>Cashew apples, fresh</t>
        </is>
      </c>
      <c r="C13" s="13" t="inlineStr">
        <is>
          <t>01.1.6</t>
        </is>
      </c>
      <c r="D13" s="13" t="inlineStr">
        <is>
          <t>out_of_region</t>
        </is>
      </c>
      <c r="E13" s="13" t="inlineStr">
        <is>
          <t>out_of_region</t>
        </is>
      </c>
      <c r="F13" s="13" t="inlineStr">
        <is>
          <t>true_zero</t>
        </is>
      </c>
      <c r="G13" s="13" t="inlineStr">
        <is>
          <t>true_absence</t>
        </is>
      </c>
      <c r="H13" s="13" t="inlineStr">
        <is>
          <t>Commodity essentially absent from the EAP online-retail diet; fill only via AFW/SAR basket expansion, not labeling or EAP sourcing.</t>
        </is>
      </c>
      <c r="I13" s="13" t="n">
        <v>0</v>
      </c>
      <c r="J13" s="13" t="n">
        <v>0</v>
      </c>
      <c r="K13" s="13" t="n">
        <v>0</v>
      </c>
      <c r="L13" s="13" t="n">
        <v>0</v>
      </c>
      <c r="M13" s="13" t="b">
        <v>1</v>
      </c>
      <c r="N13" s="13" t="b">
        <v>1</v>
      </c>
      <c r="O13" s="13" t="inlineStr">
        <is>
          <t>YES - new non-EAP sources are the fill for these</t>
        </is>
      </c>
    </row>
    <row r="14">
      <c r="A14" s="13" t="inlineStr">
        <is>
          <t>01.1.7.4.7</t>
        </is>
      </c>
      <c r="B14" s="13" t="inlineStr">
        <is>
          <t>Olives, fresh or chilled</t>
        </is>
      </c>
      <c r="C14" s="13" t="inlineStr">
        <is>
          <t>01.1.7</t>
        </is>
      </c>
      <c r="D14" s="13" t="inlineStr">
        <is>
          <t>out_of_region</t>
        </is>
      </c>
      <c r="E14" s="13" t="inlineStr">
        <is>
          <t>out_of_region</t>
        </is>
      </c>
      <c r="F14" s="13" t="inlineStr">
        <is>
          <t>true_zero</t>
        </is>
      </c>
      <c r="G14" s="13" t="inlineStr">
        <is>
          <t>true_absence</t>
        </is>
      </c>
      <c r="H14" s="13" t="inlineStr">
        <is>
          <t>Commodity essentially absent from the EAP online-retail diet; fill only via AFW/SAR basket expansion, not labeling or EAP sourcing.</t>
        </is>
      </c>
      <c r="I14" s="13" t="n">
        <v>0</v>
      </c>
      <c r="J14" s="13" t="n">
        <v>0</v>
      </c>
      <c r="K14" s="13" t="n">
        <v>1</v>
      </c>
      <c r="L14" s="13" t="n">
        <v>0</v>
      </c>
      <c r="M14" s="13" t="b">
        <v>1</v>
      </c>
      <c r="N14" s="13" t="b">
        <v>1</v>
      </c>
      <c r="O14" s="13" t="inlineStr">
        <is>
          <t>YES - new non-EAP sources are the fill for these</t>
        </is>
      </c>
    </row>
    <row r="15">
      <c r="A15" s="13" t="inlineStr">
        <is>
          <t>01.1.7.5.6</t>
        </is>
      </c>
      <c r="B15" s="13" t="inlineStr">
        <is>
          <t>Yautia</t>
        </is>
      </c>
      <c r="C15" s="13" t="inlineStr">
        <is>
          <t>01.1.7</t>
        </is>
      </c>
      <c r="D15" s="13" t="inlineStr">
        <is>
          <t>out_of_region</t>
        </is>
      </c>
      <c r="E15" s="13" t="inlineStr">
        <is>
          <t>out_of_region</t>
        </is>
      </c>
      <c r="F15" s="13" t="inlineStr">
        <is>
          <t>true_zero</t>
        </is>
      </c>
      <c r="G15" s="13" t="inlineStr">
        <is>
          <t>true_absence</t>
        </is>
      </c>
      <c r="H15" s="13" t="inlineStr">
        <is>
          <t>Commodity essentially absent from the EAP online-retail diet; fill only via AFW/SAR basket expansion, not labeling or EAP sourcing.</t>
        </is>
      </c>
      <c r="I15" s="13" t="n">
        <v>0</v>
      </c>
      <c r="J15" s="13" t="n">
        <v>0</v>
      </c>
      <c r="K15" s="13" t="n">
        <v>0</v>
      </c>
      <c r="L15" s="13" t="n">
        <v>0</v>
      </c>
      <c r="M15" s="13" t="b">
        <v>1</v>
      </c>
      <c r="N15" s="13" t="b">
        <v>1</v>
      </c>
      <c r="O15" s="13" t="inlineStr">
        <is>
          <t>YES - new non-EAP sources are the fill for these</t>
        </is>
      </c>
    </row>
    <row r="16">
      <c r="A16" s="13" t="inlineStr">
        <is>
          <t>01.1.7.6.6</t>
        </is>
      </c>
      <c r="B16" s="13" t="inlineStr">
        <is>
          <t>Cow peas, dried</t>
        </is>
      </c>
      <c r="C16" s="13" t="inlineStr">
        <is>
          <t>01.1.7</t>
        </is>
      </c>
      <c r="D16" s="13" t="inlineStr">
        <is>
          <t>out_of_region</t>
        </is>
      </c>
      <c r="E16" s="13" t="inlineStr">
        <is>
          <t>sourcing_gap</t>
        </is>
      </c>
      <c r="F16" s="13" t="inlineStr">
        <is>
          <t>thin_present</t>
        </is>
      </c>
      <c r="G16" s="13" t="inlineStr">
        <is>
          <t>sourcing</t>
        </is>
      </c>
      <c r="H16" s="13" t="inlineStr">
        <is>
          <t>Commodity essentially absent from the EAP online-retail diet; fill only via AFW/SAR basket expansion, not labeling or EAP sourcing.</t>
        </is>
      </c>
      <c r="I16" s="13" t="n">
        <v>0</v>
      </c>
      <c r="J16" s="13" t="n">
        <v>3</v>
      </c>
      <c r="K16" s="13" t="n">
        <v>5</v>
      </c>
      <c r="L16" s="13" t="n">
        <v>0</v>
      </c>
      <c r="M16" s="13" t="b">
        <v>1</v>
      </c>
      <c r="N16" s="13" t="b">
        <v>1</v>
      </c>
      <c r="O16" s="13" t="inlineStr">
        <is>
          <t>YES - new non-EAP sources are the fill for these</t>
        </is>
      </c>
    </row>
    <row r="17">
      <c r="A17" s="13" t="inlineStr">
        <is>
          <t>01.1.7.6.8</t>
        </is>
      </c>
      <c r="B17" s="13" t="inlineStr">
        <is>
          <t>Bambara beans, dried</t>
        </is>
      </c>
      <c r="C17" s="13" t="inlineStr">
        <is>
          <t>01.1.7</t>
        </is>
      </c>
      <c r="D17" s="13" t="inlineStr">
        <is>
          <t>out_of_region</t>
        </is>
      </c>
      <c r="E17" s="13" t="inlineStr">
        <is>
          <t>out_of_region</t>
        </is>
      </c>
      <c r="F17" s="13" t="inlineStr">
        <is>
          <t>thin_present</t>
        </is>
      </c>
      <c r="G17" s="13" t="inlineStr">
        <is>
          <t>true_absence</t>
        </is>
      </c>
      <c r="H17" s="13" t="inlineStr">
        <is>
          <t>Commodity essentially absent from the EAP online-retail diet; fill only via AFW/SAR basket expansion, not labeling or EAP sourcing.</t>
        </is>
      </c>
      <c r="I17" s="13" t="n">
        <v>0</v>
      </c>
      <c r="J17" s="13" t="n">
        <v>1</v>
      </c>
      <c r="K17" s="13" t="n">
        <v>0</v>
      </c>
      <c r="L17" s="13" t="n">
        <v>0</v>
      </c>
      <c r="M17" s="13" t="b">
        <v>1</v>
      </c>
      <c r="N17" s="13" t="b">
        <v>1</v>
      </c>
      <c r="O17" s="13" t="inlineStr">
        <is>
          <t>YES - new non-EAP sources are the fill for these</t>
        </is>
      </c>
    </row>
    <row r="18">
      <c r="A18" s="13" t="inlineStr">
        <is>
          <t>01.1.1.1.6</t>
        </is>
      </c>
      <c r="B18" s="13" t="inlineStr">
        <is>
          <t>Maize (corn)</t>
        </is>
      </c>
      <c r="C18" s="13" t="inlineStr">
        <is>
          <t>01.1.1</t>
        </is>
      </c>
      <c r="D18" s="13" t="inlineStr">
        <is>
          <t>sourcing_gap</t>
        </is>
      </c>
      <c r="E18" s="13" t="inlineStr">
        <is>
          <t>sourcing_gap</t>
        </is>
      </c>
      <c r="F18" s="13" t="inlineStr">
        <is>
          <t>thin_present</t>
        </is>
      </c>
      <c r="G18" s="13" t="inlineStr">
        <is>
          <t>sourcing</t>
        </is>
      </c>
      <c r="H18" s="13" t="inlineStr">
        <is>
          <t>Retailed in EAP (fresh via physical wet/wholesale markets, or preserved) but under-represented in the online-retail corpus; genuine SKUs below the classifier-separability + PPP-cell threshold. Lever: fresh-produce / wholesale sourcing (talaadthai-style), NOT labeling.</t>
        </is>
      </c>
      <c r="I18" s="13" t="n">
        <v>0</v>
      </c>
      <c r="J18" s="13" t="n">
        <v>5</v>
      </c>
      <c r="K18" s="13" t="n">
        <v>1</v>
      </c>
      <c r="L18" s="13" t="n">
        <v>0</v>
      </c>
      <c r="M18" s="13" t="b">
        <v>1</v>
      </c>
      <c r="N18" s="13" t="b">
        <v>0</v>
      </c>
      <c r="O18" s="13" t="inlineStr">
        <is>
          <t>MAYBE - verify against the raw corpus first; many are gold gaps, not source gaps</t>
        </is>
      </c>
    </row>
    <row r="19">
      <c r="A19" s="13" t="inlineStr">
        <is>
          <t>01.1.3.2.2</t>
        </is>
      </c>
      <c r="B19" s="13" t="inlineStr">
        <is>
          <t>Gadiformes, dried, salted or in brine</t>
        </is>
      </c>
      <c r="C19" s="13" t="inlineStr">
        <is>
          <t>01.1.3</t>
        </is>
      </c>
      <c r="D19" s="13" t="inlineStr">
        <is>
          <t>sourcing_gap</t>
        </is>
      </c>
      <c r="E19" s="13" t="inlineStr">
        <is>
          <t>sourcing_gap</t>
        </is>
      </c>
      <c r="F19" s="13" t="inlineStr">
        <is>
          <t>thin_present</t>
        </is>
      </c>
      <c r="G19" s="13" t="inlineStr">
        <is>
          <t>sourcing</t>
        </is>
      </c>
      <c r="H19" s="13" t="inlineStr">
        <is>
          <t>Retailed in EAP (fresh via physical wet/wholesale markets, or preserved) but under-represented in the online-retail corpus; genuine SKUs below the classifier-separability + PPP-cell threshold. Lever: fresh-produce / wholesale sourcing (talaadthai-style), NOT labeling.</t>
        </is>
      </c>
      <c r="I19" s="13" t="n">
        <v>0</v>
      </c>
      <c r="J19" s="13" t="n">
        <v>16</v>
      </c>
      <c r="K19" s="13" t="n">
        <v>7</v>
      </c>
      <c r="L19" s="13" t="n">
        <v>0</v>
      </c>
      <c r="M19" s="13" t="b">
        <v>1</v>
      </c>
      <c r="N19" s="13" t="b">
        <v>0</v>
      </c>
      <c r="O19" s="13" t="inlineStr">
        <is>
          <t>MAYBE - verify against the raw corpus first; many are gold gaps, not source gaps</t>
        </is>
      </c>
    </row>
    <row r="20">
      <c r="A20" s="13" t="inlineStr">
        <is>
          <t>01.1.3.5.2</t>
        </is>
      </c>
      <c r="B20" s="13" t="inlineStr">
        <is>
          <t>Other crustaceans, dried, salted or in brine; smoked</t>
        </is>
      </c>
      <c r="C20" s="13" t="inlineStr">
        <is>
          <t>01.1.3</t>
        </is>
      </c>
      <c r="D20" s="13" t="inlineStr">
        <is>
          <t>sourcing_gap</t>
        </is>
      </c>
      <c r="E20" s="13" t="inlineStr">
        <is>
          <t>sourcing_gap</t>
        </is>
      </c>
      <c r="F20" s="13" t="inlineStr">
        <is>
          <t>thin_present</t>
        </is>
      </c>
      <c r="G20" s="13" t="inlineStr">
        <is>
          <t>sourcing</t>
        </is>
      </c>
      <c r="H20" s="13" t="inlineStr">
        <is>
          <t>Retailed in EAP (fresh via physical wet/wholesale markets, or preserved) but under-represented in the online-retail corpus; genuine SKUs below the classifier-separability + PPP-cell threshold. Lever: fresh-produce / wholesale sourcing (talaadthai-style), NOT labeling.</t>
        </is>
      </c>
      <c r="I20" s="13" t="n">
        <v>0</v>
      </c>
      <c r="J20" s="13" t="n">
        <v>28</v>
      </c>
      <c r="K20" s="13" t="n">
        <v>2</v>
      </c>
      <c r="L20" s="13" t="n">
        <v>0</v>
      </c>
      <c r="M20" s="13" t="b">
        <v>1</v>
      </c>
      <c r="N20" s="13" t="b">
        <v>0</v>
      </c>
      <c r="O20" s="13" t="inlineStr">
        <is>
          <t>MAYBE - verify against the raw corpus first; many are gold gaps, not source gaps</t>
        </is>
      </c>
    </row>
    <row r="21">
      <c r="A21" s="13" t="inlineStr">
        <is>
          <t>01.1.3.5.3</t>
        </is>
      </c>
      <c r="B21" s="13" t="inlineStr">
        <is>
          <t>Bivalves, dried, salted or in brine; smoked</t>
        </is>
      </c>
      <c r="C21" s="13" t="inlineStr">
        <is>
          <t>01.1.3</t>
        </is>
      </c>
      <c r="D21" s="13" t="inlineStr">
        <is>
          <t>sourcing_gap</t>
        </is>
      </c>
      <c r="E21" s="13" t="inlineStr">
        <is>
          <t>sourcing_gap</t>
        </is>
      </c>
      <c r="F21" s="13" t="inlineStr">
        <is>
          <t>thin_present</t>
        </is>
      </c>
      <c r="G21" s="13" t="inlineStr">
        <is>
          <t>sourcing</t>
        </is>
      </c>
      <c r="H21" s="13" t="inlineStr">
        <is>
          <t>Retailed in EAP (fresh via physical wet/wholesale markets, or preserved) but under-represented in the online-retail corpus; genuine SKUs below the classifier-separability + PPP-cell threshold. Lever: fresh-produce / wholesale sourcing (talaadthai-style), NOT labeling.</t>
        </is>
      </c>
      <c r="I21" s="13" t="n">
        <v>0</v>
      </c>
      <c r="J21" s="13" t="n">
        <v>9</v>
      </c>
      <c r="K21" s="13" t="n">
        <v>8</v>
      </c>
      <c r="L21" s="13" t="n">
        <v>0</v>
      </c>
      <c r="M21" s="13" t="b">
        <v>1</v>
      </c>
      <c r="N21" s="13" t="b">
        <v>0</v>
      </c>
      <c r="O21" s="13" t="inlineStr">
        <is>
          <t>MAYBE - verify against the raw corpus first; many are gold gaps, not source gaps</t>
        </is>
      </c>
    </row>
    <row r="22">
      <c r="A22" s="13" t="inlineStr">
        <is>
          <t>01.1.3.5.5</t>
        </is>
      </c>
      <c r="B22" s="13" t="inlineStr">
        <is>
          <t>Other molluscs, dried, salted or in brine; smoked</t>
        </is>
      </c>
      <c r="C22" s="13" t="inlineStr">
        <is>
          <t>01.1.3</t>
        </is>
      </c>
      <c r="D22" s="13" t="inlineStr">
        <is>
          <t>sourcing_gap</t>
        </is>
      </c>
      <c r="E22" s="13" t="inlineStr">
        <is>
          <t>sourcing_gap</t>
        </is>
      </c>
      <c r="F22" s="13" t="inlineStr">
        <is>
          <t>thin_present</t>
        </is>
      </c>
      <c r="G22" s="13" t="inlineStr">
        <is>
          <t>sourcing</t>
        </is>
      </c>
      <c r="H22" s="13" t="inlineStr">
        <is>
          <t>Retailed in EAP (fresh via physical wet/wholesale markets, or preserved) but under-represented in the online-retail corpus; genuine SKUs below the classifier-separability + PPP-cell threshold. Lever: fresh-produce / wholesale sourcing (talaadthai-style), NOT labeling.</t>
        </is>
      </c>
      <c r="I22" s="13" t="n">
        <v>0</v>
      </c>
      <c r="J22" s="13" t="n">
        <v>3</v>
      </c>
      <c r="K22" s="13" t="n">
        <v>0</v>
      </c>
      <c r="L22" s="13" t="n">
        <v>0</v>
      </c>
      <c r="M22" s="13" t="b">
        <v>1</v>
      </c>
      <c r="N22" s="13" t="b">
        <v>0</v>
      </c>
      <c r="O22" s="13" t="inlineStr">
        <is>
          <t>MAYBE - verify against the raw corpus first; many are gold gaps, not source gaps</t>
        </is>
      </c>
    </row>
    <row r="23">
      <c r="A23" s="13" t="inlineStr">
        <is>
          <t>01.1.3.7.0</t>
        </is>
      </c>
      <c r="B23" s="13" t="inlineStr">
        <is>
          <t>Livers, roes and other offal of fish and of other seafood in all forms</t>
        </is>
      </c>
      <c r="C23" s="13" t="inlineStr">
        <is>
          <t>01.1.3</t>
        </is>
      </c>
      <c r="D23" s="13" t="inlineStr">
        <is>
          <t>sourcing_gap</t>
        </is>
      </c>
      <c r="E23" s="13" t="inlineStr">
        <is>
          <t>sourcing_gap</t>
        </is>
      </c>
      <c r="F23" s="13" t="inlineStr">
        <is>
          <t>thin_present</t>
        </is>
      </c>
      <c r="G23" s="13" t="inlineStr">
        <is>
          <t>sourcing</t>
        </is>
      </c>
      <c r="H23" s="13" t="inlineStr">
        <is>
          <t>Retailed in EAP (fresh via physical wet/wholesale markets, or preserved) but under-represented in the online-retail corpus; genuine SKUs below the classifier-separability + PPP-cell threshold. Lever: fresh-produce / wholesale sourcing (talaadthai-style), NOT labeling.</t>
        </is>
      </c>
      <c r="I23" s="13" t="n">
        <v>0</v>
      </c>
      <c r="J23" s="13" t="n">
        <v>25</v>
      </c>
      <c r="K23" s="13" t="n">
        <v>4</v>
      </c>
      <c r="L23" s="13" t="n">
        <v>0</v>
      </c>
      <c r="M23" s="13" t="b">
        <v>1</v>
      </c>
      <c r="N23" s="13" t="b">
        <v>0</v>
      </c>
      <c r="O23" s="13" t="inlineStr">
        <is>
          <t>MAYBE - verify against the raw corpus first; many are gold gaps, not source gaps</t>
        </is>
      </c>
    </row>
    <row r="24">
      <c r="A24" s="13" t="inlineStr">
        <is>
          <t>01.1.4.8.2</t>
        </is>
      </c>
      <c r="B24" s="13" t="inlineStr">
        <is>
          <t>Eggs of other animals, in shell, fresh</t>
        </is>
      </c>
      <c r="C24" s="13" t="inlineStr">
        <is>
          <t>01.1.4</t>
        </is>
      </c>
      <c r="D24" s="13" t="inlineStr">
        <is>
          <t>sourcing_gap</t>
        </is>
      </c>
      <c r="E24" s="13" t="inlineStr">
        <is>
          <t>out_of_region</t>
        </is>
      </c>
      <c r="F24" s="13" t="inlineStr">
        <is>
          <t>true_zero</t>
        </is>
      </c>
      <c r="G24" s="13" t="inlineStr">
        <is>
          <t>true_absence</t>
        </is>
      </c>
      <c r="H24" s="13" t="inlineStr">
        <is>
          <t>Duck / quail eggs are common in EAP but route to the hen-egg leaf. Retailed in EAP (fresh via physical wet/wholesale markets, or preserved) but under-represented in the online-retail corpus; genuine SKUs below the classifier-separability + PPP-cell threshold. Lever: fresh-produce / wholesale sourcing (talaadthai-style), NOT labeling.</t>
        </is>
      </c>
      <c r="I24" s="13" t="n">
        <v>0</v>
      </c>
      <c r="J24" s="13" t="n">
        <v>0</v>
      </c>
      <c r="K24" s="13" t="n">
        <v>0</v>
      </c>
      <c r="L24" s="13" t="n">
        <v>0</v>
      </c>
      <c r="M24" s="13" t="b">
        <v>1</v>
      </c>
      <c r="N24" s="13" t="b">
        <v>0</v>
      </c>
      <c r="O24" s="13" t="inlineStr">
        <is>
          <t>MAYBE - verify against the raw corpus first; many are gold gaps, not source gaps</t>
        </is>
      </c>
    </row>
    <row r="25">
      <c r="A25" s="13" t="inlineStr">
        <is>
          <t>01.1.4.9.0</t>
        </is>
      </c>
      <c r="B25" s="13" t="inlineStr">
        <is>
          <t>Other dairy products</t>
        </is>
      </c>
      <c r="C25" s="13" t="inlineStr">
        <is>
          <t>01.1.4</t>
        </is>
      </c>
      <c r="D25" s="13" t="inlineStr">
        <is>
          <t>sourcing_gap</t>
        </is>
      </c>
      <c r="E25" s="13" t="inlineStr">
        <is>
          <t>sourcing_gap</t>
        </is>
      </c>
      <c r="F25" s="13" t="inlineStr">
        <is>
          <t>thin_present</t>
        </is>
      </c>
      <c r="G25" s="13" t="inlineStr">
        <is>
          <t>sourcing</t>
        </is>
      </c>
      <c r="H25" s="13" t="inlineStr">
        <is>
          <t>Retailed in EAP (fresh via physical wet/wholesale markets, or preserved) but under-represented in the online-retail corpus; genuine SKUs below the classifier-separability + PPP-cell threshold. Lever: fresh-produce / wholesale sourcing (talaadthai-style), NOT labeling.</t>
        </is>
      </c>
      <c r="I25" s="13" t="n">
        <v>0</v>
      </c>
      <c r="J25" s="13" t="n">
        <v>16</v>
      </c>
      <c r="K25" s="13" t="n">
        <v>2</v>
      </c>
      <c r="L25" s="13" t="n">
        <v>0</v>
      </c>
      <c r="M25" s="13" t="b">
        <v>1</v>
      </c>
      <c r="N25" s="13" t="b">
        <v>0</v>
      </c>
      <c r="O25" s="13" t="inlineStr">
        <is>
          <t>MAYBE - verify against the raw corpus first; many are gold gaps, not source gaps</t>
        </is>
      </c>
    </row>
    <row r="26">
      <c r="A26" s="13" t="inlineStr">
        <is>
          <t>01.1.6.3.3</t>
        </is>
      </c>
      <c r="B26" s="13" t="inlineStr">
        <is>
          <t>Apricots, fresh</t>
        </is>
      </c>
      <c r="C26" s="13" t="inlineStr">
        <is>
          <t>01.1.6</t>
        </is>
      </c>
      <c r="D26" s="13" t="inlineStr">
        <is>
          <t>sourcing_gap</t>
        </is>
      </c>
      <c r="E26" s="13" t="inlineStr">
        <is>
          <t>sourcing_gap</t>
        </is>
      </c>
      <c r="F26" s="13" t="inlineStr">
        <is>
          <t>thin_present</t>
        </is>
      </c>
      <c r="G26" s="13" t="inlineStr">
        <is>
          <t>sourcing</t>
        </is>
      </c>
      <c r="H26" s="13" t="inlineStr">
        <is>
          <t>Fresh apricots; most corpus hits are dried / jam / juice. Retailed in EAP (fresh via physical wet/wholesale markets, or preserved) but under-represented in the online-retail corpus; genuine SKUs below the classifier-separability + PPP-cell threshold. Lever: fresh-produce / wholesale sourcing (talaadthai-style), NOT labeling.</t>
        </is>
      </c>
      <c r="I26" s="13" t="n">
        <v>0</v>
      </c>
      <c r="J26" s="13" t="n">
        <v>1</v>
      </c>
      <c r="K26" s="13" t="n">
        <v>4</v>
      </c>
      <c r="L26" s="13" t="n">
        <v>0</v>
      </c>
      <c r="M26" s="13" t="b">
        <v>1</v>
      </c>
      <c r="N26" s="13" t="b">
        <v>0</v>
      </c>
      <c r="O26" s="13" t="inlineStr">
        <is>
          <t>MAYBE - verify against the raw corpus first; many are gold gaps, not source gaps</t>
        </is>
      </c>
    </row>
    <row r="27">
      <c r="A27" s="13" t="inlineStr">
        <is>
          <t>01.1.6.4.1</t>
        </is>
      </c>
      <c r="B27" s="13" t="inlineStr">
        <is>
          <t>Currants, fresh</t>
        </is>
      </c>
      <c r="C27" s="13" t="inlineStr">
        <is>
          <t>01.1.6</t>
        </is>
      </c>
      <c r="D27" s="13" t="inlineStr">
        <is>
          <t>sourcing_gap</t>
        </is>
      </c>
      <c r="E27" s="13" t="inlineStr">
        <is>
          <t>sourcing_gap</t>
        </is>
      </c>
      <c r="F27" s="13" t="inlineStr">
        <is>
          <t>thin_present</t>
        </is>
      </c>
      <c r="G27" s="13" t="inlineStr">
        <is>
          <t>sourcing</t>
        </is>
      </c>
      <c r="H27" s="13" t="inlineStr">
        <is>
          <t>Retailed in EAP (fresh via physical wet/wholesale markets, or preserved) but under-represented in the online-retail corpus; genuine SKUs below the classifier-separability + PPP-cell threshold. Lever: fresh-produce / wholesale sourcing (talaadthai-style), NOT labeling.</t>
        </is>
      </c>
      <c r="I27" s="13" t="n">
        <v>0</v>
      </c>
      <c r="J27" s="13" t="n">
        <v>2</v>
      </c>
      <c r="K27" s="13" t="n">
        <v>0</v>
      </c>
      <c r="L27" s="13" t="n">
        <v>0</v>
      </c>
      <c r="M27" s="13" t="b">
        <v>1</v>
      </c>
      <c r="N27" s="13" t="b">
        <v>0</v>
      </c>
      <c r="O27" s="13" t="inlineStr">
        <is>
          <t>MAYBE - verify against the raw corpus first; many are gold gaps, not source gaps</t>
        </is>
      </c>
    </row>
    <row r="28">
      <c r="A28" s="13" t="inlineStr">
        <is>
          <t>01.1.6.4.2</t>
        </is>
      </c>
      <c r="B28" s="13" t="inlineStr">
        <is>
          <t>Gooseberries, fresh</t>
        </is>
      </c>
      <c r="C28" s="13" t="inlineStr">
        <is>
          <t>01.1.6</t>
        </is>
      </c>
      <c r="D28" s="13" t="inlineStr">
        <is>
          <t>sourcing_gap</t>
        </is>
      </c>
      <c r="E28" s="13" t="inlineStr">
        <is>
          <t>sourcing_gap</t>
        </is>
      </c>
      <c r="F28" s="13" t="inlineStr">
        <is>
          <t>thin_present</t>
        </is>
      </c>
      <c r="G28" s="13" t="inlineStr">
        <is>
          <t>sourcing</t>
        </is>
      </c>
      <c r="H28" s="13" t="inlineStr">
        <is>
          <t>Retailed in EAP (fresh via physical wet/wholesale markets, or preserved) but under-represented in the online-retail corpus; genuine SKUs below the classifier-separability + PPP-cell threshold. Lever: fresh-produce / wholesale sourcing (talaadthai-style), NOT labeling.</t>
        </is>
      </c>
      <c r="I28" s="13" t="n">
        <v>0</v>
      </c>
      <c r="J28" s="13" t="n">
        <v>6</v>
      </c>
      <c r="K28" s="13" t="n">
        <v>2</v>
      </c>
      <c r="L28" s="13" t="n">
        <v>0</v>
      </c>
      <c r="M28" s="13" t="b">
        <v>1</v>
      </c>
      <c r="N28" s="13" t="b">
        <v>0</v>
      </c>
      <c r="O28" s="13" t="inlineStr">
        <is>
          <t>MAYBE - verify against the raw corpus first; many are gold gaps, not source gaps</t>
        </is>
      </c>
    </row>
    <row r="29">
      <c r="A29" s="13" t="inlineStr">
        <is>
          <t>01.1.6.4.3</t>
        </is>
      </c>
      <c r="B29" s="13" t="inlineStr">
        <is>
          <t>Raspberries, fresh</t>
        </is>
      </c>
      <c r="C29" s="13" t="inlineStr">
        <is>
          <t>01.1.6</t>
        </is>
      </c>
      <c r="D29" s="13" t="inlineStr">
        <is>
          <t>sourcing_gap</t>
        </is>
      </c>
      <c r="E29" s="13" t="inlineStr">
        <is>
          <t>sourcing_gap</t>
        </is>
      </c>
      <c r="F29" s="13" t="inlineStr">
        <is>
          <t>thin_present</t>
        </is>
      </c>
      <c r="G29" s="13" t="inlineStr">
        <is>
          <t>sourcing</t>
        </is>
      </c>
      <c r="H29" s="13" t="inlineStr">
        <is>
          <t>Fresh raspberries; ~all corpus hits are jam / soda / yogurt / frozen — the fresh leaf is genuinely thin in EAP. Retailed in EAP (fresh via physical wet/wholesale markets, or preserved) but under-represented in the online-retail corpus; genuine SKUs below the classifier-separability + PPP-cell threshold. Lever: fresh-produce / wholesale sourcing (talaadthai-style), NOT labeling.</t>
        </is>
      </c>
      <c r="I29" s="13" t="n">
        <v>0</v>
      </c>
      <c r="J29" s="13" t="n">
        <v>6</v>
      </c>
      <c r="K29" s="13" t="n">
        <v>7</v>
      </c>
      <c r="L29" s="13" t="n">
        <v>0</v>
      </c>
      <c r="M29" s="13" t="b">
        <v>1</v>
      </c>
      <c r="N29" s="13" t="b">
        <v>0</v>
      </c>
      <c r="O29" s="13" t="inlineStr">
        <is>
          <t>MAYBE - verify against the raw corpus first; many are gold gaps, not source gaps</t>
        </is>
      </c>
    </row>
    <row r="30">
      <c r="A30" s="13" t="inlineStr">
        <is>
          <t>01.1.6.4.7</t>
        </is>
      </c>
      <c r="B30" s="13" t="inlineStr">
        <is>
          <t>Cranberries, fresh</t>
        </is>
      </c>
      <c r="C30" s="13" t="inlineStr">
        <is>
          <t>01.1.6</t>
        </is>
      </c>
      <c r="D30" s="13" t="inlineStr">
        <is>
          <t>sourcing_gap</t>
        </is>
      </c>
      <c r="E30" s="13" t="inlineStr">
        <is>
          <t>out_of_region</t>
        </is>
      </c>
      <c r="F30" s="13" t="inlineStr">
        <is>
          <t>true_zero</t>
        </is>
      </c>
      <c r="G30" s="13" t="inlineStr">
        <is>
          <t>true_absence</t>
        </is>
      </c>
      <c r="H30" s="13" t="inlineStr">
        <is>
          <t>Retailed in EAP (fresh via physical wet/wholesale markets, or preserved) but under-represented in the online-retail corpus; genuine SKUs below the classifier-separability + PPP-cell threshold. Lever: fresh-produce / wholesale sourcing (talaadthai-style), NOT labeling.</t>
        </is>
      </c>
      <c r="I30" s="13" t="n">
        <v>0</v>
      </c>
      <c r="J30" s="13" t="n">
        <v>0</v>
      </c>
      <c r="K30" s="13" t="n">
        <v>2</v>
      </c>
      <c r="L30" s="13" t="n">
        <v>0</v>
      </c>
      <c r="M30" s="13" t="b">
        <v>1</v>
      </c>
      <c r="N30" s="13" t="b">
        <v>0</v>
      </c>
      <c r="O30" s="13" t="inlineStr">
        <is>
          <t>MAYBE - verify against the raw corpus first; many are gold gaps, not source gaps</t>
        </is>
      </c>
    </row>
    <row r="31">
      <c r="A31" s="13" t="inlineStr">
        <is>
          <t>01.1.7.1.6</t>
        </is>
      </c>
      <c r="B31" s="13" t="inlineStr">
        <is>
          <t>Artichokes, fresh or chilled</t>
        </is>
      </c>
      <c r="C31" s="13" t="inlineStr">
        <is>
          <t>01.1.7</t>
        </is>
      </c>
      <c r="D31" s="13" t="inlineStr">
        <is>
          <t>sourcing_gap</t>
        </is>
      </c>
      <c r="E31" s="13" t="inlineStr">
        <is>
          <t>sourcing_gap</t>
        </is>
      </c>
      <c r="F31" s="13" t="inlineStr">
        <is>
          <t>thin_present</t>
        </is>
      </c>
      <c r="G31" s="13" t="inlineStr">
        <is>
          <t>sourcing</t>
        </is>
      </c>
      <c r="H31" s="13" t="inlineStr">
        <is>
          <t>Retailed in EAP (fresh via physical wet/wholesale markets, or preserved) but under-represented in the online-retail corpus; genuine SKUs below the classifier-separability + PPP-cell threshold. Lever: fresh-produce / wholesale sourcing (talaadthai-style), NOT labeling.</t>
        </is>
      </c>
      <c r="I31" s="13" t="n">
        <v>0</v>
      </c>
      <c r="J31" s="13" t="n">
        <v>4</v>
      </c>
      <c r="K31" s="13" t="n">
        <v>0</v>
      </c>
      <c r="L31" s="13" t="n">
        <v>0</v>
      </c>
      <c r="M31" s="13" t="b">
        <v>1</v>
      </c>
      <c r="N31" s="13" t="b">
        <v>0</v>
      </c>
      <c r="O31" s="13" t="inlineStr">
        <is>
          <t>MAYBE - verify against the raw corpus first; many are gold gaps, not source gaps</t>
        </is>
      </c>
    </row>
    <row r="32">
      <c r="A32" s="13" t="inlineStr">
        <is>
          <t>01.1.7.3.4</t>
        </is>
      </c>
      <c r="B32" s="13" t="inlineStr">
        <is>
          <t>Broad beans and horse beans, fresh or chilled</t>
        </is>
      </c>
      <c r="C32" s="13" t="inlineStr">
        <is>
          <t>01.1.7</t>
        </is>
      </c>
      <c r="D32" s="13" t="inlineStr">
        <is>
          <t>sourcing_gap</t>
        </is>
      </c>
      <c r="E32" s="13" t="inlineStr">
        <is>
          <t>sourcing_gap</t>
        </is>
      </c>
      <c r="F32" s="13" t="inlineStr">
        <is>
          <t>true_zero</t>
        </is>
      </c>
      <c r="G32" s="13" t="inlineStr">
        <is>
          <t>sourcing</t>
        </is>
      </c>
      <c r="H32" s="13" t="inlineStr">
        <is>
          <t>Retailed in EAP (fresh via physical wet/wholesale markets, or preserved) but under-represented in the online-retail corpus; genuine SKUs below the classifier-separability + PPP-cell threshold. Lever: fresh-produce / wholesale sourcing (talaadthai-style), NOT labeling.</t>
        </is>
      </c>
      <c r="I32" s="13" t="n">
        <v>0</v>
      </c>
      <c r="J32" s="13" t="n">
        <v>0</v>
      </c>
      <c r="K32" s="13" t="n">
        <v>0</v>
      </c>
      <c r="L32" s="13" t="n">
        <v>0</v>
      </c>
      <c r="M32" s="13" t="b">
        <v>1</v>
      </c>
      <c r="N32" s="13" t="b">
        <v>0</v>
      </c>
      <c r="O32" s="13" t="inlineStr">
        <is>
          <t>MAYBE - verify against the raw corpus first; many are gold gaps, not source gaps</t>
        </is>
      </c>
    </row>
    <row r="33">
      <c r="A33" s="13" t="inlineStr">
        <is>
          <t>01.1.7.4.6</t>
        </is>
      </c>
      <c r="B33" s="13" t="inlineStr">
        <is>
          <t>Edible seaweeds and other aquatic plants, fresh or chilled</t>
        </is>
      </c>
      <c r="C33" s="13" t="inlineStr">
        <is>
          <t>01.1.7</t>
        </is>
      </c>
      <c r="D33" s="13" t="inlineStr">
        <is>
          <t>sourcing_gap</t>
        </is>
      </c>
      <c r="E33" s="13" t="inlineStr">
        <is>
          <t>sourcing_gap</t>
        </is>
      </c>
      <c r="F33" s="13" t="inlineStr">
        <is>
          <t>thin_present</t>
        </is>
      </c>
      <c r="G33" s="13" t="inlineStr">
        <is>
          <t>sourcing</t>
        </is>
      </c>
      <c r="H33" s="13" t="inlineStr">
        <is>
          <t>Fresh edible seaweed; keyword corpus (~4,800) is 99% collisions — 海藻綠 = seaweed-*green* color, nori snacks, wakame soup. Genuine fresh SKUs ~12/4 countries. Retailed in EAP (fresh via physical wet/wholesale markets, or preserved) but under-represented in the online-retail corpus; genuine SKUs below the classifier-separability + PPP-cell threshold. Lever: fresh-produce / wholesale sourcing (talaadthai-style), NOT labeling.</t>
        </is>
      </c>
      <c r="I33" s="13" t="n">
        <v>0</v>
      </c>
      <c r="J33" s="13" t="n">
        <v>12</v>
      </c>
      <c r="K33" s="13" t="n">
        <v>5</v>
      </c>
      <c r="L33" s="13" t="n">
        <v>0</v>
      </c>
      <c r="M33" s="13" t="b">
        <v>1</v>
      </c>
      <c r="N33" s="13" t="b">
        <v>0</v>
      </c>
      <c r="O33" s="13" t="inlineStr">
        <is>
          <t>MAYBE - verify against the raw corpus first; many are gold gaps, not source gaps</t>
        </is>
      </c>
    </row>
    <row r="34">
      <c r="A34" s="13" t="inlineStr">
        <is>
          <t>01.1.7.5.4</t>
        </is>
      </c>
      <c r="B34" s="13" t="inlineStr">
        <is>
          <t>Yams</t>
        </is>
      </c>
      <c r="C34" s="13" t="inlineStr">
        <is>
          <t>01.1.7</t>
        </is>
      </c>
      <c r="D34" s="13" t="inlineStr">
        <is>
          <t>sourcing_gap</t>
        </is>
      </c>
      <c r="E34" s="13" t="inlineStr">
        <is>
          <t>sourcing_gap</t>
        </is>
      </c>
      <c r="F34" s="13" t="inlineStr">
        <is>
          <t>thin_present</t>
        </is>
      </c>
      <c r="G34" s="13" t="inlineStr">
        <is>
          <t>sourcing</t>
        </is>
      </c>
      <c r="H34" s="13" t="inlineStr">
        <is>
          <t>Fresh yam tuber; keyword corpus (~1,000) dominated by 'Tom Yam' soup, yam salad, purple-yam ice cream. Genuine fresh tuber few dozen (half are grated とろろ paste). Retailed in EAP (fresh via physical wet/wholesale markets, or preserved) but under-represented in the online-retail corpus; genuine SKUs below the classifier-separability + PPP-cell threshold. Lever: fresh-produce / wholesale sourcing (talaadthai-style), NOT labeling.</t>
        </is>
      </c>
      <c r="I34" s="13" t="n">
        <v>0</v>
      </c>
      <c r="J34" s="13" t="n">
        <v>18</v>
      </c>
      <c r="K34" s="13" t="n">
        <v>6</v>
      </c>
      <c r="L34" s="13" t="n">
        <v>0</v>
      </c>
      <c r="M34" s="13" t="b">
        <v>1</v>
      </c>
      <c r="N34" s="13" t="b">
        <v>0</v>
      </c>
      <c r="O34" s="13" t="inlineStr">
        <is>
          <t>MAYBE - verify against the raw corpus first; many are gold gaps, not source gaps</t>
        </is>
      </c>
    </row>
    <row r="35">
      <c r="A35" s="13" t="inlineStr">
        <is>
          <t>01.1.7.6.2</t>
        </is>
      </c>
      <c r="B35" s="13" t="inlineStr">
        <is>
          <t>Broad beans and horse beans, dried</t>
        </is>
      </c>
      <c r="C35" s="13" t="inlineStr">
        <is>
          <t>01.1.7</t>
        </is>
      </c>
      <c r="D35" s="13" t="inlineStr">
        <is>
          <t>sourcing_gap</t>
        </is>
      </c>
      <c r="E35" s="13" t="inlineStr">
        <is>
          <t>sourcing_gap</t>
        </is>
      </c>
      <c r="F35" s="13" t="inlineStr">
        <is>
          <t>thin_present</t>
        </is>
      </c>
      <c r="G35" s="13" t="inlineStr">
        <is>
          <t>sourcing</t>
        </is>
      </c>
      <c r="H35" s="13" t="inlineStr">
        <is>
          <t>Retailed in EAP (fresh via physical wet/wholesale markets, or preserved) but under-represented in the online-retail corpus; genuine SKUs below the classifier-separability + PPP-cell threshold. Lever: fresh-produce / wholesale sourcing (talaadthai-style), NOT labeling.</t>
        </is>
      </c>
      <c r="I35" s="13" t="n">
        <v>0</v>
      </c>
      <c r="J35" s="13" t="n">
        <v>3</v>
      </c>
      <c r="K35" s="13" t="n">
        <v>0</v>
      </c>
      <c r="L35" s="13" t="n">
        <v>0</v>
      </c>
      <c r="M35" s="13" t="b">
        <v>1</v>
      </c>
      <c r="N35" s="13" t="b">
        <v>0</v>
      </c>
      <c r="O35" s="13" t="inlineStr">
        <is>
          <t>MAYBE - verify against the raw corpus first; many are gold gaps, not source gaps</t>
        </is>
      </c>
    </row>
    <row r="36">
      <c r="A36" s="13" t="inlineStr">
        <is>
          <t>01.1.7.6.3</t>
        </is>
      </c>
      <c r="B36" s="13" t="inlineStr">
        <is>
          <t>Chickpeas, dried</t>
        </is>
      </c>
      <c r="C36" s="13" t="inlineStr">
        <is>
          <t>01.1.7</t>
        </is>
      </c>
      <c r="D36" s="13" t="inlineStr">
        <is>
          <t>sourcing_gap</t>
        </is>
      </c>
      <c r="E36" s="13" t="inlineStr">
        <is>
          <t>sourcing_gap</t>
        </is>
      </c>
      <c r="F36" s="13" t="inlineStr">
        <is>
          <t>thin_present</t>
        </is>
      </c>
      <c r="G36" s="13" t="inlineStr">
        <is>
          <t>sourcing</t>
        </is>
      </c>
      <c r="H36" s="13" t="inlineStr">
        <is>
          <t>Dried chickpeas; dry-goods SKU present but thin, loses argmax to the dried-pulses neighbor. Retailed in EAP (fresh via physical wet/wholesale markets, or preserved) but under-represented in the online-retail corpus; genuine SKUs below the classifier-separability + PPP-cell threshold. Lever: fresh-produce / wholesale sourcing (talaadthai-style), NOT labeling.</t>
        </is>
      </c>
      <c r="I36" s="13" t="n">
        <v>0</v>
      </c>
      <c r="J36" s="13" t="n">
        <v>25</v>
      </c>
      <c r="K36" s="13" t="n">
        <v>5</v>
      </c>
      <c r="L36" s="13" t="n">
        <v>0</v>
      </c>
      <c r="M36" s="13" t="b">
        <v>1</v>
      </c>
      <c r="N36" s="13" t="b">
        <v>0</v>
      </c>
      <c r="O36" s="13" t="inlineStr">
        <is>
          <t>MAYBE - verify against the raw corpus first; many are gold gaps, not source gaps</t>
        </is>
      </c>
    </row>
    <row r="37">
      <c r="A37" s="13" t="inlineStr">
        <is>
          <t>01.1.1.1.3</t>
        </is>
      </c>
      <c r="B37" s="13" t="inlineStr">
        <is>
          <t>Sorghum</t>
        </is>
      </c>
      <c r="C37" s="13" t="inlineStr">
        <is>
          <t>01.1.1</t>
        </is>
      </c>
      <c r="D37" s="13" t="inlineStr">
        <is>
          <t>trusted_tier</t>
        </is>
      </c>
      <c r="E37" s="13" t="inlineStr">
        <is>
          <t>sourcing_gap</t>
        </is>
      </c>
      <c r="F37" s="13" t="inlineStr">
        <is>
          <t>thin_present</t>
        </is>
      </c>
      <c r="G37" s="13" t="inlineStr">
        <is>
          <t>sourcing</t>
        </is>
      </c>
      <c r="H37" s="13" t="inlineStr">
        <is>
          <t>100% review_missing_qty (1 obs) — item / sold_by_item quarantine — no resolvable quantity, so no unit value; fix is the sold_by_item allowlist or quantity recovery, not fx/uv</t>
        </is>
      </c>
      <c r="I37" s="13" t="n">
        <v>1</v>
      </c>
      <c r="J37" s="13" t="n">
        <v>6</v>
      </c>
      <c r="K37" s="13" t="n">
        <v>6</v>
      </c>
      <c r="L37" s="13" t="n">
        <v>0</v>
      </c>
      <c r="M37" s="13" t="b">
        <v>1</v>
      </c>
      <c r="N37" s="13" t="b">
        <v>0</v>
      </c>
      <c r="O37" s="13" t="inlineStr">
        <is>
          <t>NO - quantity / unit-value problem, not a source problem</t>
        </is>
      </c>
    </row>
    <row r="38">
      <c r="A38" s="13" t="inlineStr">
        <is>
          <t>01.1.1.2.2</t>
        </is>
      </c>
      <c r="B38" s="13" t="inlineStr">
        <is>
          <t>Flour of rice</t>
        </is>
      </c>
      <c r="C38" s="13" t="inlineStr">
        <is>
          <t>01.1.1</t>
        </is>
      </c>
      <c r="D38" s="13" t="inlineStr">
        <is>
          <t>trusted_tier</t>
        </is>
      </c>
      <c r="E38" s="13" t="inlineStr">
        <is>
          <t>trusted_tier</t>
        </is>
      </c>
      <c r="F38" s="13" t="inlineStr"/>
      <c r="G38" s="13" t="inlineStr"/>
      <c r="H38" s="13" t="inlineStr">
        <is>
          <t>100% review_missing_qty (10 obs) — item / sold_by_item quarantine — no resolvable quantity, so no unit value; fix is the sold_by_item allowlist or quantity recovery, not fx/uv</t>
        </is>
      </c>
      <c r="I38" s="13" t="n">
        <v>4</v>
      </c>
      <c r="J38" s="13" t="inlineStr"/>
      <c r="K38" s="13" t="n">
        <v>7</v>
      </c>
      <c r="L38" s="13" t="n">
        <v>0</v>
      </c>
      <c r="M38" s="13" t="b">
        <v>1</v>
      </c>
      <c r="N38" s="13" t="b">
        <v>0</v>
      </c>
      <c r="O38" s="13" t="inlineStr">
        <is>
          <t>NO - quantity / unit-value problem, not a source problem</t>
        </is>
      </c>
    </row>
    <row r="39">
      <c r="A39" s="13" t="inlineStr">
        <is>
          <t>01.1.3.1.6</t>
        </is>
      </c>
      <c r="B39" s="13" t="inlineStr">
        <is>
          <t>Other pelagic fish, live, fresh, chilled, or frozen</t>
        </is>
      </c>
      <c r="C39" s="13" t="inlineStr">
        <is>
          <t>01.1.3</t>
        </is>
      </c>
      <c r="D39" s="13" t="inlineStr">
        <is>
          <t>trusted_tier</t>
        </is>
      </c>
      <c r="E39" s="13" t="inlineStr">
        <is>
          <t>sourcing_gap</t>
        </is>
      </c>
      <c r="F39" s="13" t="inlineStr">
        <is>
          <t>thin_present</t>
        </is>
      </c>
      <c r="G39" s="13" t="inlineStr">
        <is>
          <t>sourcing</t>
        </is>
      </c>
      <c r="H39" s="13" t="inlineStr">
        <is>
          <t>100% review_uv_outlier (1 obs) — all rows fail the unit-value sanity check (log-MAD outlier)</t>
        </is>
      </c>
      <c r="I39" s="13" t="n">
        <v>1</v>
      </c>
      <c r="J39" s="13" t="n">
        <v>20</v>
      </c>
      <c r="K39" s="13" t="n">
        <v>8</v>
      </c>
      <c r="L39" s="13" t="n">
        <v>0</v>
      </c>
      <c r="M39" s="13" t="b">
        <v>1</v>
      </c>
      <c r="N39" s="13" t="b">
        <v>0</v>
      </c>
      <c r="O39" s="13" t="inlineStr">
        <is>
          <t>NO - quantity / unit-value problem, not a source problem</t>
        </is>
      </c>
    </row>
    <row r="40">
      <c r="A40" s="13" t="inlineStr">
        <is>
          <t>01.1.3.4.2</t>
        </is>
      </c>
      <c r="B40" s="13" t="inlineStr">
        <is>
          <t>Other crustaceans, live, fresh, chilled or frozen</t>
        </is>
      </c>
      <c r="C40" s="13" t="inlineStr">
        <is>
          <t>01.1.3</t>
        </is>
      </c>
      <c r="D40" s="13" t="inlineStr">
        <is>
          <t>trusted_tier</t>
        </is>
      </c>
      <c r="E40" s="13" t="inlineStr">
        <is>
          <t>trusted_tier</t>
        </is>
      </c>
      <c r="F40" s="13" t="inlineStr"/>
      <c r="G40" s="13" t="inlineStr"/>
      <c r="H40" s="13" t="inlineStr">
        <is>
          <t>100% review_missing_qty (53 obs) — item / sold_by_item quarantine — no resolvable quantity, so no unit value; fix is the sold_by_item allowlist or quantity recovery, not fx/uv</t>
        </is>
      </c>
      <c r="I40" s="13" t="n">
        <v>6</v>
      </c>
      <c r="J40" s="13" t="inlineStr"/>
      <c r="K40" s="13" t="n">
        <v>12</v>
      </c>
      <c r="L40" s="13" t="n">
        <v>0</v>
      </c>
      <c r="M40" s="13" t="b">
        <v>1</v>
      </c>
      <c r="N40" s="13" t="b">
        <v>0</v>
      </c>
      <c r="O40" s="13" t="inlineStr">
        <is>
          <t>NO - quantity / unit-value problem, not a source problem</t>
        </is>
      </c>
    </row>
    <row r="41">
      <c r="A41" s="13" t="inlineStr">
        <is>
          <t>01.1.5.9.2</t>
        </is>
      </c>
      <c r="B41" s="13" t="inlineStr">
        <is>
          <t>Tallow</t>
        </is>
      </c>
      <c r="C41" s="13" t="inlineStr">
        <is>
          <t>01.1.5</t>
        </is>
      </c>
      <c r="D41" s="13" t="inlineStr">
        <is>
          <t>trusted_tier</t>
        </is>
      </c>
      <c r="E41" s="13" t="inlineStr">
        <is>
          <t>sourcing_gap</t>
        </is>
      </c>
      <c r="F41" s="13" t="inlineStr">
        <is>
          <t>thin_present</t>
        </is>
      </c>
      <c r="G41" s="13" t="inlineStr">
        <is>
          <t>sourcing</t>
        </is>
      </c>
      <c r="H41" s="13" t="inlineStr">
        <is>
          <t>57% review_uv_outlier (7 obs) — all rows fail the unit-value sanity check (log-MAD outlier)</t>
        </is>
      </c>
      <c r="I41" s="13" t="n">
        <v>4</v>
      </c>
      <c r="J41" s="13" t="n">
        <v>12</v>
      </c>
      <c r="K41" s="13" t="n">
        <v>7</v>
      </c>
      <c r="L41" s="13" t="n">
        <v>0</v>
      </c>
      <c r="M41" s="13" t="b">
        <v>1</v>
      </c>
      <c r="N41" s="13" t="b">
        <v>0</v>
      </c>
      <c r="O41" s="13" t="inlineStr">
        <is>
          <t>NO - quantity / unit-value problem, not a source problem</t>
        </is>
      </c>
    </row>
    <row r="42">
      <c r="A42" s="13" t="inlineStr">
        <is>
          <t>01.1.6.1.3</t>
        </is>
      </c>
      <c r="B42" s="13" t="inlineStr">
        <is>
          <t>Dates, fresh</t>
        </is>
      </c>
      <c r="C42" s="13" t="inlineStr">
        <is>
          <t>01.1.6</t>
        </is>
      </c>
      <c r="D42" s="13" t="inlineStr">
        <is>
          <t>trusted_tier</t>
        </is>
      </c>
      <c r="E42" s="13" t="inlineStr">
        <is>
          <t>sourcing_gap</t>
        </is>
      </c>
      <c r="F42" s="13" t="inlineStr">
        <is>
          <t>thin_present</t>
        </is>
      </c>
      <c r="G42" s="13" t="inlineStr">
        <is>
          <t>sourcing</t>
        </is>
      </c>
      <c r="H42" s="13" t="inlineStr">
        <is>
          <t>100% review_missing_qty (1 obs) — item / sold_by_item quarantine — no resolvable quantity, so no unit value; fix is the sold_by_item allowlist or quantity recovery, not fx/uv</t>
        </is>
      </c>
      <c r="I42" s="13" t="n">
        <v>1</v>
      </c>
      <c r="J42" s="13" t="n">
        <v>9</v>
      </c>
      <c r="K42" s="13" t="n">
        <v>7</v>
      </c>
      <c r="L42" s="13" t="n">
        <v>0</v>
      </c>
      <c r="M42" s="13" t="b">
        <v>1</v>
      </c>
      <c r="N42" s="13" t="b">
        <v>0</v>
      </c>
      <c r="O42" s="13" t="inlineStr">
        <is>
          <t>NO - quantity / unit-value problem, not a source problem</t>
        </is>
      </c>
    </row>
    <row r="43">
      <c r="A43" s="13" t="inlineStr">
        <is>
          <t>01.1.6.1.9</t>
        </is>
      </c>
      <c r="B43" s="13" t="inlineStr">
        <is>
          <t>Other tropical fruits, fresh</t>
        </is>
      </c>
      <c r="C43" s="13" t="inlineStr">
        <is>
          <t>01.1.6</t>
        </is>
      </c>
      <c r="D43" s="13" t="inlineStr">
        <is>
          <t>trusted_tier</t>
        </is>
      </c>
      <c r="E43" s="13" t="inlineStr">
        <is>
          <t>trusted_tier</t>
        </is>
      </c>
      <c r="F43" s="13" t="inlineStr"/>
      <c r="G43" s="13" t="inlineStr"/>
      <c r="H43" s="13" t="inlineStr">
        <is>
          <t>100% review_missing_qty (125 obs) — item / sold_by_item quarantine — no resolvable quantity, so no unit value; fix is the sold_by_item allowlist or quantity recovery, not fx/uv</t>
        </is>
      </c>
      <c r="I43" s="13" t="n">
        <v>14</v>
      </c>
      <c r="J43" s="13" t="inlineStr"/>
      <c r="K43" s="13" t="n">
        <v>26</v>
      </c>
      <c r="L43" s="13" t="n">
        <v>0</v>
      </c>
      <c r="M43" s="13" t="b">
        <v>1</v>
      </c>
      <c r="N43" s="13" t="b">
        <v>0</v>
      </c>
      <c r="O43" s="13" t="inlineStr">
        <is>
          <t>NO - quantity / unit-value problem, not a source problem</t>
        </is>
      </c>
    </row>
    <row r="44">
      <c r="A44" s="13" t="inlineStr">
        <is>
          <t>01.1.6.2.4</t>
        </is>
      </c>
      <c r="B44" s="13" t="inlineStr">
        <is>
          <t>Tangerines, mandarins and clementines, fresh</t>
        </is>
      </c>
      <c r="C44" s="13" t="inlineStr">
        <is>
          <t>01.1.6</t>
        </is>
      </c>
      <c r="D44" s="13" t="inlineStr">
        <is>
          <t>trusted_tier</t>
        </is>
      </c>
      <c r="E44" s="13" t="inlineStr">
        <is>
          <t>trusted_tier</t>
        </is>
      </c>
      <c r="F44" s="13" t="inlineStr"/>
      <c r="G44" s="13" t="inlineStr"/>
      <c r="H44" s="13" t="inlineStr">
        <is>
          <t>100% review_missing_qty (131 obs) — item / sold_by_item quarantine — no resolvable quantity, so no unit value; fix is the sold_by_item allowlist or quantity recovery, not fx/uv</t>
        </is>
      </c>
      <c r="I44" s="13" t="n">
        <v>24</v>
      </c>
      <c r="J44" s="13" t="inlineStr"/>
      <c r="K44" s="13" t="n">
        <v>8</v>
      </c>
      <c r="L44" s="13" t="n">
        <v>0</v>
      </c>
      <c r="M44" s="13" t="b">
        <v>1</v>
      </c>
      <c r="N44" s="13" t="b">
        <v>0</v>
      </c>
      <c r="O44" s="13" t="inlineStr">
        <is>
          <t>NO - quantity / unit-value problem, not a source problem</t>
        </is>
      </c>
    </row>
    <row r="45">
      <c r="A45" s="13" t="inlineStr">
        <is>
          <t>01.1.7.1.7</t>
        </is>
      </c>
      <c r="B45" s="13" t="inlineStr">
        <is>
          <t>Cassava leaves, fresh or chilled</t>
        </is>
      </c>
      <c r="C45" s="13" t="inlineStr">
        <is>
          <t>01.1.7</t>
        </is>
      </c>
      <c r="D45" s="13" t="inlineStr">
        <is>
          <t>trusted_tier</t>
        </is>
      </c>
      <c r="E45" s="13" t="inlineStr">
        <is>
          <t>sourcing_gap</t>
        </is>
      </c>
      <c r="F45" s="13" t="inlineStr">
        <is>
          <t>thin_present</t>
        </is>
      </c>
      <c r="G45" s="13" t="inlineStr">
        <is>
          <t>sourcing</t>
        </is>
      </c>
      <c r="H45" s="13" t="inlineStr">
        <is>
          <t>50% review_uv_outlier (6 obs) — all rows fail the unit-value sanity check (log-MAD outlier)</t>
        </is>
      </c>
      <c r="I45" s="13" t="n">
        <v>6</v>
      </c>
      <c r="J45" s="13" t="n">
        <v>10</v>
      </c>
      <c r="K45" s="13" t="n">
        <v>8</v>
      </c>
      <c r="L45" s="13" t="n">
        <v>0</v>
      </c>
      <c r="M45" s="13" t="b">
        <v>1</v>
      </c>
      <c r="N45" s="13" t="b">
        <v>0</v>
      </c>
      <c r="O45" s="13" t="inlineStr">
        <is>
          <t>NO - quantity / unit-value problem, not a source problem</t>
        </is>
      </c>
    </row>
    <row r="46">
      <c r="A46" s="13" t="inlineStr">
        <is>
          <t>01.1.7.2.9</t>
        </is>
      </c>
      <c r="B46" s="13" t="inlineStr">
        <is>
          <t>Other fruit-bearing vegetables, fresh or chilled</t>
        </is>
      </c>
      <c r="C46" s="13" t="inlineStr">
        <is>
          <t>01.1.7</t>
        </is>
      </c>
      <c r="D46" s="13" t="inlineStr">
        <is>
          <t>trusted_tier</t>
        </is>
      </c>
      <c r="E46" s="13" t="inlineStr">
        <is>
          <t>trusted_tier</t>
        </is>
      </c>
      <c r="F46" s="13" t="inlineStr"/>
      <c r="G46" s="13" t="inlineStr"/>
      <c r="H46" s="13" t="inlineStr">
        <is>
          <t>100% review_missing_qty (39 obs) — item / sold_by_item quarantine — no resolvable quantity, so no unit value; fix is the sold_by_item allowlist or quantity recovery, not fx/uv</t>
        </is>
      </c>
      <c r="I46" s="13" t="n">
        <v>3</v>
      </c>
      <c r="J46" s="13" t="inlineStr"/>
      <c r="K46" s="13" t="n">
        <v>7</v>
      </c>
      <c r="L46" s="13" t="n">
        <v>0</v>
      </c>
      <c r="M46" s="13" t="b">
        <v>1</v>
      </c>
      <c r="N46" s="13" t="b">
        <v>0</v>
      </c>
      <c r="O46" s="13" t="inlineStr">
        <is>
          <t>NO - quantity / unit-value problem, not a source problem</t>
        </is>
      </c>
    </row>
    <row r="47">
      <c r="A47" s="13" t="inlineStr">
        <is>
          <t>01.1.7.3.1</t>
        </is>
      </c>
      <c r="B47" s="13" t="inlineStr">
        <is>
          <t>Beans, fresh or chilled</t>
        </is>
      </c>
      <c r="C47" s="13" t="inlineStr">
        <is>
          <t>01.1.7</t>
        </is>
      </c>
      <c r="D47" s="13" t="inlineStr">
        <is>
          <t>trusted_tier</t>
        </is>
      </c>
      <c r="E47" s="13" t="inlineStr">
        <is>
          <t>out_of_region</t>
        </is>
      </c>
      <c r="F47" s="13" t="inlineStr">
        <is>
          <t>true_zero</t>
        </is>
      </c>
      <c r="G47" s="13" t="inlineStr">
        <is>
          <t>true_absence</t>
        </is>
      </c>
      <c r="H47" s="13" t="inlineStr">
        <is>
          <t>100% review_missing_qty (34 obs) — item / sold_by_item quarantine — no resolvable quantity, so no unit value; fix is the sold_by_item allowlist or quantity recovery, not fx/uv</t>
        </is>
      </c>
      <c r="I47" s="13" t="n">
        <v>2</v>
      </c>
      <c r="J47" s="13" t="n">
        <v>0</v>
      </c>
      <c r="K47" s="13" t="n">
        <v>12</v>
      </c>
      <c r="L47" s="13" t="n">
        <v>0</v>
      </c>
      <c r="M47" s="13" t="b">
        <v>1</v>
      </c>
      <c r="N47" s="13" t="b">
        <v>0</v>
      </c>
      <c r="O47" s="13" t="inlineStr">
        <is>
          <t>NO - quantity / unit-value problem, not a source problem</t>
        </is>
      </c>
    </row>
    <row r="48">
      <c r="A48" s="13" t="inlineStr">
        <is>
          <t>01.1.7.4.9</t>
        </is>
      </c>
      <c r="B48" s="13" t="inlineStr">
        <is>
          <t>Other vegetable n.e.c., mixtures of vegetables, fresh or chilled</t>
        </is>
      </c>
      <c r="C48" s="13" t="inlineStr">
        <is>
          <t>01.1.7</t>
        </is>
      </c>
      <c r="D48" s="13" t="inlineStr">
        <is>
          <t>trusted_tier</t>
        </is>
      </c>
      <c r="E48" s="13" t="inlineStr">
        <is>
          <t>trusted_tier</t>
        </is>
      </c>
      <c r="F48" s="13" t="inlineStr"/>
      <c r="G48" s="13" t="inlineStr"/>
      <c r="H48" s="13" t="inlineStr">
        <is>
          <t>100% review_missing_qty (2 obs) — item / sold_by_item quarantine — no resolvable quantity, so no unit value; fix is the sold_by_item allowlist or quantity recovery, not fx/uv</t>
        </is>
      </c>
      <c r="I48" s="13" t="n">
        <v>1</v>
      </c>
      <c r="J48" s="13" t="inlineStr"/>
      <c r="K48" s="13" t="n">
        <v>17</v>
      </c>
      <c r="L48" s="13" t="n">
        <v>0</v>
      </c>
      <c r="M48" s="13" t="b">
        <v>1</v>
      </c>
      <c r="N48" s="13" t="b">
        <v>0</v>
      </c>
      <c r="O48" s="13" t="inlineStr">
        <is>
          <t>NO - quantity / unit-value problem, not a source problem</t>
        </is>
      </c>
    </row>
    <row r="49">
      <c r="A49" s="13" t="inlineStr">
        <is>
          <t>01.1.7.5.3</t>
        </is>
      </c>
      <c r="B49" s="13" t="inlineStr">
        <is>
          <t>Cassava (manioc, yuca)</t>
        </is>
      </c>
      <c r="C49" s="13" t="inlineStr">
        <is>
          <t>01.1.7</t>
        </is>
      </c>
      <c r="D49" s="13" t="inlineStr">
        <is>
          <t>trusted_tier</t>
        </is>
      </c>
      <c r="E49" s="13" t="inlineStr">
        <is>
          <t>sourcing_gap</t>
        </is>
      </c>
      <c r="F49" s="13" t="inlineStr">
        <is>
          <t>thin_present</t>
        </is>
      </c>
      <c r="G49" s="13" t="inlineStr">
        <is>
          <t>sourcing</t>
        </is>
      </c>
      <c r="H49" s="13" t="inlineStr">
        <is>
          <t>100% review_missing_qty (27 obs) — item / sold_by_item quarantine — no resolvable quantity, so no unit value; fix is the sold_by_item allowlist or quantity recovery, not fx/uv</t>
        </is>
      </c>
      <c r="I49" s="13" t="n">
        <v>5</v>
      </c>
      <c r="J49" s="13" t="n">
        <v>7</v>
      </c>
      <c r="K49" s="13" t="n">
        <v>5</v>
      </c>
      <c r="L49" s="13" t="n">
        <v>0</v>
      </c>
      <c r="M49" s="13" t="b">
        <v>1</v>
      </c>
      <c r="N49" s="13" t="b">
        <v>0</v>
      </c>
      <c r="O49" s="13" t="inlineStr">
        <is>
          <t>NO - quantity / unit-value problem, not a source problem</t>
        </is>
      </c>
    </row>
    <row r="50">
      <c r="A50" s="13" t="inlineStr">
        <is>
          <t>01.1.9.1.5</t>
        </is>
      </c>
      <c r="B50" s="13" t="inlineStr">
        <is>
          <t>Omelettes, crepes and other ready-made food based on eggs</t>
        </is>
      </c>
      <c r="C50" s="13" t="inlineStr">
        <is>
          <t>01.1.9</t>
        </is>
      </c>
      <c r="D50" s="13" t="inlineStr">
        <is>
          <t>trusted_tier</t>
        </is>
      </c>
      <c r="E50" s="13" t="inlineStr">
        <is>
          <t>trusted_tier</t>
        </is>
      </c>
      <c r="F50" s="13" t="inlineStr"/>
      <c r="G50" s="13" t="inlineStr"/>
      <c r="H50" s="13" t="inlineStr">
        <is>
          <t>100% review_missing_qty (36 obs) — item / sold_by_item quarantine — no resolvable quantity, so no unit value; fix is the sold_by_item allowlist or quantity recovery, not fx/uv</t>
        </is>
      </c>
      <c r="I50" s="13" t="n">
        <v>5</v>
      </c>
      <c r="J50" s="13" t="inlineStr"/>
      <c r="K50" s="13" t="n">
        <v>10</v>
      </c>
      <c r="L50" s="13" t="n">
        <v>0</v>
      </c>
      <c r="M50" s="13" t="b">
        <v>1</v>
      </c>
      <c r="N50" s="13" t="b">
        <v>0</v>
      </c>
      <c r="O50" s="13" t="inlineStr">
        <is>
          <t>NO - quantity / unit-value problem, not a source problem</t>
        </is>
      </c>
    </row>
    <row r="51">
      <c r="A51" s="13" t="inlineStr">
        <is>
          <t>01.1.1.1.9</t>
        </is>
      </c>
      <c r="B51" s="13" t="inlineStr">
        <is>
          <t>Other cereals</t>
        </is>
      </c>
      <c r="C51" s="13" t="inlineStr">
        <is>
          <t>01.1.1</t>
        </is>
      </c>
      <c r="D51" s="13" t="inlineStr">
        <is>
          <t>catch_all</t>
        </is>
      </c>
      <c r="E51" s="13" t="inlineStr">
        <is>
          <t>catch_all</t>
        </is>
      </c>
      <c r="F51" s="13" t="inlineStr"/>
      <c r="G51" s="13" t="inlineStr"/>
      <c r="H51" s="13" t="inlineStr">
        <is>
          <t>'.9 Other n.e.c.' residual — empty by construction (classifier prefers named siblings); analytically unmatchable for PPP; filling it would steal probability mass from named leaves and cut their precision.</t>
        </is>
      </c>
      <c r="I51" s="13" t="n">
        <v>0</v>
      </c>
      <c r="J51" s="13" t="inlineStr"/>
      <c r="K51" s="13" t="n">
        <v>1</v>
      </c>
      <c r="L51" s="13" t="n">
        <v>0</v>
      </c>
      <c r="M51" s="13" t="b">
        <v>0</v>
      </c>
      <c r="N51" s="13" t="b">
        <v>0</v>
      </c>
      <c r="O51" s="13" t="inlineStr">
        <is>
          <t>NO - unreachable by design</t>
        </is>
      </c>
    </row>
    <row r="52">
      <c r="A52" s="13" t="inlineStr">
        <is>
          <t>01.1.2.2.9</t>
        </is>
      </c>
      <c r="B52" s="13" t="inlineStr">
        <is>
          <t>Other meat, fresh, chilled or frozen</t>
        </is>
      </c>
      <c r="C52" s="13" t="inlineStr">
        <is>
          <t>01.1.2</t>
        </is>
      </c>
      <c r="D52" s="13" t="inlineStr">
        <is>
          <t>catch_all</t>
        </is>
      </c>
      <c r="E52" s="13" t="inlineStr">
        <is>
          <t>catch_all</t>
        </is>
      </c>
      <c r="F52" s="13" t="inlineStr"/>
      <c r="G52" s="13" t="inlineStr"/>
      <c r="H52" s="13" t="inlineStr">
        <is>
          <t>'.9 Other n.e.c.' residual — empty by construction (classifier prefers named siblings); analytically unmatchable for PPP; filling it would steal probability mass from named leaves and cut their precision.</t>
        </is>
      </c>
      <c r="I52" s="13" t="n">
        <v>0</v>
      </c>
      <c r="J52" s="13" t="inlineStr"/>
      <c r="K52" s="13" t="n">
        <v>3</v>
      </c>
      <c r="L52" s="13" t="n">
        <v>0</v>
      </c>
      <c r="M52" s="13" t="b">
        <v>0</v>
      </c>
      <c r="N52" s="13" t="b">
        <v>0</v>
      </c>
      <c r="O52" s="13" t="inlineStr">
        <is>
          <t>NO - unreachable by design</t>
        </is>
      </c>
    </row>
    <row r="53">
      <c r="A53" s="13" t="inlineStr">
        <is>
          <t>01.1.3.4.9</t>
        </is>
      </c>
      <c r="B53" s="13" t="inlineStr">
        <is>
          <t>Other aquatic invertebrates, live, fresh, chilled or frozen</t>
        </is>
      </c>
      <c r="C53" s="13" t="inlineStr">
        <is>
          <t>01.1.3</t>
        </is>
      </c>
      <c r="D53" s="13" t="inlineStr">
        <is>
          <t>catch_all</t>
        </is>
      </c>
      <c r="E53" s="13" t="inlineStr">
        <is>
          <t>catch_all</t>
        </is>
      </c>
      <c r="F53" s="13" t="inlineStr"/>
      <c r="G53" s="13" t="inlineStr"/>
      <c r="H53" s="13" t="inlineStr">
        <is>
          <t>'.9 Other n.e.c.' residual — empty by construction (classifier prefers named siblings); analytically unmatchable for PPP; filling it would steal probability mass from named leaves and cut their precision.</t>
        </is>
      </c>
      <c r="I53" s="13" t="n">
        <v>0</v>
      </c>
      <c r="J53" s="13" t="inlineStr"/>
      <c r="K53" s="13" t="n">
        <v>0</v>
      </c>
      <c r="L53" s="13" t="n">
        <v>0</v>
      </c>
      <c r="M53" s="13" t="b">
        <v>0</v>
      </c>
      <c r="N53" s="13" t="b">
        <v>0</v>
      </c>
      <c r="O53" s="13" t="inlineStr">
        <is>
          <t>NO - unreachable by design</t>
        </is>
      </c>
    </row>
    <row r="54">
      <c r="A54" s="13" t="inlineStr">
        <is>
          <t>01.1.3.5.9</t>
        </is>
      </c>
      <c r="B54" s="13" t="inlineStr">
        <is>
          <t>Other aquatic invertebrates, dried, salted or in brine; smoked</t>
        </is>
      </c>
      <c r="C54" s="13" t="inlineStr">
        <is>
          <t>01.1.3</t>
        </is>
      </c>
      <c r="D54" s="13" t="inlineStr">
        <is>
          <t>catch_all</t>
        </is>
      </c>
      <c r="E54" s="13" t="inlineStr">
        <is>
          <t>catch_all</t>
        </is>
      </c>
      <c r="F54" s="13" t="inlineStr"/>
      <c r="G54" s="13" t="inlineStr"/>
      <c r="H54" s="13" t="inlineStr">
        <is>
          <t>'.9 Other n.e.c.' residual — empty by construction (classifier prefers named siblings); analytically unmatchable for PPP; filling it would steal probability mass from named leaves and cut their precision.</t>
        </is>
      </c>
      <c r="I54" s="13" t="n">
        <v>0</v>
      </c>
      <c r="J54" s="13" t="inlineStr"/>
      <c r="K54" s="13" t="n">
        <v>0</v>
      </c>
      <c r="L54" s="13" t="n">
        <v>0</v>
      </c>
      <c r="M54" s="13" t="b">
        <v>0</v>
      </c>
      <c r="N54" s="13" t="b">
        <v>0</v>
      </c>
      <c r="O54" s="13" t="inlineStr">
        <is>
          <t>NO - unreachable by design</t>
        </is>
      </c>
    </row>
    <row r="55">
      <c r="A55" s="13" t="inlineStr">
        <is>
          <t>01.1.3.6.9</t>
        </is>
      </c>
      <c r="B55" s="13" t="inlineStr">
        <is>
          <t>Other aquatic invertebrates, prepared or preserved</t>
        </is>
      </c>
      <c r="C55" s="13" t="inlineStr">
        <is>
          <t>01.1.3</t>
        </is>
      </c>
      <c r="D55" s="13" t="inlineStr">
        <is>
          <t>catch_all</t>
        </is>
      </c>
      <c r="E55" s="13" t="inlineStr">
        <is>
          <t>catch_all</t>
        </is>
      </c>
      <c r="F55" s="13" t="inlineStr"/>
      <c r="G55" s="13" t="inlineStr"/>
      <c r="H55" s="13" t="inlineStr">
        <is>
          <t>'.9 Other n.e.c.' residual — empty by construction (classifier prefers named siblings); analytically unmatchable for PPP; filling it would steal probability mass from named leaves and cut their precision.</t>
        </is>
      </c>
      <c r="I55" s="13" t="n">
        <v>0</v>
      </c>
      <c r="J55" s="13" t="inlineStr"/>
      <c r="K55" s="13" t="n">
        <v>1</v>
      </c>
      <c r="L55" s="13" t="n">
        <v>0</v>
      </c>
      <c r="M55" s="13" t="b">
        <v>0</v>
      </c>
      <c r="N55" s="13" t="b">
        <v>0</v>
      </c>
      <c r="O55" s="13" t="inlineStr">
        <is>
          <t>NO - unreachable by design</t>
        </is>
      </c>
    </row>
    <row r="56">
      <c r="A56" s="13" t="inlineStr">
        <is>
          <t>01.1.4.1.9</t>
        </is>
      </c>
      <c r="B56" s="13" t="inlineStr">
        <is>
          <t>Other raw and whole milk</t>
        </is>
      </c>
      <c r="C56" s="13" t="inlineStr">
        <is>
          <t>01.1.4</t>
        </is>
      </c>
      <c r="D56" s="13" t="inlineStr">
        <is>
          <t>catch_all</t>
        </is>
      </c>
      <c r="E56" s="13" t="inlineStr">
        <is>
          <t>catch_all</t>
        </is>
      </c>
      <c r="F56" s="13" t="inlineStr"/>
      <c r="G56" s="13" t="inlineStr"/>
      <c r="H56" s="13" t="inlineStr">
        <is>
          <t>'.9 Other n.e.c.' residual — empty by construction (classifier prefers named siblings); analytically unmatchable for PPP; filling it would steal probability mass from named leaves and cut their precision.</t>
        </is>
      </c>
      <c r="I56" s="13" t="n">
        <v>0</v>
      </c>
      <c r="J56" s="13" t="inlineStr"/>
      <c r="K56" s="13" t="n">
        <v>0</v>
      </c>
      <c r="L56" s="13" t="n">
        <v>0</v>
      </c>
      <c r="M56" s="13" t="b">
        <v>0</v>
      </c>
      <c r="N56" s="13" t="b">
        <v>0</v>
      </c>
      <c r="O56" s="13" t="inlineStr">
        <is>
          <t>NO - unreachable by design</t>
        </is>
      </c>
    </row>
    <row r="57">
      <c r="A57" s="13" t="inlineStr">
        <is>
          <t>01.1.4.3.9</t>
        </is>
      </c>
      <c r="B57" s="13" t="inlineStr">
        <is>
          <t>Other milk</t>
        </is>
      </c>
      <c r="C57" s="13" t="inlineStr">
        <is>
          <t>01.1.4</t>
        </is>
      </c>
      <c r="D57" s="13" t="inlineStr">
        <is>
          <t>catch_all</t>
        </is>
      </c>
      <c r="E57" s="13" t="inlineStr">
        <is>
          <t>catch_all</t>
        </is>
      </c>
      <c r="F57" s="13" t="inlineStr"/>
      <c r="G57" s="13" t="inlineStr"/>
      <c r="H57" s="13" t="inlineStr">
        <is>
          <t>'.9 Other n.e.c.' residual — empty by construction (classifier prefers named siblings); analytically unmatchable for PPP; filling it would steal probability mass from named leaves and cut their precision.</t>
        </is>
      </c>
      <c r="I57" s="13" t="n">
        <v>0</v>
      </c>
      <c r="J57" s="13" t="inlineStr"/>
      <c r="K57" s="13" t="n">
        <v>3</v>
      </c>
      <c r="L57" s="13" t="n">
        <v>0</v>
      </c>
      <c r="M57" s="13" t="b">
        <v>0</v>
      </c>
      <c r="N57" s="13" t="b">
        <v>0</v>
      </c>
      <c r="O57" s="13" t="inlineStr">
        <is>
          <t>NO - unreachable by design</t>
        </is>
      </c>
    </row>
    <row r="58">
      <c r="A58" s="13" t="inlineStr">
        <is>
          <t>01.1.4.4.9</t>
        </is>
      </c>
      <c r="B58" s="13" t="inlineStr">
        <is>
          <t>Other non-animal milk</t>
        </is>
      </c>
      <c r="C58" s="13" t="inlineStr">
        <is>
          <t>01.1.4</t>
        </is>
      </c>
      <c r="D58" s="13" t="inlineStr">
        <is>
          <t>catch_all</t>
        </is>
      </c>
      <c r="E58" s="13" t="inlineStr">
        <is>
          <t>catch_all</t>
        </is>
      </c>
      <c r="F58" s="13" t="inlineStr"/>
      <c r="G58" s="13" t="inlineStr"/>
      <c r="H58" s="13" t="inlineStr">
        <is>
          <t>'.9 Other n.e.c.' residual — empty by construction (classifier prefers named siblings); analytically unmatchable for PPP; filling it would steal probability mass from named leaves and cut their precision.</t>
        </is>
      </c>
      <c r="I58" s="13" t="n">
        <v>0</v>
      </c>
      <c r="J58" s="13" t="inlineStr"/>
      <c r="K58" s="13" t="n">
        <v>2</v>
      </c>
      <c r="L58" s="13" t="n">
        <v>0</v>
      </c>
      <c r="M58" s="13" t="b">
        <v>0</v>
      </c>
      <c r="N58" s="13" t="b">
        <v>0</v>
      </c>
      <c r="O58" s="13" t="inlineStr">
        <is>
          <t>NO - unreachable by design</t>
        </is>
      </c>
    </row>
    <row r="59">
      <c r="A59" s="13" t="inlineStr">
        <is>
          <t>01.1.5.9.9</t>
        </is>
      </c>
      <c r="B59" s="13" t="inlineStr">
        <is>
          <t>Other animal oils and fats n.e.c.</t>
        </is>
      </c>
      <c r="C59" s="13" t="inlineStr">
        <is>
          <t>01.1.5</t>
        </is>
      </c>
      <c r="D59" s="13" t="inlineStr">
        <is>
          <t>catch_all</t>
        </is>
      </c>
      <c r="E59" s="13" t="inlineStr">
        <is>
          <t>catch_all</t>
        </is>
      </c>
      <c r="F59" s="13" t="inlineStr"/>
      <c r="G59" s="13" t="inlineStr"/>
      <c r="H59" s="13" t="inlineStr">
        <is>
          <t>'.9 Other n.e.c.' residual — empty by construction (classifier prefers named siblings); analytically unmatchable for PPP; filling it would steal probability mass from named leaves and cut their precision.</t>
        </is>
      </c>
      <c r="I59" s="13" t="n">
        <v>0</v>
      </c>
      <c r="J59" s="13" t="inlineStr"/>
      <c r="K59" s="13" t="n">
        <v>2</v>
      </c>
      <c r="L59" s="13" t="n">
        <v>0</v>
      </c>
      <c r="M59" s="13" t="b">
        <v>0</v>
      </c>
      <c r="N59" s="13" t="b">
        <v>0</v>
      </c>
      <c r="O59" s="13" t="inlineStr">
        <is>
          <t>NO - unreachable by design</t>
        </is>
      </c>
    </row>
    <row r="60">
      <c r="A60" s="13" t="inlineStr">
        <is>
          <t>01.1.6.3.9</t>
        </is>
      </c>
      <c r="B60" s="13" t="inlineStr">
        <is>
          <t>Other stone fruits and pome fruits, fresh</t>
        </is>
      </c>
      <c r="C60" s="13" t="inlineStr">
        <is>
          <t>01.1.6</t>
        </is>
      </c>
      <c r="D60" s="13" t="inlineStr">
        <is>
          <t>catch_all</t>
        </is>
      </c>
      <c r="E60" s="13" t="inlineStr">
        <is>
          <t>catch_all</t>
        </is>
      </c>
      <c r="F60" s="13" t="inlineStr"/>
      <c r="G60" s="13" t="inlineStr"/>
      <c r="H60" s="13" t="inlineStr">
        <is>
          <t>'.9 Other n.e.c.' residual — empty by construction (classifier prefers named siblings); analytically unmatchable for PPP; filling it would steal probability mass from named leaves and cut their precision.</t>
        </is>
      </c>
      <c r="I60" s="13" t="n">
        <v>0</v>
      </c>
      <c r="J60" s="13" t="inlineStr"/>
      <c r="K60" s="13" t="n">
        <v>1</v>
      </c>
      <c r="L60" s="13" t="n">
        <v>0</v>
      </c>
      <c r="M60" s="13" t="b">
        <v>0</v>
      </c>
      <c r="N60" s="13" t="b">
        <v>0</v>
      </c>
      <c r="O60" s="13" t="inlineStr">
        <is>
          <t>NO - unreachable by design</t>
        </is>
      </c>
    </row>
    <row r="61">
      <c r="A61" s="13" t="inlineStr">
        <is>
          <t>01.1.6.4.9</t>
        </is>
      </c>
      <c r="B61" s="13" t="inlineStr">
        <is>
          <t>Other berries, fresh</t>
        </is>
      </c>
      <c r="C61" s="13" t="inlineStr">
        <is>
          <t>01.1.6</t>
        </is>
      </c>
      <c r="D61" s="13" t="inlineStr">
        <is>
          <t>catch_all</t>
        </is>
      </c>
      <c r="E61" s="13" t="inlineStr">
        <is>
          <t>catch_all</t>
        </is>
      </c>
      <c r="F61" s="13" t="inlineStr"/>
      <c r="G61" s="13" t="inlineStr"/>
      <c r="H61" s="13" t="inlineStr">
        <is>
          <t>'.9 Other n.e.c.' residual — empty by construction (classifier prefers named siblings); analytically unmatchable for PPP; filling it would steal probability mass from named leaves and cut their precision.</t>
        </is>
      </c>
      <c r="I61" s="13" t="n">
        <v>0</v>
      </c>
      <c r="J61" s="13" t="inlineStr"/>
      <c r="K61" s="13" t="n">
        <v>0</v>
      </c>
      <c r="L61" s="13" t="n">
        <v>0</v>
      </c>
      <c r="M61" s="13" t="b">
        <v>0</v>
      </c>
      <c r="N61" s="13" t="b">
        <v>0</v>
      </c>
      <c r="O61" s="13" t="inlineStr">
        <is>
          <t>NO - unreachable by design</t>
        </is>
      </c>
    </row>
    <row r="62">
      <c r="A62" s="13" t="inlineStr">
        <is>
          <t>01.1.6.5.9</t>
        </is>
      </c>
      <c r="B62" s="13" t="inlineStr">
        <is>
          <t>Other fruits or mixtures of fruit, fresh, n.e.c.</t>
        </is>
      </c>
      <c r="C62" s="13" t="inlineStr">
        <is>
          <t>01.1.6</t>
        </is>
      </c>
      <c r="D62" s="13" t="inlineStr">
        <is>
          <t>catch_all</t>
        </is>
      </c>
      <c r="E62" s="13" t="inlineStr">
        <is>
          <t>catch_all</t>
        </is>
      </c>
      <c r="F62" s="13" t="inlineStr"/>
      <c r="G62" s="13" t="inlineStr"/>
      <c r="H62" s="13" t="inlineStr">
        <is>
          <t>'.9 Other n.e.c.' residual — empty by construction (classifier prefers named siblings); analytically unmatchable for PPP; filling it would steal probability mass from named leaves and cut their precision.</t>
        </is>
      </c>
      <c r="I62" s="13" t="n">
        <v>0</v>
      </c>
      <c r="J62" s="13" t="inlineStr"/>
      <c r="K62" s="13" t="n">
        <v>6</v>
      </c>
      <c r="L62" s="13" t="n">
        <v>0</v>
      </c>
      <c r="M62" s="13" t="b">
        <v>0</v>
      </c>
      <c r="N62" s="13" t="b">
        <v>0</v>
      </c>
      <c r="O62" s="13" t="inlineStr">
        <is>
          <t>NO - unreachable by design</t>
        </is>
      </c>
    </row>
    <row r="63">
      <c r="A63" s="13" t="inlineStr">
        <is>
          <t>01.1.6.8.9</t>
        </is>
      </c>
      <c r="B63" s="13" t="inlineStr">
        <is>
          <t>Other nuts, in shell or shelled</t>
        </is>
      </c>
      <c r="C63" s="13" t="inlineStr">
        <is>
          <t>01.1.6</t>
        </is>
      </c>
      <c r="D63" s="13" t="inlineStr">
        <is>
          <t>catch_all</t>
        </is>
      </c>
      <c r="E63" s="13" t="inlineStr">
        <is>
          <t>catch_all</t>
        </is>
      </c>
      <c r="F63" s="13" t="inlineStr"/>
      <c r="G63" s="13" t="inlineStr"/>
      <c r="H63" s="13" t="inlineStr">
        <is>
          <t>'.9 Other n.e.c.' residual — empty by construction (classifier prefers named siblings); analytically unmatchable for PPP; filling it would steal probability mass from named leaves and cut their precision.</t>
        </is>
      </c>
      <c r="I63" s="13" t="n">
        <v>0</v>
      </c>
      <c r="J63" s="13" t="inlineStr"/>
      <c r="K63" s="13" t="n">
        <v>5</v>
      </c>
      <c r="L63" s="13" t="n">
        <v>0</v>
      </c>
      <c r="M63" s="13" t="b">
        <v>0</v>
      </c>
      <c r="N63" s="13" t="b">
        <v>0</v>
      </c>
      <c r="O63" s="13" t="inlineStr">
        <is>
          <t>NO - unreachable by design</t>
        </is>
      </c>
    </row>
    <row r="64">
      <c r="A64" s="13" t="inlineStr">
        <is>
          <t>01.1.6.9.9</t>
        </is>
      </c>
      <c r="B64" s="13" t="inlineStr">
        <is>
          <t>Other fruit and nuts preparations</t>
        </is>
      </c>
      <c r="C64" s="13" t="inlineStr">
        <is>
          <t>01.1.6</t>
        </is>
      </c>
      <c r="D64" s="13" t="inlineStr">
        <is>
          <t>catch_all</t>
        </is>
      </c>
      <c r="E64" s="13" t="inlineStr">
        <is>
          <t>catch_all</t>
        </is>
      </c>
      <c r="F64" s="13" t="inlineStr"/>
      <c r="G64" s="13" t="inlineStr"/>
      <c r="H64" s="13" t="inlineStr">
        <is>
          <t>'.9 Other n.e.c.' residual — empty by construction (classifier prefers named siblings); analytically unmatchable for PPP; filling it would steal probability mass from named leaves and cut their precision.</t>
        </is>
      </c>
      <c r="I64" s="13" t="n">
        <v>0</v>
      </c>
      <c r="J64" s="13" t="inlineStr"/>
      <c r="K64" s="13" t="n">
        <v>16</v>
      </c>
      <c r="L64" s="13" t="n">
        <v>0</v>
      </c>
      <c r="M64" s="13" t="b">
        <v>0</v>
      </c>
      <c r="N64" s="13" t="b">
        <v>0</v>
      </c>
      <c r="O64" s="13" t="inlineStr">
        <is>
          <t>NO - unreachable by design</t>
        </is>
      </c>
    </row>
    <row r="65">
      <c r="A65" s="13" t="inlineStr">
        <is>
          <t>01.1.7.5.9</t>
        </is>
      </c>
      <c r="B65" s="13" t="inlineStr">
        <is>
          <t>Other tubers</t>
        </is>
      </c>
      <c r="C65" s="13" t="inlineStr">
        <is>
          <t>01.1.7</t>
        </is>
      </c>
      <c r="D65" s="13" t="inlineStr">
        <is>
          <t>catch_all</t>
        </is>
      </c>
      <c r="E65" s="13" t="inlineStr">
        <is>
          <t>catch_all</t>
        </is>
      </c>
      <c r="F65" s="13" t="inlineStr"/>
      <c r="G65" s="13" t="inlineStr"/>
      <c r="H65" s="13" t="inlineStr">
        <is>
          <t>'.9 Other n.e.c.' residual — empty by construction (classifier prefers named siblings); analytically unmatchable for PPP; filling it would steal probability mass from named leaves and cut their precision.</t>
        </is>
      </c>
      <c r="I65" s="13" t="n">
        <v>0</v>
      </c>
      <c r="J65" s="13" t="inlineStr"/>
      <c r="K65" s="13" t="n">
        <v>6</v>
      </c>
      <c r="L65" s="13" t="n">
        <v>0</v>
      </c>
      <c r="M65" s="13" t="b">
        <v>0</v>
      </c>
      <c r="N65" s="13" t="b">
        <v>0</v>
      </c>
      <c r="O65" s="13" t="inlineStr">
        <is>
          <t>NO - unreachable by design</t>
        </is>
      </c>
    </row>
    <row r="66">
      <c r="A66" s="13" t="inlineStr">
        <is>
          <t>01.1.7.6.9</t>
        </is>
      </c>
      <c r="B66" s="13" t="inlineStr">
        <is>
          <t>Other pulses</t>
        </is>
      </c>
      <c r="C66" s="13" t="inlineStr">
        <is>
          <t>01.1.7</t>
        </is>
      </c>
      <c r="D66" s="13" t="inlineStr">
        <is>
          <t>catch_all</t>
        </is>
      </c>
      <c r="E66" s="13" t="inlineStr">
        <is>
          <t>catch_all</t>
        </is>
      </c>
      <c r="F66" s="13" t="inlineStr"/>
      <c r="G66" s="13" t="inlineStr"/>
      <c r="H66" s="13" t="inlineStr">
        <is>
          <t>'.9 Other n.e.c.' residual — empty by construction (classifier prefers named siblings); analytically unmatchable for PPP; filling it would steal probability mass from named leaves and cut their precision.</t>
        </is>
      </c>
      <c r="I66" s="13" t="n">
        <v>0</v>
      </c>
      <c r="J66" s="13" t="inlineStr"/>
      <c r="K66" s="13" t="n">
        <v>8</v>
      </c>
      <c r="L66" s="13" t="n">
        <v>0</v>
      </c>
      <c r="M66" s="13" t="b">
        <v>0</v>
      </c>
      <c r="N66" s="13" t="b">
        <v>0</v>
      </c>
      <c r="O66" s="13" t="inlineStr">
        <is>
          <t>NO - unreachable by design</t>
        </is>
      </c>
    </row>
    <row r="67">
      <c r="A67" s="13" t="inlineStr">
        <is>
          <t>01.1.2.1.1</t>
        </is>
      </c>
      <c r="B67" s="13" t="inlineStr">
        <is>
          <t>Bovine animal, live</t>
        </is>
      </c>
      <c r="C67" s="13" t="inlineStr">
        <is>
          <t>01.1.2</t>
        </is>
      </c>
      <c r="D67" s="13" t="inlineStr">
        <is>
          <t>out_of_scope</t>
        </is>
      </c>
      <c r="E67" s="13" t="inlineStr">
        <is>
          <t>out_of_scope</t>
        </is>
      </c>
      <c r="F67" s="13" t="inlineStr"/>
      <c r="G67" s="13" t="inlineStr"/>
      <c r="H67" s="13" t="inlineStr">
        <is>
          <t>Live animal for slaughter — livestock, not a retail-grocery SKU; the corpus is retail e-commerce.</t>
        </is>
      </c>
      <c r="I67" s="13" t="n">
        <v>0</v>
      </c>
      <c r="J67" s="13" t="inlineStr"/>
      <c r="K67" s="13" t="n">
        <v>1</v>
      </c>
      <c r="L67" s="13" t="n">
        <v>0</v>
      </c>
      <c r="M67" s="13" t="b">
        <v>0</v>
      </c>
      <c r="N67" s="13" t="b">
        <v>0</v>
      </c>
      <c r="O67" s="13" t="inlineStr">
        <is>
          <t>NO - unreachable by design</t>
        </is>
      </c>
    </row>
    <row r="68">
      <c r="A68" s="13" t="inlineStr">
        <is>
          <t>01.1.2.1.2</t>
        </is>
      </c>
      <c r="B68" s="13" t="inlineStr">
        <is>
          <t>Pigs, live</t>
        </is>
      </c>
      <c r="C68" s="13" t="inlineStr">
        <is>
          <t>01.1.2</t>
        </is>
      </c>
      <c r="D68" s="13" t="inlineStr">
        <is>
          <t>out_of_scope</t>
        </is>
      </c>
      <c r="E68" s="13" t="inlineStr">
        <is>
          <t>out_of_scope</t>
        </is>
      </c>
      <c r="F68" s="13" t="inlineStr"/>
      <c r="G68" s="13" t="inlineStr"/>
      <c r="H68" s="13" t="inlineStr">
        <is>
          <t>Live animal for slaughter — livestock, not a retail-grocery SKU; the corpus is retail e-commerce.</t>
        </is>
      </c>
      <c r="I68" s="13" t="n">
        <v>0</v>
      </c>
      <c r="J68" s="13" t="inlineStr"/>
      <c r="K68" s="13" t="n">
        <v>2</v>
      </c>
      <c r="L68" s="13" t="n">
        <v>0</v>
      </c>
      <c r="M68" s="13" t="b">
        <v>0</v>
      </c>
      <c r="N68" s="13" t="b">
        <v>0</v>
      </c>
      <c r="O68" s="13" t="inlineStr">
        <is>
          <t>NO - unreachable by design</t>
        </is>
      </c>
    </row>
    <row r="69">
      <c r="A69" s="13" t="inlineStr">
        <is>
          <t>01.1.2.1.3</t>
        </is>
      </c>
      <c r="B69" s="13" t="inlineStr">
        <is>
          <t>Goats, lambs and sheep, live</t>
        </is>
      </c>
      <c r="C69" s="13" t="inlineStr">
        <is>
          <t>01.1.2</t>
        </is>
      </c>
      <c r="D69" s="13" t="inlineStr">
        <is>
          <t>out_of_scope</t>
        </is>
      </c>
      <c r="E69" s="13" t="inlineStr">
        <is>
          <t>out_of_scope</t>
        </is>
      </c>
      <c r="F69" s="13" t="inlineStr"/>
      <c r="G69" s="13" t="inlineStr"/>
      <c r="H69" s="13" t="inlineStr">
        <is>
          <t>Live animal for slaughter — livestock, not a retail-grocery SKU; the corpus is retail e-commerce.</t>
        </is>
      </c>
      <c r="I69" s="13" t="n">
        <v>0</v>
      </c>
      <c r="J69" s="13" t="inlineStr"/>
      <c r="K69" s="13" t="n">
        <v>4</v>
      </c>
      <c r="L69" s="13" t="n">
        <v>0</v>
      </c>
      <c r="M69" s="13" t="b">
        <v>0</v>
      </c>
      <c r="N69" s="13" t="b">
        <v>0</v>
      </c>
      <c r="O69" s="13" t="inlineStr">
        <is>
          <t>NO - unreachable by design</t>
        </is>
      </c>
    </row>
    <row r="70">
      <c r="A70" s="13" t="inlineStr">
        <is>
          <t>01.1.2.1.4</t>
        </is>
      </c>
      <c r="B70" s="13" t="inlineStr">
        <is>
          <t>Poultry, live</t>
        </is>
      </c>
      <c r="C70" s="13" t="inlineStr">
        <is>
          <t>01.1.2</t>
        </is>
      </c>
      <c r="D70" s="13" t="inlineStr">
        <is>
          <t>out_of_scope</t>
        </is>
      </c>
      <c r="E70" s="13" t="inlineStr">
        <is>
          <t>out_of_scope</t>
        </is>
      </c>
      <c r="F70" s="13" t="inlineStr"/>
      <c r="G70" s="13" t="inlineStr"/>
      <c r="H70" s="13" t="inlineStr">
        <is>
          <t>Live animal for slaughter — livestock, not a retail-grocery SKU; the corpus is retail e-commerce.</t>
        </is>
      </c>
      <c r="I70" s="13" t="n">
        <v>0</v>
      </c>
      <c r="J70" s="13" t="inlineStr"/>
      <c r="K70" s="13" t="n">
        <v>4</v>
      </c>
      <c r="L70" s="13" t="n">
        <v>0</v>
      </c>
      <c r="M70" s="13" t="b">
        <v>0</v>
      </c>
      <c r="N70" s="13" t="b">
        <v>0</v>
      </c>
      <c r="O70" s="13" t="inlineStr">
        <is>
          <t>NO - unreachable by design</t>
        </is>
      </c>
    </row>
    <row r="71">
      <c r="A71" s="13" t="inlineStr">
        <is>
          <t>01.1.2.1.5</t>
        </is>
      </c>
      <c r="B71" s="13" t="inlineStr">
        <is>
          <t>Hares and rabbits, live</t>
        </is>
      </c>
      <c r="C71" s="13" t="inlineStr">
        <is>
          <t>01.1.2</t>
        </is>
      </c>
      <c r="D71" s="13" t="inlineStr">
        <is>
          <t>out_of_scope</t>
        </is>
      </c>
      <c r="E71" s="13" t="inlineStr">
        <is>
          <t>out_of_scope</t>
        </is>
      </c>
      <c r="F71" s="13" t="inlineStr"/>
      <c r="G71" s="13" t="inlineStr"/>
      <c r="H71" s="13" t="inlineStr">
        <is>
          <t>Live animal for slaughter — livestock, not a retail-grocery SKU; the corpus is retail e-commerce.</t>
        </is>
      </c>
      <c r="I71" s="13" t="n">
        <v>0</v>
      </c>
      <c r="J71" s="13" t="inlineStr"/>
      <c r="K71" s="13" t="n">
        <v>0</v>
      </c>
      <c r="L71" s="13" t="n">
        <v>0</v>
      </c>
      <c r="M71" s="13" t="b">
        <v>0</v>
      </c>
      <c r="N71" s="13" t="b">
        <v>0</v>
      </c>
      <c r="O71" s="13" t="inlineStr">
        <is>
          <t>NO - unreachable by design</t>
        </is>
      </c>
    </row>
    <row r="72">
      <c r="A72" s="13" t="inlineStr">
        <is>
          <t>01.1.2.1.9</t>
        </is>
      </c>
      <c r="B72" s="13" t="inlineStr">
        <is>
          <t>Other live animals</t>
        </is>
      </c>
      <c r="C72" s="13" t="inlineStr">
        <is>
          <t>01.1.2</t>
        </is>
      </c>
      <c r="D72" s="13" t="inlineStr">
        <is>
          <t>out_of_scope</t>
        </is>
      </c>
      <c r="E72" s="13" t="inlineStr">
        <is>
          <t>out_of_scope</t>
        </is>
      </c>
      <c r="F72" s="13" t="inlineStr"/>
      <c r="G72" s="13" t="inlineStr"/>
      <c r="H72" s="13" t="inlineStr">
        <is>
          <t>Live animal for slaughter — livestock, not a retail-grocery SKU; the corpus is retail e-commerce.</t>
        </is>
      </c>
      <c r="I72" s="13" t="n">
        <v>0</v>
      </c>
      <c r="J72" s="13" t="inlineStr"/>
      <c r="K72" s="13" t="n">
        <v>0</v>
      </c>
      <c r="L72" s="13" t="n">
        <v>0</v>
      </c>
      <c r="M72" s="13" t="b">
        <v>0</v>
      </c>
      <c r="N72" s="13" t="b">
        <v>0</v>
      </c>
      <c r="O72" s="13" t="inlineStr">
        <is>
          <t>NO - unreachable by design</t>
        </is>
      </c>
    </row>
    <row r="73">
      <c r="A73" s="13" t="inlineStr">
        <is>
          <t>01.3.0.0.0</t>
        </is>
      </c>
      <c r="B73" s="13" t="inlineStr">
        <is>
          <t>Services for processing primary goods for food and non-alcoholic beverages</t>
        </is>
      </c>
      <c r="C73" s="13" t="inlineStr">
        <is>
          <t>01.3.0</t>
        </is>
      </c>
      <c r="D73" s="13" t="inlineStr">
        <is>
          <t>out_of_scope</t>
        </is>
      </c>
      <c r="E73" s="13" t="inlineStr">
        <is>
          <t>out_of_scope</t>
        </is>
      </c>
      <c r="F73" s="13" t="inlineStr"/>
      <c r="G73" s="13" t="inlineStr"/>
      <c r="H73" s="13" t="inlineStr">
        <is>
          <t>A processing *service*, not a product; never a retail SKU.</t>
        </is>
      </c>
      <c r="I73" s="13" t="n">
        <v>0</v>
      </c>
      <c r="J73" s="13" t="inlineStr"/>
      <c r="K73" s="13" t="n">
        <v>0</v>
      </c>
      <c r="L73" s="13" t="n">
        <v>0</v>
      </c>
      <c r="M73" s="13" t="b">
        <v>0</v>
      </c>
      <c r="N73" s="13" t="b">
        <v>0</v>
      </c>
      <c r="O73" s="13" t="inlineStr">
        <is>
          <t>NO - unreachable by design</t>
        </is>
      </c>
    </row>
    <row r="74">
      <c r="A74" s="13" t="inlineStr">
        <is>
          <t>01.1.1.1.1</t>
        </is>
      </c>
      <c r="B74" s="13" t="inlineStr">
        <is>
          <t>Wheat</t>
        </is>
      </c>
      <c r="C74" s="13" t="inlineStr">
        <is>
          <t>01.1.1</t>
        </is>
      </c>
      <c r="D74" s="13" t="inlineStr">
        <is>
          <t>ok</t>
        </is>
      </c>
      <c r="E74" s="13" t="inlineStr">
        <is>
          <t>sourcing_gap</t>
        </is>
      </c>
      <c r="F74" s="13" t="inlineStr">
        <is>
          <t>thin_present</t>
        </is>
      </c>
      <c r="G74" s="13" t="inlineStr">
        <is>
          <t>sourcing</t>
        </is>
      </c>
      <c r="H74" s="13" t="inlineStr">
        <is>
          <t>recovered — listed in MISSING_CODES but now classified into the build</t>
        </is>
      </c>
      <c r="I74" s="13" t="n">
        <v>11</v>
      </c>
      <c r="J74" s="13" t="n">
        <v>17</v>
      </c>
      <c r="K74" s="13" t="n">
        <v>13</v>
      </c>
      <c r="L74" s="13" t="n">
        <v>1</v>
      </c>
      <c r="M74" s="13" t="b">
        <v>1</v>
      </c>
      <c r="N74" s="13" t="b">
        <v>0</v>
      </c>
      <c r="O74" s="13" t="inlineStr">
        <is>
          <t>n/a - already covered</t>
        </is>
      </c>
    </row>
    <row r="75">
      <c r="A75" s="13" t="inlineStr">
        <is>
          <t>01.1.1.1.2</t>
        </is>
      </c>
      <c r="B75" s="13" t="inlineStr">
        <is>
          <t>Rice</t>
        </is>
      </c>
      <c r="C75" s="13" t="inlineStr">
        <is>
          <t>01.1.1</t>
        </is>
      </c>
      <c r="D75" s="13" t="inlineStr">
        <is>
          <t>ok</t>
        </is>
      </c>
      <c r="E75" s="13" t="inlineStr">
        <is>
          <t>ok</t>
        </is>
      </c>
      <c r="F75" s="13" t="inlineStr"/>
      <c r="G75" s="13" t="inlineStr"/>
      <c r="H75" s="13" t="inlineStr"/>
      <c r="I75" s="13" t="n">
        <v>6727</v>
      </c>
      <c r="J75" s="13" t="inlineStr"/>
      <c r="K75" s="13" t="n">
        <v>68</v>
      </c>
      <c r="L75" s="13" t="n">
        <v>31</v>
      </c>
      <c r="M75" s="13" t="b">
        <v>1</v>
      </c>
      <c r="N75" s="13" t="b">
        <v>0</v>
      </c>
      <c r="O75" s="13" t="inlineStr">
        <is>
          <t>n/a - already covered</t>
        </is>
      </c>
    </row>
    <row r="76">
      <c r="A76" s="13" t="inlineStr">
        <is>
          <t>01.1.1.1.4</t>
        </is>
      </c>
      <c r="B76" s="13" t="inlineStr">
        <is>
          <t>Barley</t>
        </is>
      </c>
      <c r="C76" s="13" t="inlineStr">
        <is>
          <t>01.1.1</t>
        </is>
      </c>
      <c r="D76" s="13" t="inlineStr">
        <is>
          <t>ok</t>
        </is>
      </c>
      <c r="E76" s="13" t="inlineStr">
        <is>
          <t>ok</t>
        </is>
      </c>
      <c r="F76" s="13" t="inlineStr"/>
      <c r="G76" s="13" t="inlineStr"/>
      <c r="H76" s="13" t="inlineStr"/>
      <c r="I76" s="13" t="n">
        <v>107</v>
      </c>
      <c r="J76" s="13" t="inlineStr"/>
      <c r="K76" s="13" t="n">
        <v>22</v>
      </c>
      <c r="L76" s="13" t="n">
        <v>4</v>
      </c>
      <c r="M76" s="13" t="b">
        <v>1</v>
      </c>
      <c r="N76" s="13" t="b">
        <v>0</v>
      </c>
      <c r="O76" s="13" t="inlineStr">
        <is>
          <t>n/a - already covered</t>
        </is>
      </c>
    </row>
    <row r="77">
      <c r="A77" s="13" t="inlineStr">
        <is>
          <t>01.1.1.1.5</t>
        </is>
      </c>
      <c r="B77" s="13" t="inlineStr">
        <is>
          <t>Millet</t>
        </is>
      </c>
      <c r="C77" s="13" t="inlineStr">
        <is>
          <t>01.1.1</t>
        </is>
      </c>
      <c r="D77" s="13" t="inlineStr">
        <is>
          <t>ok</t>
        </is>
      </c>
      <c r="E77" s="13" t="inlineStr">
        <is>
          <t>ok</t>
        </is>
      </c>
      <c r="F77" s="13" t="inlineStr"/>
      <c r="G77" s="13" t="inlineStr"/>
      <c r="H77" s="13" t="inlineStr"/>
      <c r="I77" s="13" t="n">
        <v>13</v>
      </c>
      <c r="J77" s="13" t="inlineStr"/>
      <c r="K77" s="13" t="n">
        <v>10</v>
      </c>
      <c r="L77" s="13" t="n">
        <v>3</v>
      </c>
      <c r="M77" s="13" t="b">
        <v>1</v>
      </c>
      <c r="N77" s="13" t="b">
        <v>0</v>
      </c>
      <c r="O77" s="13" t="inlineStr">
        <is>
          <t>n/a - already covered</t>
        </is>
      </c>
    </row>
    <row r="78">
      <c r="A78" s="13" t="inlineStr">
        <is>
          <t>01.1.1.1.7</t>
        </is>
      </c>
      <c r="B78" s="13" t="inlineStr">
        <is>
          <t>Quinoa</t>
        </is>
      </c>
      <c r="C78" s="13" t="inlineStr">
        <is>
          <t>01.1.1</t>
        </is>
      </c>
      <c r="D78" s="13" t="inlineStr">
        <is>
          <t>ok</t>
        </is>
      </c>
      <c r="E78" s="13" t="inlineStr">
        <is>
          <t>ok</t>
        </is>
      </c>
      <c r="F78" s="13" t="inlineStr"/>
      <c r="G78" s="13" t="inlineStr"/>
      <c r="H78" s="13" t="inlineStr"/>
      <c r="I78" s="13" t="n">
        <v>126</v>
      </c>
      <c r="J78" s="13" t="inlineStr"/>
      <c r="K78" s="13" t="n">
        <v>21</v>
      </c>
      <c r="L78" s="13" t="n">
        <v>10</v>
      </c>
      <c r="M78" s="13" t="b">
        <v>1</v>
      </c>
      <c r="N78" s="13" t="b">
        <v>0</v>
      </c>
      <c r="O78" s="13" t="inlineStr">
        <is>
          <t>n/a - already covered</t>
        </is>
      </c>
    </row>
    <row r="79">
      <c r="A79" s="13" t="inlineStr">
        <is>
          <t>01.1.1.2.1</t>
        </is>
      </c>
      <c r="B79" s="13" t="inlineStr">
        <is>
          <t>Flour of wheat</t>
        </is>
      </c>
      <c r="C79" s="13" t="inlineStr">
        <is>
          <t>01.1.1</t>
        </is>
      </c>
      <c r="D79" s="13" t="inlineStr">
        <is>
          <t>ok</t>
        </is>
      </c>
      <c r="E79" s="13" t="inlineStr">
        <is>
          <t>ok</t>
        </is>
      </c>
      <c r="F79" s="13" t="inlineStr"/>
      <c r="G79" s="13" t="inlineStr"/>
      <c r="H79" s="13" t="inlineStr"/>
      <c r="I79" s="13" t="n">
        <v>615</v>
      </c>
      <c r="J79" s="13" t="inlineStr"/>
      <c r="K79" s="13" t="n">
        <v>39</v>
      </c>
      <c r="L79" s="13" t="n">
        <v>17</v>
      </c>
      <c r="M79" s="13" t="b">
        <v>1</v>
      </c>
      <c r="N79" s="13" t="b">
        <v>0</v>
      </c>
      <c r="O79" s="13" t="inlineStr">
        <is>
          <t>n/a - already covered</t>
        </is>
      </c>
    </row>
    <row r="80">
      <c r="A80" s="13" t="inlineStr">
        <is>
          <t>01.1.1.2.6</t>
        </is>
      </c>
      <c r="B80" s="13" t="inlineStr">
        <is>
          <t>Flour of maize or cornmeal</t>
        </is>
      </c>
      <c r="C80" s="13" t="inlineStr">
        <is>
          <t>01.1.1</t>
        </is>
      </c>
      <c r="D80" s="13" t="inlineStr">
        <is>
          <t>ok</t>
        </is>
      </c>
      <c r="E80" s="13" t="inlineStr">
        <is>
          <t>ok</t>
        </is>
      </c>
      <c r="F80" s="13" t="inlineStr"/>
      <c r="G80" s="13" t="inlineStr"/>
      <c r="H80" s="13" t="inlineStr"/>
      <c r="I80" s="13" t="n">
        <v>27</v>
      </c>
      <c r="J80" s="13" t="inlineStr"/>
      <c r="K80" s="13" t="n">
        <v>35</v>
      </c>
      <c r="L80" s="13" t="n">
        <v>3</v>
      </c>
      <c r="M80" s="13" t="b">
        <v>1</v>
      </c>
      <c r="N80" s="13" t="b">
        <v>0</v>
      </c>
      <c r="O80" s="13" t="inlineStr">
        <is>
          <t>n/a - already covered</t>
        </is>
      </c>
    </row>
    <row r="81">
      <c r="A81" s="13" t="inlineStr">
        <is>
          <t>01.1.1.2.9</t>
        </is>
      </c>
      <c r="B81" s="13" t="inlineStr">
        <is>
          <t>Other flours of cereals</t>
        </is>
      </c>
      <c r="C81" s="13" t="inlineStr">
        <is>
          <t>01.1.1</t>
        </is>
      </c>
      <c r="D81" s="13" t="inlineStr">
        <is>
          <t>ok</t>
        </is>
      </c>
      <c r="E81" s="13" t="inlineStr">
        <is>
          <t>ok</t>
        </is>
      </c>
      <c r="F81" s="13" t="inlineStr"/>
      <c r="G81" s="13" t="inlineStr"/>
      <c r="H81" s="13" t="inlineStr"/>
      <c r="I81" s="13" t="n">
        <v>7</v>
      </c>
      <c r="J81" s="13" t="inlineStr"/>
      <c r="K81" s="13" t="n">
        <v>15</v>
      </c>
      <c r="L81" s="13" t="n">
        <v>2</v>
      </c>
      <c r="M81" s="13" t="b">
        <v>1</v>
      </c>
      <c r="N81" s="13" t="b">
        <v>0</v>
      </c>
      <c r="O81" s="13" t="inlineStr">
        <is>
          <t>n/a - already covered</t>
        </is>
      </c>
    </row>
    <row r="82">
      <c r="A82" s="13" t="inlineStr">
        <is>
          <t>01.1.1.3.1</t>
        </is>
      </c>
      <c r="B82" s="13" t="inlineStr">
        <is>
          <t>Bread</t>
        </is>
      </c>
      <c r="C82" s="13" t="inlineStr">
        <is>
          <t>01.1.1</t>
        </is>
      </c>
      <c r="D82" s="13" t="inlineStr">
        <is>
          <t>ok</t>
        </is>
      </c>
      <c r="E82" s="13" t="inlineStr">
        <is>
          <t>ok</t>
        </is>
      </c>
      <c r="F82" s="13" t="inlineStr"/>
      <c r="G82" s="13" t="inlineStr"/>
      <c r="H82" s="13" t="inlineStr"/>
      <c r="I82" s="13" t="n">
        <v>8608</v>
      </c>
      <c r="J82" s="13" t="inlineStr"/>
      <c r="K82" s="13" t="n">
        <v>154</v>
      </c>
      <c r="L82" s="13" t="n">
        <v>32</v>
      </c>
      <c r="M82" s="13" t="b">
        <v>1</v>
      </c>
      <c r="N82" s="13" t="b">
        <v>0</v>
      </c>
      <c r="O82" s="13" t="inlineStr">
        <is>
          <t>n/a - already covered</t>
        </is>
      </c>
    </row>
    <row r="83">
      <c r="A83" s="13" t="inlineStr">
        <is>
          <t>01.1.1.3.9</t>
        </is>
      </c>
      <c r="B83" s="13" t="inlineStr">
        <is>
          <t>Other bakery products</t>
        </is>
      </c>
      <c r="C83" s="13" t="inlineStr">
        <is>
          <t>01.1.1</t>
        </is>
      </c>
      <c r="D83" s="13" t="inlineStr">
        <is>
          <t>ok</t>
        </is>
      </c>
      <c r="E83" s="13" t="inlineStr">
        <is>
          <t>ok</t>
        </is>
      </c>
      <c r="F83" s="13" t="inlineStr"/>
      <c r="G83" s="13" t="inlineStr"/>
      <c r="H83" s="13" t="inlineStr"/>
      <c r="I83" s="13" t="n">
        <v>28104</v>
      </c>
      <c r="J83" s="13" t="inlineStr"/>
      <c r="K83" s="13" t="n">
        <v>350</v>
      </c>
      <c r="L83" s="13" t="n">
        <v>25</v>
      </c>
      <c r="M83" s="13" t="b">
        <v>1</v>
      </c>
      <c r="N83" s="13" t="b">
        <v>0</v>
      </c>
      <c r="O83" s="13" t="inlineStr">
        <is>
          <t>n/a - already covered</t>
        </is>
      </c>
    </row>
    <row r="84">
      <c r="A84" s="13" t="inlineStr">
        <is>
          <t>01.1.1.4.0</t>
        </is>
      </c>
      <c r="B84" s="13" t="inlineStr">
        <is>
          <t>Breakfast cereals</t>
        </is>
      </c>
      <c r="C84" s="13" t="inlineStr">
        <is>
          <t>01.1.1</t>
        </is>
      </c>
      <c r="D84" s="13" t="inlineStr">
        <is>
          <t>ok</t>
        </is>
      </c>
      <c r="E84" s="13" t="inlineStr">
        <is>
          <t>ok</t>
        </is>
      </c>
      <c r="F84" s="13" t="inlineStr"/>
      <c r="G84" s="13" t="inlineStr"/>
      <c r="H84" s="13" t="inlineStr"/>
      <c r="I84" s="13" t="n">
        <v>5837</v>
      </c>
      <c r="J84" s="13" t="inlineStr"/>
      <c r="K84" s="13" t="n">
        <v>121</v>
      </c>
      <c r="L84" s="13" t="n">
        <v>21</v>
      </c>
      <c r="M84" s="13" t="b">
        <v>1</v>
      </c>
      <c r="N84" s="13" t="b">
        <v>0</v>
      </c>
      <c r="O84" s="13" t="inlineStr">
        <is>
          <t>n/a - already covered</t>
        </is>
      </c>
    </row>
    <row r="85">
      <c r="A85" s="13" t="inlineStr">
        <is>
          <t>01.1.1.5.0</t>
        </is>
      </c>
      <c r="B85" s="13" t="inlineStr">
        <is>
          <t>Macaroni, noodles, couscous and similar pasta products</t>
        </is>
      </c>
      <c r="C85" s="13" t="inlineStr">
        <is>
          <t>01.1.1</t>
        </is>
      </c>
      <c r="D85" s="13" t="inlineStr">
        <is>
          <t>ok</t>
        </is>
      </c>
      <c r="E85" s="13" t="inlineStr">
        <is>
          <t>ok</t>
        </is>
      </c>
      <c r="F85" s="13" t="inlineStr"/>
      <c r="G85" s="13" t="inlineStr"/>
      <c r="H85" s="13" t="inlineStr"/>
      <c r="I85" s="13" t="n">
        <v>16956</v>
      </c>
      <c r="J85" s="13" t="inlineStr"/>
      <c r="K85" s="13" t="n">
        <v>229</v>
      </c>
      <c r="L85" s="13" t="n">
        <v>22</v>
      </c>
      <c r="M85" s="13" t="b">
        <v>1</v>
      </c>
      <c r="N85" s="13" t="b">
        <v>0</v>
      </c>
      <c r="O85" s="13" t="inlineStr">
        <is>
          <t>n/a - already covered</t>
        </is>
      </c>
    </row>
    <row r="86">
      <c r="A86" s="13" t="inlineStr">
        <is>
          <t>01.1.1.9.0</t>
        </is>
      </c>
      <c r="B86" s="13" t="inlineStr">
        <is>
          <t>Other milled cereal and grain products</t>
        </is>
      </c>
      <c r="C86" s="13" t="inlineStr">
        <is>
          <t>01.1.1</t>
        </is>
      </c>
      <c r="D86" s="13" t="inlineStr">
        <is>
          <t>ok</t>
        </is>
      </c>
      <c r="E86" s="13" t="inlineStr">
        <is>
          <t>ok</t>
        </is>
      </c>
      <c r="F86" s="13" t="inlineStr"/>
      <c r="G86" s="13" t="inlineStr"/>
      <c r="H86" s="13" t="inlineStr"/>
      <c r="I86" s="13" t="n">
        <v>264</v>
      </c>
      <c r="J86" s="13" t="inlineStr"/>
      <c r="K86" s="13" t="n">
        <v>36</v>
      </c>
      <c r="L86" s="13" t="n">
        <v>4</v>
      </c>
      <c r="M86" s="13" t="b">
        <v>1</v>
      </c>
      <c r="N86" s="13" t="b">
        <v>0</v>
      </c>
      <c r="O86" s="13" t="inlineStr">
        <is>
          <t>n/a - already covered</t>
        </is>
      </c>
    </row>
    <row r="87">
      <c r="A87" s="13" t="inlineStr">
        <is>
          <t>01.1.2.2.1</t>
        </is>
      </c>
      <c r="B87" s="13" t="inlineStr">
        <is>
          <t>Meat of bovine animals, fresh, chilled or frozen</t>
        </is>
      </c>
      <c r="C87" s="13" t="inlineStr">
        <is>
          <t>01.1.2</t>
        </is>
      </c>
      <c r="D87" s="13" t="inlineStr">
        <is>
          <t>ok</t>
        </is>
      </c>
      <c r="E87" s="13" t="inlineStr">
        <is>
          <t>ok</t>
        </is>
      </c>
      <c r="F87" s="13" t="inlineStr"/>
      <c r="G87" s="13" t="inlineStr"/>
      <c r="H87" s="13" t="inlineStr"/>
      <c r="I87" s="13" t="n">
        <v>4097</v>
      </c>
      <c r="J87" s="13" t="inlineStr"/>
      <c r="K87" s="13" t="n">
        <v>113</v>
      </c>
      <c r="L87" s="13" t="n">
        <v>31</v>
      </c>
      <c r="M87" s="13" t="b">
        <v>1</v>
      </c>
      <c r="N87" s="13" t="b">
        <v>0</v>
      </c>
      <c r="O87" s="13" t="inlineStr">
        <is>
          <t>n/a - already covered</t>
        </is>
      </c>
    </row>
    <row r="88">
      <c r="A88" s="13" t="inlineStr">
        <is>
          <t>01.1.2.2.2</t>
        </is>
      </c>
      <c r="B88" s="13" t="inlineStr">
        <is>
          <t>Meat of pigs, fresh, chilled or frozen</t>
        </is>
      </c>
      <c r="C88" s="13" t="inlineStr">
        <is>
          <t>01.1.2</t>
        </is>
      </c>
      <c r="D88" s="13" t="inlineStr">
        <is>
          <t>ok</t>
        </is>
      </c>
      <c r="E88" s="13" t="inlineStr">
        <is>
          <t>ok</t>
        </is>
      </c>
      <c r="F88" s="13" t="inlineStr"/>
      <c r="G88" s="13" t="inlineStr"/>
      <c r="H88" s="13" t="inlineStr"/>
      <c r="I88" s="13" t="n">
        <v>2673</v>
      </c>
      <c r="J88" s="13" t="inlineStr"/>
      <c r="K88" s="13" t="n">
        <v>85</v>
      </c>
      <c r="L88" s="13" t="n">
        <v>15</v>
      </c>
      <c r="M88" s="13" t="b">
        <v>1</v>
      </c>
      <c r="N88" s="13" t="b">
        <v>0</v>
      </c>
      <c r="O88" s="13" t="inlineStr">
        <is>
          <t>n/a - already covered</t>
        </is>
      </c>
    </row>
    <row r="89">
      <c r="A89" s="13" t="inlineStr">
        <is>
          <t>01.1.2.2.3</t>
        </is>
      </c>
      <c r="B89" s="13" t="inlineStr">
        <is>
          <t>Meat of goats, lambs and sheep, fresh, chilled or frozen</t>
        </is>
      </c>
      <c r="C89" s="13" t="inlineStr">
        <is>
          <t>01.1.2</t>
        </is>
      </c>
      <c r="D89" s="13" t="inlineStr">
        <is>
          <t>ok</t>
        </is>
      </c>
      <c r="E89" s="13" t="inlineStr">
        <is>
          <t>ok</t>
        </is>
      </c>
      <c r="F89" s="13" t="inlineStr"/>
      <c r="G89" s="13" t="inlineStr"/>
      <c r="H89" s="13" t="inlineStr"/>
      <c r="I89" s="13" t="n">
        <v>238</v>
      </c>
      <c r="J89" s="13" t="inlineStr"/>
      <c r="K89" s="13" t="n">
        <v>23</v>
      </c>
      <c r="L89" s="13" t="n">
        <v>13</v>
      </c>
      <c r="M89" s="13" t="b">
        <v>1</v>
      </c>
      <c r="N89" s="13" t="b">
        <v>0</v>
      </c>
      <c r="O89" s="13" t="inlineStr">
        <is>
          <t>n/a - already covered</t>
        </is>
      </c>
    </row>
    <row r="90">
      <c r="A90" s="13" t="inlineStr">
        <is>
          <t>01.1.2.2.4</t>
        </is>
      </c>
      <c r="B90" s="13" t="inlineStr">
        <is>
          <t>Meat of poultry, fresh, chilled or frozen</t>
        </is>
      </c>
      <c r="C90" s="13" t="inlineStr">
        <is>
          <t>01.1.2</t>
        </is>
      </c>
      <c r="D90" s="13" t="inlineStr">
        <is>
          <t>ok</t>
        </is>
      </c>
      <c r="E90" s="13" t="inlineStr">
        <is>
          <t>ok</t>
        </is>
      </c>
      <c r="F90" s="13" t="inlineStr"/>
      <c r="G90" s="13" t="inlineStr"/>
      <c r="H90" s="13" t="inlineStr"/>
      <c r="I90" s="13" t="n">
        <v>3428</v>
      </c>
      <c r="J90" s="13" t="inlineStr"/>
      <c r="K90" s="13" t="n">
        <v>104</v>
      </c>
      <c r="L90" s="13" t="n">
        <v>37</v>
      </c>
      <c r="M90" s="13" t="b">
        <v>1</v>
      </c>
      <c r="N90" s="13" t="b">
        <v>0</v>
      </c>
      <c r="O90" s="13" t="inlineStr">
        <is>
          <t>n/a - already covered</t>
        </is>
      </c>
    </row>
    <row r="91">
      <c r="A91" s="13" t="inlineStr">
        <is>
          <t>01.1.2.2.6</t>
        </is>
      </c>
      <c r="B91" s="13" t="inlineStr">
        <is>
          <t>Meat of horses and other equines, fresh, chilled or frozen</t>
        </is>
      </c>
      <c r="C91" s="13" t="inlineStr">
        <is>
          <t>01.1.2</t>
        </is>
      </c>
      <c r="D91" s="13" t="inlineStr">
        <is>
          <t>ok</t>
        </is>
      </c>
      <c r="E91" s="13" t="inlineStr">
        <is>
          <t>sourcing_gap</t>
        </is>
      </c>
      <c r="F91" s="13" t="inlineStr">
        <is>
          <t>abundant_dropped</t>
        </is>
      </c>
      <c r="G91" s="13" t="inlineStr">
        <is>
          <t>gold_labeling</t>
        </is>
      </c>
      <c r="H91" s="13" t="inlineStr">
        <is>
          <t>recovered — listed in MISSING_CODES but now classified into the build</t>
        </is>
      </c>
      <c r="I91" s="13" t="n">
        <v>148</v>
      </c>
      <c r="J91" s="13" t="n">
        <v>290</v>
      </c>
      <c r="K91" s="13" t="n">
        <v>15</v>
      </c>
      <c r="L91" s="13" t="n">
        <v>1</v>
      </c>
      <c r="M91" s="13" t="b">
        <v>1</v>
      </c>
      <c r="N91" s="13" t="b">
        <v>0</v>
      </c>
      <c r="O91" s="13" t="inlineStr">
        <is>
          <t>n/a - already covered</t>
        </is>
      </c>
    </row>
    <row r="92">
      <c r="A92" s="13" t="inlineStr">
        <is>
          <t>01.1.2.3.1</t>
        </is>
      </c>
      <c r="B92" s="13" t="inlineStr">
        <is>
          <t>Meat of bovine, salted, dried or smoked</t>
        </is>
      </c>
      <c r="C92" s="13" t="inlineStr">
        <is>
          <t>01.1.2</t>
        </is>
      </c>
      <c r="D92" s="13" t="inlineStr">
        <is>
          <t>ok</t>
        </is>
      </c>
      <c r="E92" s="13" t="inlineStr">
        <is>
          <t>sourcing_gap</t>
        </is>
      </c>
      <c r="F92" s="13" t="inlineStr">
        <is>
          <t>abundant_dropped</t>
        </is>
      </c>
      <c r="G92" s="13" t="inlineStr">
        <is>
          <t>gold_labeling</t>
        </is>
      </c>
      <c r="H92" s="13" t="inlineStr">
        <is>
          <t>recovered — listed in MISSING_CODES but now classified into the build</t>
        </is>
      </c>
      <c r="I92" s="13" t="n">
        <v>129</v>
      </c>
      <c r="J92" s="13" t="n">
        <v>327</v>
      </c>
      <c r="K92" s="13" t="n">
        <v>22</v>
      </c>
      <c r="L92" s="13" t="n">
        <v>7</v>
      </c>
      <c r="M92" s="13" t="b">
        <v>1</v>
      </c>
      <c r="N92" s="13" t="b">
        <v>0</v>
      </c>
      <c r="O92" s="13" t="inlineStr">
        <is>
          <t>n/a - already covered</t>
        </is>
      </c>
    </row>
    <row r="93">
      <c r="A93" s="13" t="inlineStr">
        <is>
          <t>01.1.2.3.2</t>
        </is>
      </c>
      <c r="B93" s="13" t="inlineStr">
        <is>
          <t>Meat of pigs, cuts, salted, dried or smoked (bacon and ham)</t>
        </is>
      </c>
      <c r="C93" s="13" t="inlineStr">
        <is>
          <t>01.1.2</t>
        </is>
      </c>
      <c r="D93" s="13" t="inlineStr">
        <is>
          <t>ok</t>
        </is>
      </c>
      <c r="E93" s="13" t="inlineStr">
        <is>
          <t>ok</t>
        </is>
      </c>
      <c r="F93" s="13" t="inlineStr"/>
      <c r="G93" s="13" t="inlineStr"/>
      <c r="H93" s="13" t="inlineStr"/>
      <c r="I93" s="13" t="n">
        <v>1964</v>
      </c>
      <c r="J93" s="13" t="inlineStr"/>
      <c r="K93" s="13" t="n">
        <v>71</v>
      </c>
      <c r="L93" s="13" t="n">
        <v>17</v>
      </c>
      <c r="M93" s="13" t="b">
        <v>1</v>
      </c>
      <c r="N93" s="13" t="b">
        <v>0</v>
      </c>
      <c r="O93" s="13" t="inlineStr">
        <is>
          <t>n/a - already covered</t>
        </is>
      </c>
    </row>
    <row r="94">
      <c r="A94" s="13" t="inlineStr">
        <is>
          <t>01.1.2.3.9</t>
        </is>
      </c>
      <c r="B94" s="13" t="inlineStr">
        <is>
          <t>Other meat, dried, salted or smoked</t>
        </is>
      </c>
      <c r="C94" s="13" t="inlineStr">
        <is>
          <t>01.1.2</t>
        </is>
      </c>
      <c r="D94" s="13" t="inlineStr">
        <is>
          <t>ok</t>
        </is>
      </c>
      <c r="E94" s="13" t="inlineStr">
        <is>
          <t>ok</t>
        </is>
      </c>
      <c r="F94" s="13" t="inlineStr"/>
      <c r="G94" s="13" t="inlineStr"/>
      <c r="H94" s="13" t="inlineStr"/>
      <c r="I94" s="13" t="n">
        <v>37</v>
      </c>
      <c r="J94" s="13" t="inlineStr"/>
      <c r="K94" s="13" t="n">
        <v>15</v>
      </c>
      <c r="L94" s="13" t="n">
        <v>1</v>
      </c>
      <c r="M94" s="13" t="b">
        <v>1</v>
      </c>
      <c r="N94" s="13" t="b">
        <v>0</v>
      </c>
      <c r="O94" s="13" t="inlineStr">
        <is>
          <t>n/a - already covered</t>
        </is>
      </c>
    </row>
    <row r="95">
      <c r="A95" s="13" t="inlineStr">
        <is>
          <t>01.1.2.4.0</t>
        </is>
      </c>
      <c r="B95" s="13" t="inlineStr">
        <is>
          <t>Offal, blood and other parts of slaughtered animals fresh, chilled or frozen, dried, salted, in brine or smoked</t>
        </is>
      </c>
      <c r="C95" s="13" t="inlineStr">
        <is>
          <t>01.1.2</t>
        </is>
      </c>
      <c r="D95" s="13" t="inlineStr">
        <is>
          <t>ok</t>
        </is>
      </c>
      <c r="E95" s="13" t="inlineStr">
        <is>
          <t>ok</t>
        </is>
      </c>
      <c r="F95" s="13" t="inlineStr"/>
      <c r="G95" s="13" t="inlineStr"/>
      <c r="H95" s="13" t="inlineStr"/>
      <c r="I95" s="13" t="n">
        <v>82</v>
      </c>
      <c r="J95" s="13" t="inlineStr"/>
      <c r="K95" s="13" t="n">
        <v>31</v>
      </c>
      <c r="L95" s="13" t="n">
        <v>6</v>
      </c>
      <c r="M95" s="13" t="b">
        <v>1</v>
      </c>
      <c r="N95" s="13" t="b">
        <v>0</v>
      </c>
      <c r="O95" s="13" t="inlineStr">
        <is>
          <t>n/a - already covered</t>
        </is>
      </c>
    </row>
    <row r="96">
      <c r="A96" s="13" t="inlineStr">
        <is>
          <t>01.1.2.5.1</t>
        </is>
      </c>
      <c r="B96" s="13" t="inlineStr">
        <is>
          <t>Sausages and similar products of meat, offal or blood</t>
        </is>
      </c>
      <c r="C96" s="13" t="inlineStr">
        <is>
          <t>01.1.2</t>
        </is>
      </c>
      <c r="D96" s="13" t="inlineStr">
        <is>
          <t>ok</t>
        </is>
      </c>
      <c r="E96" s="13" t="inlineStr">
        <is>
          <t>ok</t>
        </is>
      </c>
      <c r="F96" s="13" t="inlineStr"/>
      <c r="G96" s="13" t="inlineStr"/>
      <c r="H96" s="13" t="inlineStr"/>
      <c r="I96" s="13" t="n">
        <v>3033</v>
      </c>
      <c r="J96" s="13" t="inlineStr"/>
      <c r="K96" s="13" t="n">
        <v>118</v>
      </c>
      <c r="L96" s="13" t="n">
        <v>20</v>
      </c>
      <c r="M96" s="13" t="b">
        <v>1</v>
      </c>
      <c r="N96" s="13" t="b">
        <v>0</v>
      </c>
      <c r="O96" s="13" t="inlineStr">
        <is>
          <t>n/a - already covered</t>
        </is>
      </c>
    </row>
    <row r="97">
      <c r="A97" s="13" t="inlineStr">
        <is>
          <t>01.1.2.5.2</t>
        </is>
      </c>
      <c r="B97" s="13" t="inlineStr">
        <is>
          <t>Canned meat</t>
        </is>
      </c>
      <c r="C97" s="13" t="inlineStr">
        <is>
          <t>01.1.2</t>
        </is>
      </c>
      <c r="D97" s="13" t="inlineStr">
        <is>
          <t>ok</t>
        </is>
      </c>
      <c r="E97" s="13" t="inlineStr">
        <is>
          <t>ok</t>
        </is>
      </c>
      <c r="F97" s="13" t="inlineStr"/>
      <c r="G97" s="13" t="inlineStr"/>
      <c r="H97" s="13" t="inlineStr"/>
      <c r="I97" s="13" t="n">
        <v>950</v>
      </c>
      <c r="J97" s="13" t="inlineStr"/>
      <c r="K97" s="13" t="n">
        <v>34</v>
      </c>
      <c r="L97" s="13" t="n">
        <v>10</v>
      </c>
      <c r="M97" s="13" t="b">
        <v>1</v>
      </c>
      <c r="N97" s="13" t="b">
        <v>0</v>
      </c>
      <c r="O97" s="13" t="inlineStr">
        <is>
          <t>n/a - already covered</t>
        </is>
      </c>
    </row>
    <row r="98">
      <c r="A98" s="13" t="inlineStr">
        <is>
          <t>01.1.2.5.3</t>
        </is>
      </c>
      <c r="B98" s="13" t="inlineStr">
        <is>
          <t>Pâté, including liver pâté</t>
        </is>
      </c>
      <c r="C98" s="13" t="inlineStr">
        <is>
          <t>01.1.2</t>
        </is>
      </c>
      <c r="D98" s="13" t="inlineStr">
        <is>
          <t>ok</t>
        </is>
      </c>
      <c r="E98" s="13" t="inlineStr">
        <is>
          <t>ok</t>
        </is>
      </c>
      <c r="F98" s="13" t="inlineStr"/>
      <c r="G98" s="13" t="inlineStr"/>
      <c r="H98" s="13" t="inlineStr"/>
      <c r="I98" s="13" t="n">
        <v>118</v>
      </c>
      <c r="J98" s="13" t="inlineStr"/>
      <c r="K98" s="13" t="n">
        <v>23</v>
      </c>
      <c r="L98" s="13" t="n">
        <v>5</v>
      </c>
      <c r="M98" s="13" t="b">
        <v>1</v>
      </c>
      <c r="N98" s="13" t="b">
        <v>0</v>
      </c>
      <c r="O98" s="13" t="inlineStr">
        <is>
          <t>n/a - already covered</t>
        </is>
      </c>
    </row>
    <row r="99">
      <c r="A99" s="13" t="inlineStr">
        <is>
          <t>01.1.2.5.9</t>
        </is>
      </c>
      <c r="B99" s="13" t="inlineStr">
        <is>
          <t>Other preparations of meat, offal or blood n.e.c.</t>
        </is>
      </c>
      <c r="C99" s="13" t="inlineStr">
        <is>
          <t>01.1.2</t>
        </is>
      </c>
      <c r="D99" s="13" t="inlineStr">
        <is>
          <t>ok</t>
        </is>
      </c>
      <c r="E99" s="13" t="inlineStr">
        <is>
          <t>ok</t>
        </is>
      </c>
      <c r="F99" s="13" t="inlineStr"/>
      <c r="G99" s="13" t="inlineStr"/>
      <c r="H99" s="13" t="inlineStr"/>
      <c r="I99" s="13" t="n">
        <v>616</v>
      </c>
      <c r="J99" s="13" t="inlineStr"/>
      <c r="K99" s="13" t="n">
        <v>85</v>
      </c>
      <c r="L99" s="13" t="n">
        <v>14</v>
      </c>
      <c r="M99" s="13" t="b">
        <v>1</v>
      </c>
      <c r="N99" s="13" t="b">
        <v>0</v>
      </c>
      <c r="O99" s="13" t="inlineStr">
        <is>
          <t>n/a - already covered</t>
        </is>
      </c>
    </row>
    <row r="100">
      <c r="A100" s="13" t="inlineStr">
        <is>
          <t>01.1.3.1.1</t>
        </is>
      </c>
      <c r="B100" s="13" t="inlineStr">
        <is>
          <t>Freshwater fish, live, fresh, chilled or frozen</t>
        </is>
      </c>
      <c r="C100" s="13" t="inlineStr">
        <is>
          <t>01.1.3</t>
        </is>
      </c>
      <c r="D100" s="13" t="inlineStr">
        <is>
          <t>ok</t>
        </is>
      </c>
      <c r="E100" s="13" t="inlineStr">
        <is>
          <t>ok</t>
        </is>
      </c>
      <c r="F100" s="13" t="inlineStr"/>
      <c r="G100" s="13" t="inlineStr"/>
      <c r="H100" s="13" t="inlineStr"/>
      <c r="I100" s="13" t="n">
        <v>123</v>
      </c>
      <c r="J100" s="13" t="inlineStr"/>
      <c r="K100" s="13" t="n">
        <v>17</v>
      </c>
      <c r="L100" s="13" t="n">
        <v>3</v>
      </c>
      <c r="M100" s="13" t="b">
        <v>1</v>
      </c>
      <c r="N100" s="13" t="b">
        <v>0</v>
      </c>
      <c r="O100" s="13" t="inlineStr">
        <is>
          <t>n/a - already covered</t>
        </is>
      </c>
    </row>
    <row r="101">
      <c r="A101" s="13" t="inlineStr">
        <is>
          <t>01.1.3.1.2</t>
        </is>
      </c>
      <c r="B101" s="13" t="inlineStr">
        <is>
          <t>Salmonoidae, live, fresh, chilled or frozen</t>
        </is>
      </c>
      <c r="C101" s="13" t="inlineStr">
        <is>
          <t>01.1.3</t>
        </is>
      </c>
      <c r="D101" s="13" t="inlineStr">
        <is>
          <t>ok</t>
        </is>
      </c>
      <c r="E101" s="13" t="inlineStr">
        <is>
          <t>ok</t>
        </is>
      </c>
      <c r="F101" s="13" t="inlineStr"/>
      <c r="G101" s="13" t="inlineStr"/>
      <c r="H101" s="13" t="inlineStr"/>
      <c r="I101" s="13" t="n">
        <v>282</v>
      </c>
      <c r="J101" s="13" t="inlineStr"/>
      <c r="K101" s="13" t="n">
        <v>26</v>
      </c>
      <c r="L101" s="13" t="n">
        <v>10</v>
      </c>
      <c r="M101" s="13" t="b">
        <v>1</v>
      </c>
      <c r="N101" s="13" t="b">
        <v>0</v>
      </c>
      <c r="O101" s="13" t="inlineStr">
        <is>
          <t>n/a - already covered</t>
        </is>
      </c>
    </row>
    <row r="102">
      <c r="A102" s="13" t="inlineStr">
        <is>
          <t>01.1.3.1.3</t>
        </is>
      </c>
      <c r="B102" s="13" t="inlineStr">
        <is>
          <t>Flatfish, live, fresh, chilled, or frozen</t>
        </is>
      </c>
      <c r="C102" s="13" t="inlineStr">
        <is>
          <t>01.1.3</t>
        </is>
      </c>
      <c r="D102" s="13" t="inlineStr">
        <is>
          <t>ok</t>
        </is>
      </c>
      <c r="E102" s="13" t="inlineStr">
        <is>
          <t>sourcing_gap</t>
        </is>
      </c>
      <c r="F102" s="13" t="inlineStr">
        <is>
          <t>thin_present</t>
        </is>
      </c>
      <c r="G102" s="13" t="inlineStr">
        <is>
          <t>sourcing</t>
        </is>
      </c>
      <c r="H102" s="13" t="inlineStr">
        <is>
          <t>recovered — listed in MISSING_CODES but now classified into the build</t>
        </is>
      </c>
      <c r="I102" s="13" t="n">
        <v>56</v>
      </c>
      <c r="J102" s="13" t="n">
        <v>65</v>
      </c>
      <c r="K102" s="13" t="n">
        <v>13</v>
      </c>
      <c r="L102" s="13" t="n">
        <v>1</v>
      </c>
      <c r="M102" s="13" t="b">
        <v>1</v>
      </c>
      <c r="N102" s="13" t="b">
        <v>0</v>
      </c>
      <c r="O102" s="13" t="inlineStr">
        <is>
          <t>n/a - already covered</t>
        </is>
      </c>
    </row>
    <row r="103">
      <c r="A103" s="13" t="inlineStr">
        <is>
          <t>01.1.3.1.4</t>
        </is>
      </c>
      <c r="B103" s="13" t="inlineStr">
        <is>
          <t>Gadiformes, live, fresh, chilled, or frozen</t>
        </is>
      </c>
      <c r="C103" s="13" t="inlineStr">
        <is>
          <t>01.1.3</t>
        </is>
      </c>
      <c r="D103" s="13" t="inlineStr">
        <is>
          <t>ok</t>
        </is>
      </c>
      <c r="E103" s="13" t="inlineStr">
        <is>
          <t>ok</t>
        </is>
      </c>
      <c r="F103" s="13" t="inlineStr"/>
      <c r="G103" s="13" t="inlineStr"/>
      <c r="H103" s="13" t="inlineStr"/>
      <c r="I103" s="13" t="n">
        <v>1</v>
      </c>
      <c r="J103" s="13" t="inlineStr"/>
      <c r="K103" s="13" t="n">
        <v>15</v>
      </c>
      <c r="L103" s="13" t="n">
        <v>1</v>
      </c>
      <c r="M103" s="13" t="b">
        <v>1</v>
      </c>
      <c r="N103" s="13" t="b">
        <v>0</v>
      </c>
      <c r="O103" s="13" t="inlineStr">
        <is>
          <t>n/a - already covered</t>
        </is>
      </c>
    </row>
    <row r="104">
      <c r="A104" s="13" t="inlineStr">
        <is>
          <t>01.1.3.1.5</t>
        </is>
      </c>
      <c r="B104" s="13" t="inlineStr">
        <is>
          <t>Tunas, skipjack or stripe-bellied bonito, live, fresh, chilled, or frozen</t>
        </is>
      </c>
      <c r="C104" s="13" t="inlineStr">
        <is>
          <t>01.1.3</t>
        </is>
      </c>
      <c r="D104" s="13" t="inlineStr">
        <is>
          <t>ok</t>
        </is>
      </c>
      <c r="E104" s="13" t="inlineStr">
        <is>
          <t>ok</t>
        </is>
      </c>
      <c r="F104" s="13" t="inlineStr"/>
      <c r="G104" s="13" t="inlineStr"/>
      <c r="H104" s="13" t="inlineStr"/>
      <c r="I104" s="13" t="n">
        <v>31</v>
      </c>
      <c r="J104" s="13" t="inlineStr"/>
      <c r="K104" s="13" t="n">
        <v>12</v>
      </c>
      <c r="L104" s="13" t="n">
        <v>1</v>
      </c>
      <c r="M104" s="13" t="b">
        <v>1</v>
      </c>
      <c r="N104" s="13" t="b">
        <v>0</v>
      </c>
      <c r="O104" s="13" t="inlineStr">
        <is>
          <t>n/a - already covered</t>
        </is>
      </c>
    </row>
    <row r="105">
      <c r="A105" s="13" t="inlineStr">
        <is>
          <t>01.1.3.1.9</t>
        </is>
      </c>
      <c r="B105" s="13" t="inlineStr">
        <is>
          <t>Other fish, live, fresh, chilled, or frozen</t>
        </is>
      </c>
      <c r="C105" s="13" t="inlineStr">
        <is>
          <t>01.1.3</t>
        </is>
      </c>
      <c r="D105" s="13" t="inlineStr">
        <is>
          <t>ok</t>
        </is>
      </c>
      <c r="E105" s="13" t="inlineStr">
        <is>
          <t>ok</t>
        </is>
      </c>
      <c r="F105" s="13" t="inlineStr"/>
      <c r="G105" s="13" t="inlineStr"/>
      <c r="H105" s="13" t="inlineStr"/>
      <c r="I105" s="13" t="n">
        <v>382</v>
      </c>
      <c r="J105" s="13" t="inlineStr"/>
      <c r="K105" s="13" t="n">
        <v>36</v>
      </c>
      <c r="L105" s="13" t="n">
        <v>3</v>
      </c>
      <c r="M105" s="13" t="b">
        <v>1</v>
      </c>
      <c r="N105" s="13" t="b">
        <v>0</v>
      </c>
      <c r="O105" s="13" t="inlineStr">
        <is>
          <t>n/a - already covered</t>
        </is>
      </c>
    </row>
    <row r="106">
      <c r="A106" s="13" t="inlineStr">
        <is>
          <t>01.1.3.2.1</t>
        </is>
      </c>
      <c r="B106" s="13" t="inlineStr">
        <is>
          <t>Salmonoidae, smoked</t>
        </is>
      </c>
      <c r="C106" s="13" t="inlineStr">
        <is>
          <t>01.1.3</t>
        </is>
      </c>
      <c r="D106" s="13" t="inlineStr">
        <is>
          <t>ok</t>
        </is>
      </c>
      <c r="E106" s="13" t="inlineStr">
        <is>
          <t>ok</t>
        </is>
      </c>
      <c r="F106" s="13" t="inlineStr"/>
      <c r="G106" s="13" t="inlineStr"/>
      <c r="H106" s="13" t="inlineStr"/>
      <c r="I106" s="13" t="n">
        <v>83</v>
      </c>
      <c r="J106" s="13" t="inlineStr"/>
      <c r="K106" s="13" t="n">
        <v>16</v>
      </c>
      <c r="L106" s="13" t="n">
        <v>6</v>
      </c>
      <c r="M106" s="13" t="b">
        <v>1</v>
      </c>
      <c r="N106" s="13" t="b">
        <v>0</v>
      </c>
      <c r="O106" s="13" t="inlineStr">
        <is>
          <t>n/a - already covered</t>
        </is>
      </c>
    </row>
    <row r="107">
      <c r="A107" s="13" t="inlineStr">
        <is>
          <t>01.1.3.2.9</t>
        </is>
      </c>
      <c r="B107" s="13" t="inlineStr">
        <is>
          <t>Other fish, dried, salted, in brine, smoked</t>
        </is>
      </c>
      <c r="C107" s="13" t="inlineStr">
        <is>
          <t>01.1.3</t>
        </is>
      </c>
      <c r="D107" s="13" t="inlineStr">
        <is>
          <t>ok</t>
        </is>
      </c>
      <c r="E107" s="13" t="inlineStr">
        <is>
          <t>ok</t>
        </is>
      </c>
      <c r="F107" s="13" t="inlineStr"/>
      <c r="G107" s="13" t="inlineStr"/>
      <c r="H107" s="13" t="inlineStr"/>
      <c r="I107" s="13" t="n">
        <v>7</v>
      </c>
      <c r="J107" s="13" t="inlineStr"/>
      <c r="K107" s="13" t="n">
        <v>12</v>
      </c>
      <c r="L107" s="13" t="n">
        <v>1</v>
      </c>
      <c r="M107" s="13" t="b">
        <v>1</v>
      </c>
      <c r="N107" s="13" t="b">
        <v>0</v>
      </c>
      <c r="O107" s="13" t="inlineStr">
        <is>
          <t>n/a - already covered</t>
        </is>
      </c>
    </row>
    <row r="108">
      <c r="A108" s="13" t="inlineStr">
        <is>
          <t>01.1.3.3.1</t>
        </is>
      </c>
      <c r="B108" s="13" t="inlineStr">
        <is>
          <t>Tunas, skipjack or stripe-bellied bonito, prepared or preserved</t>
        </is>
      </c>
      <c r="C108" s="13" t="inlineStr">
        <is>
          <t>01.1.3</t>
        </is>
      </c>
      <c r="D108" s="13" t="inlineStr">
        <is>
          <t>ok</t>
        </is>
      </c>
      <c r="E108" s="13" t="inlineStr">
        <is>
          <t>ok</t>
        </is>
      </c>
      <c r="F108" s="13" t="inlineStr"/>
      <c r="G108" s="13" t="inlineStr"/>
      <c r="H108" s="13" t="inlineStr"/>
      <c r="I108" s="13" t="n">
        <v>1643</v>
      </c>
      <c r="J108" s="13" t="inlineStr"/>
      <c r="K108" s="13" t="n">
        <v>81</v>
      </c>
      <c r="L108" s="13" t="n">
        <v>18</v>
      </c>
      <c r="M108" s="13" t="b">
        <v>1</v>
      </c>
      <c r="N108" s="13" t="b">
        <v>0</v>
      </c>
      <c r="O108" s="13" t="inlineStr">
        <is>
          <t>n/a - already covered</t>
        </is>
      </c>
    </row>
    <row r="109">
      <c r="A109" s="13" t="inlineStr">
        <is>
          <t>01.1.3.3.2</t>
        </is>
      </c>
      <c r="B109" s="13" t="inlineStr">
        <is>
          <t>Other pelagic fish, prepared or preserved</t>
        </is>
      </c>
      <c r="C109" s="13" t="inlineStr">
        <is>
          <t>01.1.3</t>
        </is>
      </c>
      <c r="D109" s="13" t="inlineStr">
        <is>
          <t>ok</t>
        </is>
      </c>
      <c r="E109" s="13" t="inlineStr">
        <is>
          <t>ok</t>
        </is>
      </c>
      <c r="F109" s="13" t="inlineStr"/>
      <c r="G109" s="13" t="inlineStr"/>
      <c r="H109" s="13" t="inlineStr"/>
      <c r="I109" s="13" t="n">
        <v>1298</v>
      </c>
      <c r="J109" s="13" t="inlineStr"/>
      <c r="K109" s="13" t="n">
        <v>47</v>
      </c>
      <c r="L109" s="13" t="n">
        <v>17</v>
      </c>
      <c r="M109" s="13" t="b">
        <v>1</v>
      </c>
      <c r="N109" s="13" t="b">
        <v>0</v>
      </c>
      <c r="O109" s="13" t="inlineStr">
        <is>
          <t>n/a - already covered</t>
        </is>
      </c>
    </row>
    <row r="110">
      <c r="A110" s="13" t="inlineStr">
        <is>
          <t>01.1.3.3.3</t>
        </is>
      </c>
      <c r="B110" s="13" t="inlineStr">
        <is>
          <t>Caviar and caviar substitutes</t>
        </is>
      </c>
      <c r="C110" s="13" t="inlineStr">
        <is>
          <t>01.1.3</t>
        </is>
      </c>
      <c r="D110" s="13" t="inlineStr">
        <is>
          <t>ok</t>
        </is>
      </c>
      <c r="E110" s="13" t="inlineStr">
        <is>
          <t>ok</t>
        </is>
      </c>
      <c r="F110" s="13" t="inlineStr"/>
      <c r="G110" s="13" t="inlineStr"/>
      <c r="H110" s="13" t="inlineStr"/>
      <c r="I110" s="13" t="n">
        <v>29</v>
      </c>
      <c r="J110" s="13" t="inlineStr"/>
      <c r="K110" s="13" t="n">
        <v>13</v>
      </c>
      <c r="L110" s="13" t="n">
        <v>2</v>
      </c>
      <c r="M110" s="13" t="b">
        <v>1</v>
      </c>
      <c r="N110" s="13" t="b">
        <v>0</v>
      </c>
      <c r="O110" s="13" t="inlineStr">
        <is>
          <t>n/a - already covered</t>
        </is>
      </c>
    </row>
    <row r="111">
      <c r="A111" s="13" t="inlineStr">
        <is>
          <t>01.1.3.3.9</t>
        </is>
      </c>
      <c r="B111" s="13" t="inlineStr">
        <is>
          <t>Other fish, prepared or preserved</t>
        </is>
      </c>
      <c r="C111" s="13" t="inlineStr">
        <is>
          <t>01.1.3</t>
        </is>
      </c>
      <c r="D111" s="13" t="inlineStr">
        <is>
          <t>ok</t>
        </is>
      </c>
      <c r="E111" s="13" t="inlineStr">
        <is>
          <t>ok</t>
        </is>
      </c>
      <c r="F111" s="13" t="inlineStr"/>
      <c r="G111" s="13" t="inlineStr"/>
      <c r="H111" s="13" t="inlineStr"/>
      <c r="I111" s="13" t="n">
        <v>774</v>
      </c>
      <c r="J111" s="13" t="inlineStr"/>
      <c r="K111" s="13" t="n">
        <v>61</v>
      </c>
      <c r="L111" s="13" t="n">
        <v>15</v>
      </c>
      <c r="M111" s="13" t="b">
        <v>1</v>
      </c>
      <c r="N111" s="13" t="b">
        <v>0</v>
      </c>
      <c r="O111" s="13" t="inlineStr">
        <is>
          <t>n/a - already covered</t>
        </is>
      </c>
    </row>
    <row r="112">
      <c r="A112" s="13" t="inlineStr">
        <is>
          <t>01.1.3.4.1</t>
        </is>
      </c>
      <c r="B112" s="13" t="inlineStr">
        <is>
          <t>Shrimps and prawns, live, fresh, chilled or frozen</t>
        </is>
      </c>
      <c r="C112" s="13" t="inlineStr">
        <is>
          <t>01.1.3</t>
        </is>
      </c>
      <c r="D112" s="13" t="inlineStr">
        <is>
          <t>ok</t>
        </is>
      </c>
      <c r="E112" s="13" t="inlineStr">
        <is>
          <t>ok</t>
        </is>
      </c>
      <c r="F112" s="13" t="inlineStr"/>
      <c r="G112" s="13" t="inlineStr"/>
      <c r="H112" s="13" t="inlineStr"/>
      <c r="I112" s="13" t="n">
        <v>115</v>
      </c>
      <c r="J112" s="13" t="inlineStr"/>
      <c r="K112" s="13" t="n">
        <v>19</v>
      </c>
      <c r="L112" s="13" t="n">
        <v>4</v>
      </c>
      <c r="M112" s="13" t="b">
        <v>1</v>
      </c>
      <c r="N112" s="13" t="b">
        <v>0</v>
      </c>
      <c r="O112" s="13" t="inlineStr">
        <is>
          <t>n/a - already covered</t>
        </is>
      </c>
    </row>
    <row r="113">
      <c r="A113" s="13" t="inlineStr">
        <is>
          <t>01.1.3.4.3</t>
        </is>
      </c>
      <c r="B113" s="13" t="inlineStr">
        <is>
          <t>Bivalves, live, fresh, chilled or frozen</t>
        </is>
      </c>
      <c r="C113" s="13" t="inlineStr">
        <is>
          <t>01.1.3</t>
        </is>
      </c>
      <c r="D113" s="13" t="inlineStr">
        <is>
          <t>ok</t>
        </is>
      </c>
      <c r="E113" s="13" t="inlineStr">
        <is>
          <t>ok</t>
        </is>
      </c>
      <c r="F113" s="13" t="inlineStr"/>
      <c r="G113" s="13" t="inlineStr"/>
      <c r="H113" s="13" t="inlineStr"/>
      <c r="I113" s="13" t="n">
        <v>110</v>
      </c>
      <c r="J113" s="13" t="inlineStr"/>
      <c r="K113" s="13" t="n">
        <v>31</v>
      </c>
      <c r="L113" s="13" t="n">
        <v>5</v>
      </c>
      <c r="M113" s="13" t="b">
        <v>1</v>
      </c>
      <c r="N113" s="13" t="b">
        <v>0</v>
      </c>
      <c r="O113" s="13" t="inlineStr">
        <is>
          <t>n/a - already covered</t>
        </is>
      </c>
    </row>
    <row r="114">
      <c r="A114" s="13" t="inlineStr">
        <is>
          <t>01.1.3.4.4</t>
        </is>
      </c>
      <c r="B114" s="13" t="inlineStr">
        <is>
          <t>Cephalopods, live, fresh, chilled or frozen</t>
        </is>
      </c>
      <c r="C114" s="13" t="inlineStr">
        <is>
          <t>01.1.3</t>
        </is>
      </c>
      <c r="D114" s="13" t="inlineStr">
        <is>
          <t>ok</t>
        </is>
      </c>
      <c r="E114" s="13" t="inlineStr">
        <is>
          <t>ok</t>
        </is>
      </c>
      <c r="F114" s="13" t="inlineStr"/>
      <c r="G114" s="13" t="inlineStr"/>
      <c r="H114" s="13" t="inlineStr"/>
      <c r="I114" s="13" t="n">
        <v>2</v>
      </c>
      <c r="J114" s="13" t="inlineStr"/>
      <c r="K114" s="13" t="n">
        <v>9</v>
      </c>
      <c r="L114" s="13" t="n">
        <v>1</v>
      </c>
      <c r="M114" s="13" t="b">
        <v>1</v>
      </c>
      <c r="N114" s="13" t="b">
        <v>0</v>
      </c>
      <c r="O114" s="13" t="inlineStr">
        <is>
          <t>n/a - already covered</t>
        </is>
      </c>
    </row>
    <row r="115">
      <c r="A115" s="13" t="inlineStr">
        <is>
          <t>01.1.3.4.5</t>
        </is>
      </c>
      <c r="B115" s="13" t="inlineStr">
        <is>
          <t>Other molluscs, live, fresh, chilled or frozen</t>
        </is>
      </c>
      <c r="C115" s="13" t="inlineStr">
        <is>
          <t>01.1.3</t>
        </is>
      </c>
      <c r="D115" s="13" t="inlineStr">
        <is>
          <t>ok</t>
        </is>
      </c>
      <c r="E115" s="13" t="inlineStr">
        <is>
          <t>sourcing_gap</t>
        </is>
      </c>
      <c r="F115" s="13" t="inlineStr">
        <is>
          <t>thin_present</t>
        </is>
      </c>
      <c r="G115" s="13" t="inlineStr">
        <is>
          <t>sourcing</t>
        </is>
      </c>
      <c r="H115" s="13" t="inlineStr">
        <is>
          <t>recovered — listed in MISSING_CODES but now classified into the build</t>
        </is>
      </c>
      <c r="I115" s="13" t="n">
        <v>17</v>
      </c>
      <c r="J115" s="13" t="n">
        <v>17</v>
      </c>
      <c r="K115" s="13" t="n">
        <v>7</v>
      </c>
      <c r="L115" s="13" t="n">
        <v>1</v>
      </c>
      <c r="M115" s="13" t="b">
        <v>1</v>
      </c>
      <c r="N115" s="13" t="b">
        <v>0</v>
      </c>
      <c r="O115" s="13" t="inlineStr">
        <is>
          <t>n/a - already covered</t>
        </is>
      </c>
    </row>
    <row r="116">
      <c r="A116" s="13" t="inlineStr">
        <is>
          <t>01.1.3.5.1</t>
        </is>
      </c>
      <c r="B116" s="13" t="inlineStr">
        <is>
          <t>Shrimps and prawns, dried, salted or in brine; smoked</t>
        </is>
      </c>
      <c r="C116" s="13" t="inlineStr">
        <is>
          <t>01.1.3</t>
        </is>
      </c>
      <c r="D116" s="13" t="inlineStr">
        <is>
          <t>ok</t>
        </is>
      </c>
      <c r="E116" s="13" t="inlineStr">
        <is>
          <t>ok</t>
        </is>
      </c>
      <c r="F116" s="13" t="inlineStr"/>
      <c r="G116" s="13" t="inlineStr"/>
      <c r="H116" s="13" t="inlineStr"/>
      <c r="I116" s="13" t="n">
        <v>2</v>
      </c>
      <c r="J116" s="13" t="inlineStr"/>
      <c r="K116" s="13" t="n">
        <v>23</v>
      </c>
      <c r="L116" s="13" t="n">
        <v>1</v>
      </c>
      <c r="M116" s="13" t="b">
        <v>1</v>
      </c>
      <c r="N116" s="13" t="b">
        <v>0</v>
      </c>
      <c r="O116" s="13" t="inlineStr">
        <is>
          <t>n/a - already covered</t>
        </is>
      </c>
    </row>
    <row r="117">
      <c r="A117" s="13" t="inlineStr">
        <is>
          <t>01.1.3.5.4</t>
        </is>
      </c>
      <c r="B117" s="13" t="inlineStr">
        <is>
          <t>Cephalopods, dried, salted or in brine; smoked</t>
        </is>
      </c>
      <c r="C117" s="13" t="inlineStr">
        <is>
          <t>01.1.3</t>
        </is>
      </c>
      <c r="D117" s="13" t="inlineStr">
        <is>
          <t>ok</t>
        </is>
      </c>
      <c r="E117" s="13" t="inlineStr">
        <is>
          <t>ok</t>
        </is>
      </c>
      <c r="F117" s="13" t="inlineStr"/>
      <c r="G117" s="13" t="inlineStr"/>
      <c r="H117" s="13" t="inlineStr"/>
      <c r="I117" s="13" t="n">
        <v>27</v>
      </c>
      <c r="J117" s="13" t="inlineStr"/>
      <c r="K117" s="13" t="n">
        <v>34</v>
      </c>
      <c r="L117" s="13" t="n">
        <v>3</v>
      </c>
      <c r="M117" s="13" t="b">
        <v>1</v>
      </c>
      <c r="N117" s="13" t="b">
        <v>0</v>
      </c>
      <c r="O117" s="13" t="inlineStr">
        <is>
          <t>n/a - already covered</t>
        </is>
      </c>
    </row>
    <row r="118">
      <c r="A118" s="13" t="inlineStr">
        <is>
          <t>01.1.3.6.1</t>
        </is>
      </c>
      <c r="B118" s="13" t="inlineStr">
        <is>
          <t>Shrimps and prawns, prepared or preserved</t>
        </is>
      </c>
      <c r="C118" s="13" t="inlineStr">
        <is>
          <t>01.1.3</t>
        </is>
      </c>
      <c r="D118" s="13" t="inlineStr">
        <is>
          <t>ok</t>
        </is>
      </c>
      <c r="E118" s="13" t="inlineStr">
        <is>
          <t>ok</t>
        </is>
      </c>
      <c r="F118" s="13" t="inlineStr"/>
      <c r="G118" s="13" t="inlineStr"/>
      <c r="H118" s="13" t="inlineStr"/>
      <c r="I118" s="13" t="n">
        <v>75</v>
      </c>
      <c r="J118" s="13" t="inlineStr"/>
      <c r="K118" s="13" t="n">
        <v>23</v>
      </c>
      <c r="L118" s="13" t="n">
        <v>6</v>
      </c>
      <c r="M118" s="13" t="b">
        <v>1</v>
      </c>
      <c r="N118" s="13" t="b">
        <v>0</v>
      </c>
      <c r="O118" s="13" t="inlineStr">
        <is>
          <t>n/a - already covered</t>
        </is>
      </c>
    </row>
    <row r="119">
      <c r="A119" s="13" t="inlineStr">
        <is>
          <t>01.1.3.6.2</t>
        </is>
      </c>
      <c r="B119" s="13" t="inlineStr">
        <is>
          <t>Other crustaceans, prepared or preserved</t>
        </is>
      </c>
      <c r="C119" s="13" t="inlineStr">
        <is>
          <t>01.1.3</t>
        </is>
      </c>
      <c r="D119" s="13" t="inlineStr">
        <is>
          <t>ok</t>
        </is>
      </c>
      <c r="E119" s="13" t="inlineStr">
        <is>
          <t>sourcing_gap</t>
        </is>
      </c>
      <c r="F119" s="13" t="inlineStr">
        <is>
          <t>thin_present</t>
        </is>
      </c>
      <c r="G119" s="13" t="inlineStr">
        <is>
          <t>sourcing</t>
        </is>
      </c>
      <c r="H119" s="13" t="inlineStr">
        <is>
          <t>recovered — listed in MISSING_CODES but now classified into the build</t>
        </is>
      </c>
      <c r="I119" s="13" t="n">
        <v>11</v>
      </c>
      <c r="J119" s="13" t="n">
        <v>25</v>
      </c>
      <c r="K119" s="13" t="n">
        <v>16</v>
      </c>
      <c r="L119" s="13" t="n">
        <v>1</v>
      </c>
      <c r="M119" s="13" t="b">
        <v>1</v>
      </c>
      <c r="N119" s="13" t="b">
        <v>0</v>
      </c>
      <c r="O119" s="13" t="inlineStr">
        <is>
          <t>n/a - already covered</t>
        </is>
      </c>
    </row>
    <row r="120">
      <c r="A120" s="13" t="inlineStr">
        <is>
          <t>01.1.3.6.3</t>
        </is>
      </c>
      <c r="B120" s="13" t="inlineStr">
        <is>
          <t>Bivalves, prepared or preserved</t>
        </is>
      </c>
      <c r="C120" s="13" t="inlineStr">
        <is>
          <t>01.1.3</t>
        </is>
      </c>
      <c r="D120" s="13" t="inlineStr">
        <is>
          <t>ok</t>
        </is>
      </c>
      <c r="E120" s="13" t="inlineStr">
        <is>
          <t>ok</t>
        </is>
      </c>
      <c r="F120" s="13" t="inlineStr"/>
      <c r="G120" s="13" t="inlineStr"/>
      <c r="H120" s="13" t="inlineStr"/>
      <c r="I120" s="13" t="n">
        <v>10</v>
      </c>
      <c r="J120" s="13" t="inlineStr"/>
      <c r="K120" s="13" t="n">
        <v>18</v>
      </c>
      <c r="L120" s="13" t="n">
        <v>2</v>
      </c>
      <c r="M120" s="13" t="b">
        <v>1</v>
      </c>
      <c r="N120" s="13" t="b">
        <v>0</v>
      </c>
      <c r="O120" s="13" t="inlineStr">
        <is>
          <t>n/a - already covered</t>
        </is>
      </c>
    </row>
    <row r="121">
      <c r="A121" s="13" t="inlineStr">
        <is>
          <t>01.1.3.6.4</t>
        </is>
      </c>
      <c r="B121" s="13" t="inlineStr">
        <is>
          <t>Cephalopods, prepared or preserved</t>
        </is>
      </c>
      <c r="C121" s="13" t="inlineStr">
        <is>
          <t>01.1.3</t>
        </is>
      </c>
      <c r="D121" s="13" t="inlineStr">
        <is>
          <t>ok</t>
        </is>
      </c>
      <c r="E121" s="13" t="inlineStr">
        <is>
          <t>ok</t>
        </is>
      </c>
      <c r="F121" s="13" t="inlineStr"/>
      <c r="G121" s="13" t="inlineStr"/>
      <c r="H121" s="13" t="inlineStr"/>
      <c r="I121" s="13" t="n">
        <v>16</v>
      </c>
      <c r="J121" s="13" t="inlineStr"/>
      <c r="K121" s="13" t="n">
        <v>12</v>
      </c>
      <c r="L121" s="13" t="n">
        <v>1</v>
      </c>
      <c r="M121" s="13" t="b">
        <v>1</v>
      </c>
      <c r="N121" s="13" t="b">
        <v>0</v>
      </c>
      <c r="O121" s="13" t="inlineStr">
        <is>
          <t>n/a - already covered</t>
        </is>
      </c>
    </row>
    <row r="122">
      <c r="A122" s="13" t="inlineStr">
        <is>
          <t>01.1.3.6.5</t>
        </is>
      </c>
      <c r="B122" s="13" t="inlineStr">
        <is>
          <t>Other molluscs, prepared or preserved</t>
        </is>
      </c>
      <c r="C122" s="13" t="inlineStr">
        <is>
          <t>01.1.3</t>
        </is>
      </c>
      <c r="D122" s="13" t="inlineStr">
        <is>
          <t>ok</t>
        </is>
      </c>
      <c r="E122" s="13" t="inlineStr">
        <is>
          <t>ok</t>
        </is>
      </c>
      <c r="F122" s="13" t="inlineStr"/>
      <c r="G122" s="13" t="inlineStr"/>
      <c r="H122" s="13" t="inlineStr"/>
      <c r="I122" s="13" t="n">
        <v>23</v>
      </c>
      <c r="J122" s="13" t="inlineStr"/>
      <c r="K122" s="13" t="n">
        <v>20</v>
      </c>
      <c r="L122" s="13" t="n">
        <v>3</v>
      </c>
      <c r="M122" s="13" t="b">
        <v>1</v>
      </c>
      <c r="N122" s="13" t="b">
        <v>0</v>
      </c>
      <c r="O122" s="13" t="inlineStr">
        <is>
          <t>n/a - already covered</t>
        </is>
      </c>
    </row>
    <row r="123">
      <c r="A123" s="13" t="inlineStr">
        <is>
          <t>01.1.4.1.1</t>
        </is>
      </c>
      <c r="B123" s="13" t="inlineStr">
        <is>
          <t>Raw and whole milk of cattle</t>
        </is>
      </c>
      <c r="C123" s="13" t="inlineStr">
        <is>
          <t>01.1.4</t>
        </is>
      </c>
      <c r="D123" s="13" t="inlineStr">
        <is>
          <t>ok</t>
        </is>
      </c>
      <c r="E123" s="13" t="inlineStr">
        <is>
          <t>ok</t>
        </is>
      </c>
      <c r="F123" s="13" t="inlineStr"/>
      <c r="G123" s="13" t="inlineStr"/>
      <c r="H123" s="13" t="inlineStr"/>
      <c r="I123" s="13" t="n">
        <v>2910</v>
      </c>
      <c r="J123" s="13" t="inlineStr"/>
      <c r="K123" s="13" t="n">
        <v>77</v>
      </c>
      <c r="L123" s="13" t="n">
        <v>37</v>
      </c>
      <c r="M123" s="13" t="b">
        <v>1</v>
      </c>
      <c r="N123" s="13" t="b">
        <v>0</v>
      </c>
      <c r="O123" s="13" t="inlineStr">
        <is>
          <t>n/a - already covered</t>
        </is>
      </c>
    </row>
    <row r="124">
      <c r="A124" s="13" t="inlineStr">
        <is>
          <t>01.1.4.1.3</t>
        </is>
      </c>
      <c r="B124" s="13" t="inlineStr">
        <is>
          <t>Raw and whole milk of sheep and goats</t>
        </is>
      </c>
      <c r="C124" s="13" t="inlineStr">
        <is>
          <t>01.1.4</t>
        </is>
      </c>
      <c r="D124" s="13" t="inlineStr">
        <is>
          <t>ok</t>
        </is>
      </c>
      <c r="E124" s="13" t="inlineStr">
        <is>
          <t>sourcing_gap</t>
        </is>
      </c>
      <c r="F124" s="13" t="inlineStr">
        <is>
          <t>thin_present</t>
        </is>
      </c>
      <c r="G124" s="13" t="inlineStr">
        <is>
          <t>sourcing</t>
        </is>
      </c>
      <c r="H124" s="13" t="inlineStr">
        <is>
          <t>recovered — listed in MISSING_CODES but now classified into the build</t>
        </is>
      </c>
      <c r="I124" s="13" t="n">
        <v>1</v>
      </c>
      <c r="J124" s="13" t="n">
        <v>19</v>
      </c>
      <c r="K124" s="13" t="n">
        <v>5</v>
      </c>
      <c r="L124" s="13" t="n">
        <v>1</v>
      </c>
      <c r="M124" s="13" t="b">
        <v>1</v>
      </c>
      <c r="N124" s="13" t="b">
        <v>0</v>
      </c>
      <c r="O124" s="13" t="inlineStr">
        <is>
          <t>n/a - already covered</t>
        </is>
      </c>
    </row>
    <row r="125">
      <c r="A125" s="13" t="inlineStr">
        <is>
          <t>01.1.4.2.0</t>
        </is>
      </c>
      <c r="B125" s="13" t="inlineStr">
        <is>
          <t>Skimmed milk</t>
        </is>
      </c>
      <c r="C125" s="13" t="inlineStr">
        <is>
          <t>01.1.4</t>
        </is>
      </c>
      <c r="D125" s="13" t="inlineStr">
        <is>
          <t>ok</t>
        </is>
      </c>
      <c r="E125" s="13" t="inlineStr">
        <is>
          <t>ok</t>
        </is>
      </c>
      <c r="F125" s="13" t="inlineStr"/>
      <c r="G125" s="13" t="inlineStr"/>
      <c r="H125" s="13" t="inlineStr"/>
      <c r="I125" s="13" t="n">
        <v>216</v>
      </c>
      <c r="J125" s="13" t="inlineStr"/>
      <c r="K125" s="13" t="n">
        <v>20</v>
      </c>
      <c r="L125" s="13" t="n">
        <v>8</v>
      </c>
      <c r="M125" s="13" t="b">
        <v>1</v>
      </c>
      <c r="N125" s="13" t="b">
        <v>0</v>
      </c>
      <c r="O125" s="13" t="inlineStr">
        <is>
          <t>n/a - already covered</t>
        </is>
      </c>
    </row>
    <row r="126">
      <c r="A126" s="13" t="inlineStr">
        <is>
          <t>01.1.4.3.1</t>
        </is>
      </c>
      <c r="B126" s="13" t="inlineStr">
        <is>
          <t>Condensed or evaporated milk</t>
        </is>
      </c>
      <c r="C126" s="13" t="inlineStr">
        <is>
          <t>01.1.4</t>
        </is>
      </c>
      <c r="D126" s="13" t="inlineStr">
        <is>
          <t>ok</t>
        </is>
      </c>
      <c r="E126" s="13" t="inlineStr">
        <is>
          <t>ok</t>
        </is>
      </c>
      <c r="F126" s="13" t="inlineStr"/>
      <c r="G126" s="13" t="inlineStr"/>
      <c r="H126" s="13" t="inlineStr"/>
      <c r="I126" s="13" t="n">
        <v>389</v>
      </c>
      <c r="J126" s="13" t="inlineStr"/>
      <c r="K126" s="13" t="n">
        <v>17</v>
      </c>
      <c r="L126" s="13" t="n">
        <v>9</v>
      </c>
      <c r="M126" s="13" t="b">
        <v>1</v>
      </c>
      <c r="N126" s="13" t="b">
        <v>0</v>
      </c>
      <c r="O126" s="13" t="inlineStr">
        <is>
          <t>n/a - already covered</t>
        </is>
      </c>
    </row>
    <row r="127">
      <c r="A127" s="13" t="inlineStr">
        <is>
          <t>01.1.4.3.2</t>
        </is>
      </c>
      <c r="B127" s="13" t="inlineStr">
        <is>
          <t>Powdered milk</t>
        </is>
      </c>
      <c r="C127" s="13" t="inlineStr">
        <is>
          <t>01.1.4</t>
        </is>
      </c>
      <c r="D127" s="13" t="inlineStr">
        <is>
          <t>ok</t>
        </is>
      </c>
      <c r="E127" s="13" t="inlineStr">
        <is>
          <t>ok</t>
        </is>
      </c>
      <c r="F127" s="13" t="inlineStr"/>
      <c r="G127" s="13" t="inlineStr"/>
      <c r="H127" s="13" t="inlineStr"/>
      <c r="I127" s="13" t="n">
        <v>1908</v>
      </c>
      <c r="J127" s="13" t="inlineStr"/>
      <c r="K127" s="13" t="n">
        <v>98</v>
      </c>
      <c r="L127" s="13" t="n">
        <v>14</v>
      </c>
      <c r="M127" s="13" t="b">
        <v>1</v>
      </c>
      <c r="N127" s="13" t="b">
        <v>0</v>
      </c>
      <c r="O127" s="13" t="inlineStr">
        <is>
          <t>n/a - already covered</t>
        </is>
      </c>
    </row>
    <row r="128">
      <c r="A128" s="13" t="inlineStr">
        <is>
          <t>01.1.4.3.3</t>
        </is>
      </c>
      <c r="B128" s="13" t="inlineStr">
        <is>
          <t>Cream</t>
        </is>
      </c>
      <c r="C128" s="13" t="inlineStr">
        <is>
          <t>01.1.4</t>
        </is>
      </c>
      <c r="D128" s="13" t="inlineStr">
        <is>
          <t>ok</t>
        </is>
      </c>
      <c r="E128" s="13" t="inlineStr">
        <is>
          <t>ok</t>
        </is>
      </c>
      <c r="F128" s="13" t="inlineStr"/>
      <c r="G128" s="13" t="inlineStr"/>
      <c r="H128" s="13" t="inlineStr"/>
      <c r="I128" s="13" t="n">
        <v>764</v>
      </c>
      <c r="J128" s="13" t="inlineStr"/>
      <c r="K128" s="13" t="n">
        <v>51</v>
      </c>
      <c r="L128" s="13" t="n">
        <v>15</v>
      </c>
      <c r="M128" s="13" t="b">
        <v>1</v>
      </c>
      <c r="N128" s="13" t="b">
        <v>0</v>
      </c>
      <c r="O128" s="13" t="inlineStr">
        <is>
          <t>n/a - already covered</t>
        </is>
      </c>
    </row>
    <row r="129">
      <c r="A129" s="13" t="inlineStr">
        <is>
          <t>01.1.4.4.1</t>
        </is>
      </c>
      <c r="B129" s="13" t="inlineStr">
        <is>
          <t>Coconut milk</t>
        </is>
      </c>
      <c r="C129" s="13" t="inlineStr">
        <is>
          <t>01.1.4</t>
        </is>
      </c>
      <c r="D129" s="13" t="inlineStr">
        <is>
          <t>ok</t>
        </is>
      </c>
      <c r="E129" s="13" t="inlineStr">
        <is>
          <t>ok</t>
        </is>
      </c>
      <c r="F129" s="13" t="inlineStr"/>
      <c r="G129" s="13" t="inlineStr"/>
      <c r="H129" s="13" t="inlineStr"/>
      <c r="I129" s="13" t="n">
        <v>201</v>
      </c>
      <c r="J129" s="13" t="inlineStr"/>
      <c r="K129" s="13" t="n">
        <v>22</v>
      </c>
      <c r="L129" s="13" t="n">
        <v>11</v>
      </c>
      <c r="M129" s="13" t="b">
        <v>1</v>
      </c>
      <c r="N129" s="13" t="b">
        <v>0</v>
      </c>
      <c r="O129" s="13" t="inlineStr">
        <is>
          <t>n/a - already covered</t>
        </is>
      </c>
    </row>
    <row r="130">
      <c r="A130" s="13" t="inlineStr">
        <is>
          <t>01.1.4.4.2</t>
        </is>
      </c>
      <c r="B130" s="13" t="inlineStr">
        <is>
          <t>Almond milk</t>
        </is>
      </c>
      <c r="C130" s="13" t="inlineStr">
        <is>
          <t>01.1.4</t>
        </is>
      </c>
      <c r="D130" s="13" t="inlineStr">
        <is>
          <t>ok</t>
        </is>
      </c>
      <c r="E130" s="13" t="inlineStr">
        <is>
          <t>ok</t>
        </is>
      </c>
      <c r="F130" s="13" t="inlineStr"/>
      <c r="G130" s="13" t="inlineStr"/>
      <c r="H130" s="13" t="inlineStr"/>
      <c r="I130" s="13" t="n">
        <v>496</v>
      </c>
      <c r="J130" s="13" t="inlineStr"/>
      <c r="K130" s="13" t="n">
        <v>26</v>
      </c>
      <c r="L130" s="13" t="n">
        <v>14</v>
      </c>
      <c r="M130" s="13" t="b">
        <v>1</v>
      </c>
      <c r="N130" s="13" t="b">
        <v>0</v>
      </c>
      <c r="O130" s="13" t="inlineStr">
        <is>
          <t>n/a - already covered</t>
        </is>
      </c>
    </row>
    <row r="131">
      <c r="A131" s="13" t="inlineStr">
        <is>
          <t>01.1.4.4.3</t>
        </is>
      </c>
      <c r="B131" s="13" t="inlineStr">
        <is>
          <t>Soy milk</t>
        </is>
      </c>
      <c r="C131" s="13" t="inlineStr">
        <is>
          <t>01.1.4</t>
        </is>
      </c>
      <c r="D131" s="13" t="inlineStr">
        <is>
          <t>ok</t>
        </is>
      </c>
      <c r="E131" s="13" t="inlineStr">
        <is>
          <t>ok</t>
        </is>
      </c>
      <c r="F131" s="13" t="inlineStr"/>
      <c r="G131" s="13" t="inlineStr"/>
      <c r="H131" s="13" t="inlineStr"/>
      <c r="I131" s="13" t="n">
        <v>1087</v>
      </c>
      <c r="J131" s="13" t="inlineStr"/>
      <c r="K131" s="13" t="n">
        <v>44</v>
      </c>
      <c r="L131" s="13" t="n">
        <v>16</v>
      </c>
      <c r="M131" s="13" t="b">
        <v>1</v>
      </c>
      <c r="N131" s="13" t="b">
        <v>0</v>
      </c>
      <c r="O131" s="13" t="inlineStr">
        <is>
          <t>n/a - already covered</t>
        </is>
      </c>
    </row>
    <row r="132">
      <c r="A132" s="13" t="inlineStr">
        <is>
          <t>01.1.4.4.4</t>
        </is>
      </c>
      <c r="B132" s="13" t="inlineStr">
        <is>
          <t>Rice milk</t>
        </is>
      </c>
      <c r="C132" s="13" t="inlineStr">
        <is>
          <t>01.1.4</t>
        </is>
      </c>
      <c r="D132" s="13" t="inlineStr">
        <is>
          <t>ok</t>
        </is>
      </c>
      <c r="E132" s="13" t="inlineStr">
        <is>
          <t>ok</t>
        </is>
      </c>
      <c r="F132" s="13" t="inlineStr"/>
      <c r="G132" s="13" t="inlineStr"/>
      <c r="H132" s="13" t="inlineStr"/>
      <c r="I132" s="13" t="n">
        <v>20</v>
      </c>
      <c r="J132" s="13" t="inlineStr"/>
      <c r="K132" s="13" t="n">
        <v>16</v>
      </c>
      <c r="L132" s="13" t="n">
        <v>3</v>
      </c>
      <c r="M132" s="13" t="b">
        <v>1</v>
      </c>
      <c r="N132" s="13" t="b">
        <v>0</v>
      </c>
      <c r="O132" s="13" t="inlineStr">
        <is>
          <t>n/a - already covered</t>
        </is>
      </c>
    </row>
    <row r="133">
      <c r="A133" s="13" t="inlineStr">
        <is>
          <t>01.1.4.4.5</t>
        </is>
      </c>
      <c r="B133" s="13" t="inlineStr">
        <is>
          <t>Oat milk</t>
        </is>
      </c>
      <c r="C133" s="13" t="inlineStr">
        <is>
          <t>01.1.4</t>
        </is>
      </c>
      <c r="D133" s="13" t="inlineStr">
        <is>
          <t>ok</t>
        </is>
      </c>
      <c r="E133" s="13" t="inlineStr">
        <is>
          <t>ok</t>
        </is>
      </c>
      <c r="F133" s="13" t="inlineStr"/>
      <c r="G133" s="13" t="inlineStr"/>
      <c r="H133" s="13" t="inlineStr"/>
      <c r="I133" s="13" t="n">
        <v>539</v>
      </c>
      <c r="J133" s="13" t="inlineStr"/>
      <c r="K133" s="13" t="n">
        <v>49</v>
      </c>
      <c r="L133" s="13" t="n">
        <v>16</v>
      </c>
      <c r="M133" s="13" t="b">
        <v>1</v>
      </c>
      <c r="N133" s="13" t="b">
        <v>0</v>
      </c>
      <c r="O133" s="13" t="inlineStr">
        <is>
          <t>n/a - already covered</t>
        </is>
      </c>
    </row>
    <row r="134">
      <c r="A134" s="13" t="inlineStr">
        <is>
          <t>01.1.4.5.0</t>
        </is>
      </c>
      <c r="B134" s="13" t="inlineStr">
        <is>
          <t>Cheese</t>
        </is>
      </c>
      <c r="C134" s="13" t="inlineStr">
        <is>
          <t>01.1.4</t>
        </is>
      </c>
      <c r="D134" s="13" t="inlineStr">
        <is>
          <t>ok</t>
        </is>
      </c>
      <c r="E134" s="13" t="inlineStr">
        <is>
          <t>ok</t>
        </is>
      </c>
      <c r="F134" s="13" t="inlineStr"/>
      <c r="G134" s="13" t="inlineStr"/>
      <c r="H134" s="13" t="inlineStr"/>
      <c r="I134" s="13" t="n">
        <v>9593</v>
      </c>
      <c r="J134" s="13" t="inlineStr"/>
      <c r="K134" s="13" t="n">
        <v>136</v>
      </c>
      <c r="L134" s="13" t="n">
        <v>37</v>
      </c>
      <c r="M134" s="13" t="b">
        <v>1</v>
      </c>
      <c r="N134" s="13" t="b">
        <v>0</v>
      </c>
      <c r="O134" s="13" t="inlineStr">
        <is>
          <t>n/a - already covered</t>
        </is>
      </c>
    </row>
    <row r="135">
      <c r="A135" s="13" t="inlineStr">
        <is>
          <t>01.1.4.6.0</t>
        </is>
      </c>
      <c r="B135" s="13" t="inlineStr">
        <is>
          <t>Yoghurt and similar products</t>
        </is>
      </c>
      <c r="C135" s="13" t="inlineStr">
        <is>
          <t>01.1.4</t>
        </is>
      </c>
      <c r="D135" s="13" t="inlineStr">
        <is>
          <t>ok</t>
        </is>
      </c>
      <c r="E135" s="13" t="inlineStr">
        <is>
          <t>ok</t>
        </is>
      </c>
      <c r="F135" s="13" t="inlineStr"/>
      <c r="G135" s="13" t="inlineStr"/>
      <c r="H135" s="13" t="inlineStr"/>
      <c r="I135" s="13" t="n">
        <v>8082</v>
      </c>
      <c r="J135" s="13" t="inlineStr"/>
      <c r="K135" s="13" t="n">
        <v>173</v>
      </c>
      <c r="L135" s="13" t="n">
        <v>19</v>
      </c>
      <c r="M135" s="13" t="b">
        <v>1</v>
      </c>
      <c r="N135" s="13" t="b">
        <v>0</v>
      </c>
      <c r="O135" s="13" t="inlineStr">
        <is>
          <t>n/a - already covered</t>
        </is>
      </c>
    </row>
    <row r="136">
      <c r="A136" s="13" t="inlineStr">
        <is>
          <t>01.1.4.7.0</t>
        </is>
      </c>
      <c r="B136" s="13" t="inlineStr">
        <is>
          <t>Milk-based dessert and beverages</t>
        </is>
      </c>
      <c r="C136" s="13" t="inlineStr">
        <is>
          <t>01.1.4</t>
        </is>
      </c>
      <c r="D136" s="13" t="inlineStr">
        <is>
          <t>ok</t>
        </is>
      </c>
      <c r="E136" s="13" t="inlineStr">
        <is>
          <t>ok</t>
        </is>
      </c>
      <c r="F136" s="13" t="inlineStr"/>
      <c r="G136" s="13" t="inlineStr"/>
      <c r="H136" s="13" t="inlineStr"/>
      <c r="I136" s="13" t="n">
        <v>2011</v>
      </c>
      <c r="J136" s="13" t="inlineStr"/>
      <c r="K136" s="13" t="n">
        <v>95</v>
      </c>
      <c r="L136" s="13" t="n">
        <v>20</v>
      </c>
      <c r="M136" s="13" t="b">
        <v>1</v>
      </c>
      <c r="N136" s="13" t="b">
        <v>0</v>
      </c>
      <c r="O136" s="13" t="inlineStr">
        <is>
          <t>n/a - already covered</t>
        </is>
      </c>
    </row>
    <row r="137">
      <c r="A137" s="13" t="inlineStr">
        <is>
          <t>01.1.4.8.1</t>
        </is>
      </c>
      <c r="B137" s="13" t="inlineStr">
        <is>
          <t>Eggs of hen and other birds, in shell, fresh</t>
        </is>
      </c>
      <c r="C137" s="13" t="inlineStr">
        <is>
          <t>01.1.4</t>
        </is>
      </c>
      <c r="D137" s="13" t="inlineStr">
        <is>
          <t>ok</t>
        </is>
      </c>
      <c r="E137" s="13" t="inlineStr">
        <is>
          <t>ok</t>
        </is>
      </c>
      <c r="F137" s="13" t="inlineStr"/>
      <c r="G137" s="13" t="inlineStr"/>
      <c r="H137" s="13" t="inlineStr"/>
      <c r="I137" s="13" t="n">
        <v>3282</v>
      </c>
      <c r="J137" s="13" t="inlineStr"/>
      <c r="K137" s="13" t="n">
        <v>91</v>
      </c>
      <c r="L137" s="13" t="n">
        <v>37</v>
      </c>
      <c r="M137" s="13" t="b">
        <v>1</v>
      </c>
      <c r="N137" s="13" t="b">
        <v>0</v>
      </c>
      <c r="O137" s="13" t="inlineStr">
        <is>
          <t>n/a - already covered</t>
        </is>
      </c>
    </row>
    <row r="138">
      <c r="A138" s="13" t="inlineStr">
        <is>
          <t>01.1.4.8.9</t>
        </is>
      </c>
      <c r="B138" s="13" t="inlineStr">
        <is>
          <t>Other egg products</t>
        </is>
      </c>
      <c r="C138" s="13" t="inlineStr">
        <is>
          <t>01.1.4</t>
        </is>
      </c>
      <c r="D138" s="13" t="inlineStr">
        <is>
          <t>ok</t>
        </is>
      </c>
      <c r="E138" s="13" t="inlineStr">
        <is>
          <t>ok</t>
        </is>
      </c>
      <c r="F138" s="13" t="inlineStr"/>
      <c r="G138" s="13" t="inlineStr"/>
      <c r="H138" s="13" t="inlineStr"/>
      <c r="I138" s="13" t="n">
        <v>175</v>
      </c>
      <c r="J138" s="13" t="inlineStr"/>
      <c r="K138" s="13" t="n">
        <v>25</v>
      </c>
      <c r="L138" s="13" t="n">
        <v>4</v>
      </c>
      <c r="M138" s="13" t="b">
        <v>1</v>
      </c>
      <c r="N138" s="13" t="b">
        <v>0</v>
      </c>
      <c r="O138" s="13" t="inlineStr">
        <is>
          <t>n/a - already covered</t>
        </is>
      </c>
    </row>
    <row r="139">
      <c r="A139" s="13" t="inlineStr">
        <is>
          <t>01.1.5.1.1</t>
        </is>
      </c>
      <c r="B139" s="13" t="inlineStr">
        <is>
          <t>Sunflower-seed and safflower-seed oil</t>
        </is>
      </c>
      <c r="C139" s="13" t="inlineStr">
        <is>
          <t>01.1.5</t>
        </is>
      </c>
      <c r="D139" s="13" t="inlineStr">
        <is>
          <t>ok</t>
        </is>
      </c>
      <c r="E139" s="13" t="inlineStr">
        <is>
          <t>ok</t>
        </is>
      </c>
      <c r="F139" s="13" t="inlineStr"/>
      <c r="G139" s="13" t="inlineStr"/>
      <c r="H139" s="13" t="inlineStr"/>
      <c r="I139" s="13" t="n">
        <v>203</v>
      </c>
      <c r="J139" s="13" t="inlineStr"/>
      <c r="K139" s="13" t="n">
        <v>20</v>
      </c>
      <c r="L139" s="13" t="n">
        <v>9</v>
      </c>
      <c r="M139" s="13" t="b">
        <v>1</v>
      </c>
      <c r="N139" s="13" t="b">
        <v>0</v>
      </c>
      <c r="O139" s="13" t="inlineStr">
        <is>
          <t>n/a - already covered</t>
        </is>
      </c>
    </row>
    <row r="140">
      <c r="A140" s="13" t="inlineStr">
        <is>
          <t>01.1.5.1.2</t>
        </is>
      </c>
      <c r="B140" s="13" t="inlineStr">
        <is>
          <t>Palm oil</t>
        </is>
      </c>
      <c r="C140" s="13" t="inlineStr">
        <is>
          <t>01.1.5</t>
        </is>
      </c>
      <c r="D140" s="13" t="inlineStr">
        <is>
          <t>ok</t>
        </is>
      </c>
      <c r="E140" s="13" t="inlineStr">
        <is>
          <t>ok</t>
        </is>
      </c>
      <c r="F140" s="13" t="inlineStr"/>
      <c r="G140" s="13" t="inlineStr"/>
      <c r="H140" s="13" t="inlineStr"/>
      <c r="I140" s="13" t="n">
        <v>314</v>
      </c>
      <c r="J140" s="13" t="inlineStr"/>
      <c r="K140" s="13" t="n">
        <v>22</v>
      </c>
      <c r="L140" s="13" t="n">
        <v>2</v>
      </c>
      <c r="M140" s="13" t="b">
        <v>1</v>
      </c>
      <c r="N140" s="13" t="b">
        <v>0</v>
      </c>
      <c r="O140" s="13" t="inlineStr">
        <is>
          <t>n/a - already covered</t>
        </is>
      </c>
    </row>
    <row r="141">
      <c r="A141" s="13" t="inlineStr">
        <is>
          <t>01.1.5.1.3</t>
        </is>
      </c>
      <c r="B141" s="13" t="inlineStr">
        <is>
          <t>Olive oil</t>
        </is>
      </c>
      <c r="C141" s="13" t="inlineStr">
        <is>
          <t>01.1.5</t>
        </is>
      </c>
      <c r="D141" s="13" t="inlineStr">
        <is>
          <t>ok</t>
        </is>
      </c>
      <c r="E141" s="13" t="inlineStr">
        <is>
          <t>ok</t>
        </is>
      </c>
      <c r="F141" s="13" t="inlineStr"/>
      <c r="G141" s="13" t="inlineStr"/>
      <c r="H141" s="13" t="inlineStr"/>
      <c r="I141" s="13" t="n">
        <v>2089</v>
      </c>
      <c r="J141" s="13" t="inlineStr"/>
      <c r="K141" s="13" t="n">
        <v>47</v>
      </c>
      <c r="L141" s="13" t="n">
        <v>17</v>
      </c>
      <c r="M141" s="13" t="b">
        <v>1</v>
      </c>
      <c r="N141" s="13" t="b">
        <v>0</v>
      </c>
      <c r="O141" s="13" t="inlineStr">
        <is>
          <t>n/a - already covered</t>
        </is>
      </c>
    </row>
    <row r="142">
      <c r="A142" s="13" t="inlineStr">
        <is>
          <t>01.1.5.1.4</t>
        </is>
      </c>
      <c r="B142" s="13" t="inlineStr">
        <is>
          <t>Soya bean oil</t>
        </is>
      </c>
      <c r="C142" s="13" t="inlineStr">
        <is>
          <t>01.1.5</t>
        </is>
      </c>
      <c r="D142" s="13" t="inlineStr">
        <is>
          <t>ok</t>
        </is>
      </c>
      <c r="E142" s="13" t="inlineStr">
        <is>
          <t>ok</t>
        </is>
      </c>
      <c r="F142" s="13" t="inlineStr"/>
      <c r="G142" s="13" t="inlineStr"/>
      <c r="H142" s="13" t="inlineStr"/>
      <c r="I142" s="13" t="n">
        <v>111</v>
      </c>
      <c r="J142" s="13" t="inlineStr"/>
      <c r="K142" s="13" t="n">
        <v>14</v>
      </c>
      <c r="L142" s="13" t="n">
        <v>3</v>
      </c>
      <c r="M142" s="13" t="b">
        <v>1</v>
      </c>
      <c r="N142" s="13" t="b">
        <v>0</v>
      </c>
      <c r="O142" s="13" t="inlineStr">
        <is>
          <t>n/a - already covered</t>
        </is>
      </c>
    </row>
    <row r="143">
      <c r="A143" s="13" t="inlineStr">
        <is>
          <t>01.1.5.1.5</t>
        </is>
      </c>
      <c r="B143" s="13" t="inlineStr">
        <is>
          <t>Groundnut oil</t>
        </is>
      </c>
      <c r="C143" s="13" t="inlineStr">
        <is>
          <t>01.1.5</t>
        </is>
      </c>
      <c r="D143" s="13" t="inlineStr">
        <is>
          <t>ok</t>
        </is>
      </c>
      <c r="E143" s="13" t="inlineStr">
        <is>
          <t>ok</t>
        </is>
      </c>
      <c r="F143" s="13" t="inlineStr"/>
      <c r="G143" s="13" t="inlineStr"/>
      <c r="H143" s="13" t="inlineStr"/>
      <c r="I143" s="13" t="n">
        <v>68</v>
      </c>
      <c r="J143" s="13" t="inlineStr"/>
      <c r="K143" s="13" t="n">
        <v>17</v>
      </c>
      <c r="L143" s="13" t="n">
        <v>1</v>
      </c>
      <c r="M143" s="13" t="b">
        <v>1</v>
      </c>
      <c r="N143" s="13" t="b">
        <v>0</v>
      </c>
      <c r="O143" s="13" t="inlineStr">
        <is>
          <t>n/a - already covered</t>
        </is>
      </c>
    </row>
    <row r="144">
      <c r="A144" s="13" t="inlineStr">
        <is>
          <t>01.1.5.1.6</t>
        </is>
      </c>
      <c r="B144" s="13" t="inlineStr">
        <is>
          <t>Coconut oil</t>
        </is>
      </c>
      <c r="C144" s="13" t="inlineStr">
        <is>
          <t>01.1.5</t>
        </is>
      </c>
      <c r="D144" s="13" t="inlineStr">
        <is>
          <t>ok</t>
        </is>
      </c>
      <c r="E144" s="13" t="inlineStr">
        <is>
          <t>ok</t>
        </is>
      </c>
      <c r="F144" s="13" t="inlineStr"/>
      <c r="G144" s="13" t="inlineStr"/>
      <c r="H144" s="13" t="inlineStr"/>
      <c r="I144" s="13" t="n">
        <v>247</v>
      </c>
      <c r="J144" s="13" t="inlineStr"/>
      <c r="K144" s="13" t="n">
        <v>19</v>
      </c>
      <c r="L144" s="13" t="n">
        <v>11</v>
      </c>
      <c r="M144" s="13" t="b">
        <v>1</v>
      </c>
      <c r="N144" s="13" t="b">
        <v>0</v>
      </c>
      <c r="O144" s="13" t="inlineStr">
        <is>
          <t>n/a - already covered</t>
        </is>
      </c>
    </row>
    <row r="145">
      <c r="A145" s="13" t="inlineStr">
        <is>
          <t>01.1.5.1.7</t>
        </is>
      </c>
      <c r="B145" s="13" t="inlineStr">
        <is>
          <t>Corn oil</t>
        </is>
      </c>
      <c r="C145" s="13" t="inlineStr">
        <is>
          <t>01.1.5</t>
        </is>
      </c>
      <c r="D145" s="13" t="inlineStr">
        <is>
          <t>ok</t>
        </is>
      </c>
      <c r="E145" s="13" t="inlineStr">
        <is>
          <t>ok</t>
        </is>
      </c>
      <c r="F145" s="13" t="inlineStr"/>
      <c r="G145" s="13" t="inlineStr"/>
      <c r="H145" s="13" t="inlineStr"/>
      <c r="I145" s="13" t="n">
        <v>59</v>
      </c>
      <c r="J145" s="13" t="inlineStr"/>
      <c r="K145" s="13" t="n">
        <v>14</v>
      </c>
      <c r="L145" s="13" t="n">
        <v>4</v>
      </c>
      <c r="M145" s="13" t="b">
        <v>1</v>
      </c>
      <c r="N145" s="13" t="b">
        <v>0</v>
      </c>
      <c r="O145" s="13" t="inlineStr">
        <is>
          <t>n/a - already covered</t>
        </is>
      </c>
    </row>
    <row r="146">
      <c r="A146" s="13" t="inlineStr">
        <is>
          <t>01.1.5.1.9</t>
        </is>
      </c>
      <c r="B146" s="13" t="inlineStr">
        <is>
          <t>Other edible vegetable oils n.e.c.</t>
        </is>
      </c>
      <c r="C146" s="13" t="inlineStr">
        <is>
          <t>01.1.5</t>
        </is>
      </c>
      <c r="D146" s="13" t="inlineStr">
        <is>
          <t>ok</t>
        </is>
      </c>
      <c r="E146" s="13" t="inlineStr">
        <is>
          <t>ok</t>
        </is>
      </c>
      <c r="F146" s="13" t="inlineStr"/>
      <c r="G146" s="13" t="inlineStr"/>
      <c r="H146" s="13" t="inlineStr"/>
      <c r="I146" s="13" t="n">
        <v>620</v>
      </c>
      <c r="J146" s="13" t="inlineStr"/>
      <c r="K146" s="13" t="n">
        <v>37</v>
      </c>
      <c r="L146" s="13" t="n">
        <v>18</v>
      </c>
      <c r="M146" s="13" t="b">
        <v>1</v>
      </c>
      <c r="N146" s="13" t="b">
        <v>0</v>
      </c>
      <c r="O146" s="13" t="inlineStr">
        <is>
          <t>n/a - already covered</t>
        </is>
      </c>
    </row>
    <row r="147">
      <c r="A147" s="13" t="inlineStr">
        <is>
          <t>01.1.5.2.1</t>
        </is>
      </c>
      <c r="B147" s="13" t="inlineStr">
        <is>
          <t>Butter</t>
        </is>
      </c>
      <c r="C147" s="13" t="inlineStr">
        <is>
          <t>01.1.5</t>
        </is>
      </c>
      <c r="D147" s="13" t="inlineStr">
        <is>
          <t>ok</t>
        </is>
      </c>
      <c r="E147" s="13" t="inlineStr">
        <is>
          <t>ok</t>
        </is>
      </c>
      <c r="F147" s="13" t="inlineStr"/>
      <c r="G147" s="13" t="inlineStr"/>
      <c r="H147" s="13" t="inlineStr"/>
      <c r="I147" s="13" t="n">
        <v>1588</v>
      </c>
      <c r="J147" s="13" t="inlineStr"/>
      <c r="K147" s="13" t="n">
        <v>54</v>
      </c>
      <c r="L147" s="13" t="n">
        <v>18</v>
      </c>
      <c r="M147" s="13" t="b">
        <v>1</v>
      </c>
      <c r="N147" s="13" t="b">
        <v>0</v>
      </c>
      <c r="O147" s="13" t="inlineStr">
        <is>
          <t>n/a - already covered</t>
        </is>
      </c>
    </row>
    <row r="148">
      <c r="A148" s="13" t="inlineStr">
        <is>
          <t>01.1.5.2.9</t>
        </is>
      </c>
      <c r="B148" s="13" t="inlineStr">
        <is>
          <t>Other oils and fats derived from milk</t>
        </is>
      </c>
      <c r="C148" s="13" t="inlineStr">
        <is>
          <t>01.1.5</t>
        </is>
      </c>
      <c r="D148" s="13" t="inlineStr">
        <is>
          <t>ok</t>
        </is>
      </c>
      <c r="E148" s="13" t="inlineStr">
        <is>
          <t>ok</t>
        </is>
      </c>
      <c r="F148" s="13" t="inlineStr"/>
      <c r="G148" s="13" t="inlineStr"/>
      <c r="H148" s="13" t="inlineStr"/>
      <c r="I148" s="13" t="n">
        <v>98</v>
      </c>
      <c r="J148" s="13" t="inlineStr"/>
      <c r="K148" s="13" t="n">
        <v>19</v>
      </c>
      <c r="L148" s="13" t="n">
        <v>5</v>
      </c>
      <c r="M148" s="13" t="b">
        <v>1</v>
      </c>
      <c r="N148" s="13" t="b">
        <v>0</v>
      </c>
      <c r="O148" s="13" t="inlineStr">
        <is>
          <t>n/a - already covered</t>
        </is>
      </c>
    </row>
    <row r="149">
      <c r="A149" s="13" t="inlineStr">
        <is>
          <t>01.1.5.3.0</t>
        </is>
      </c>
      <c r="B149" s="13" t="inlineStr">
        <is>
          <t>Margarine and similar preparations</t>
        </is>
      </c>
      <c r="C149" s="13" t="inlineStr">
        <is>
          <t>01.1.5</t>
        </is>
      </c>
      <c r="D149" s="13" t="inlineStr">
        <is>
          <t>ok</t>
        </is>
      </c>
      <c r="E149" s="13" t="inlineStr">
        <is>
          <t>ok</t>
        </is>
      </c>
      <c r="F149" s="13" t="inlineStr"/>
      <c r="G149" s="13" t="inlineStr"/>
      <c r="H149" s="13" t="inlineStr"/>
      <c r="I149" s="13" t="n">
        <v>1804</v>
      </c>
      <c r="J149" s="13" t="inlineStr"/>
      <c r="K149" s="13" t="n">
        <v>35</v>
      </c>
      <c r="L149" s="13" t="n">
        <v>15</v>
      </c>
      <c r="M149" s="13" t="b">
        <v>1</v>
      </c>
      <c r="N149" s="13" t="b">
        <v>0</v>
      </c>
      <c r="O149" s="13" t="inlineStr">
        <is>
          <t>n/a - already covered</t>
        </is>
      </c>
    </row>
    <row r="150">
      <c r="A150" s="13" t="inlineStr">
        <is>
          <t>01.1.5.9.1</t>
        </is>
      </c>
      <c r="B150" s="13" t="inlineStr">
        <is>
          <t>Lard</t>
        </is>
      </c>
      <c r="C150" s="13" t="inlineStr">
        <is>
          <t>01.1.5</t>
        </is>
      </c>
      <c r="D150" s="13" t="inlineStr">
        <is>
          <t>ok</t>
        </is>
      </c>
      <c r="E150" s="13" t="inlineStr">
        <is>
          <t>ok</t>
        </is>
      </c>
      <c r="F150" s="13" t="inlineStr"/>
      <c r="G150" s="13" t="inlineStr"/>
      <c r="H150" s="13" t="inlineStr"/>
      <c r="I150" s="13" t="n">
        <v>31</v>
      </c>
      <c r="J150" s="13" t="inlineStr"/>
      <c r="K150" s="13" t="n">
        <v>11</v>
      </c>
      <c r="L150" s="13" t="n">
        <v>1</v>
      </c>
      <c r="M150" s="13" t="b">
        <v>1</v>
      </c>
      <c r="N150" s="13" t="b">
        <v>0</v>
      </c>
      <c r="O150" s="13" t="inlineStr">
        <is>
          <t>n/a - already covered</t>
        </is>
      </c>
    </row>
    <row r="151">
      <c r="A151" s="13" t="inlineStr">
        <is>
          <t>01.1.6.1.1</t>
        </is>
      </c>
      <c r="B151" s="13" t="inlineStr">
        <is>
          <t>Avocados, fresh</t>
        </is>
      </c>
      <c r="C151" s="13" t="inlineStr">
        <is>
          <t>01.1.6</t>
        </is>
      </c>
      <c r="D151" s="13" t="inlineStr">
        <is>
          <t>ok</t>
        </is>
      </c>
      <c r="E151" s="13" t="inlineStr">
        <is>
          <t>ok</t>
        </is>
      </c>
      <c r="F151" s="13" t="inlineStr"/>
      <c r="G151" s="13" t="inlineStr"/>
      <c r="H151" s="13" t="inlineStr"/>
      <c r="I151" s="13" t="n">
        <v>194</v>
      </c>
      <c r="J151" s="13" t="inlineStr"/>
      <c r="K151" s="13" t="n">
        <v>22</v>
      </c>
      <c r="L151" s="13" t="n">
        <v>12</v>
      </c>
      <c r="M151" s="13" t="b">
        <v>1</v>
      </c>
      <c r="N151" s="13" t="b">
        <v>0</v>
      </c>
      <c r="O151" s="13" t="inlineStr">
        <is>
          <t>n/a - already covered</t>
        </is>
      </c>
    </row>
    <row r="152">
      <c r="A152" s="13" t="inlineStr">
        <is>
          <t>01.1.6.1.2</t>
        </is>
      </c>
      <c r="B152" s="13" t="inlineStr">
        <is>
          <t>Bananas, fresh</t>
        </is>
      </c>
      <c r="C152" s="13" t="inlineStr">
        <is>
          <t>01.1.6</t>
        </is>
      </c>
      <c r="D152" s="13" t="inlineStr">
        <is>
          <t>ok</t>
        </is>
      </c>
      <c r="E152" s="13" t="inlineStr">
        <is>
          <t>ok</t>
        </is>
      </c>
      <c r="F152" s="13" t="inlineStr"/>
      <c r="G152" s="13" t="inlineStr"/>
      <c r="H152" s="13" t="inlineStr"/>
      <c r="I152" s="13" t="n">
        <v>862</v>
      </c>
      <c r="J152" s="13" t="inlineStr"/>
      <c r="K152" s="13" t="n">
        <v>23</v>
      </c>
      <c r="L152" s="13" t="n">
        <v>30</v>
      </c>
      <c r="M152" s="13" t="b">
        <v>1</v>
      </c>
      <c r="N152" s="13" t="b">
        <v>0</v>
      </c>
      <c r="O152" s="13" t="inlineStr">
        <is>
          <t>n/a - already covered</t>
        </is>
      </c>
    </row>
    <row r="153">
      <c r="A153" s="13" t="inlineStr">
        <is>
          <t>01.1.6.1.4</t>
        </is>
      </c>
      <c r="B153" s="13" t="inlineStr">
        <is>
          <t>Figs, fresh</t>
        </is>
      </c>
      <c r="C153" s="13" t="inlineStr">
        <is>
          <t>01.1.6</t>
        </is>
      </c>
      <c r="D153" s="13" t="inlineStr">
        <is>
          <t>ok</t>
        </is>
      </c>
      <c r="E153" s="13" t="inlineStr">
        <is>
          <t>ok</t>
        </is>
      </c>
      <c r="F153" s="13" t="inlineStr"/>
      <c r="G153" s="13" t="inlineStr"/>
      <c r="H153" s="13" t="inlineStr"/>
      <c r="I153" s="13" t="n">
        <v>24</v>
      </c>
      <c r="J153" s="13" t="inlineStr"/>
      <c r="K153" s="13" t="n">
        <v>13</v>
      </c>
      <c r="L153" s="13" t="n">
        <v>1</v>
      </c>
      <c r="M153" s="13" t="b">
        <v>1</v>
      </c>
      <c r="N153" s="13" t="b">
        <v>0</v>
      </c>
      <c r="O153" s="13" t="inlineStr">
        <is>
          <t>n/a - already covered</t>
        </is>
      </c>
    </row>
    <row r="154">
      <c r="A154" s="13" t="inlineStr">
        <is>
          <t>01.1.6.1.5</t>
        </is>
      </c>
      <c r="B154" s="13" t="inlineStr">
        <is>
          <t>Mangoes, guavas and mangosteens, fresh</t>
        </is>
      </c>
      <c r="C154" s="13" t="inlineStr">
        <is>
          <t>01.1.6</t>
        </is>
      </c>
      <c r="D154" s="13" t="inlineStr">
        <is>
          <t>ok</t>
        </is>
      </c>
      <c r="E154" s="13" t="inlineStr">
        <is>
          <t>ok</t>
        </is>
      </c>
      <c r="F154" s="13" t="inlineStr"/>
      <c r="G154" s="13" t="inlineStr"/>
      <c r="H154" s="13" t="inlineStr"/>
      <c r="I154" s="13" t="n">
        <v>644</v>
      </c>
      <c r="J154" s="13" t="inlineStr"/>
      <c r="K154" s="13" t="n">
        <v>38</v>
      </c>
      <c r="L154" s="13" t="n">
        <v>12</v>
      </c>
      <c r="M154" s="13" t="b">
        <v>1</v>
      </c>
      <c r="N154" s="13" t="b">
        <v>0</v>
      </c>
      <c r="O154" s="13" t="inlineStr">
        <is>
          <t>n/a - already covered</t>
        </is>
      </c>
    </row>
    <row r="155">
      <c r="A155" s="13" t="inlineStr">
        <is>
          <t>01.1.6.1.6</t>
        </is>
      </c>
      <c r="B155" s="13" t="inlineStr">
        <is>
          <t>Papayas, fresh</t>
        </is>
      </c>
      <c r="C155" s="13" t="inlineStr">
        <is>
          <t>01.1.6</t>
        </is>
      </c>
      <c r="D155" s="13" t="inlineStr">
        <is>
          <t>ok</t>
        </is>
      </c>
      <c r="E155" s="13" t="inlineStr">
        <is>
          <t>ok</t>
        </is>
      </c>
      <c r="F155" s="13" t="inlineStr"/>
      <c r="G155" s="13" t="inlineStr"/>
      <c r="H155" s="13" t="inlineStr"/>
      <c r="I155" s="13" t="n">
        <v>347</v>
      </c>
      <c r="J155" s="13" t="inlineStr"/>
      <c r="K155" s="13" t="n">
        <v>19</v>
      </c>
      <c r="L155" s="13" t="n">
        <v>8</v>
      </c>
      <c r="M155" s="13" t="b">
        <v>1</v>
      </c>
      <c r="N155" s="13" t="b">
        <v>0</v>
      </c>
      <c r="O155" s="13" t="inlineStr">
        <is>
          <t>n/a - already covered</t>
        </is>
      </c>
    </row>
    <row r="156">
      <c r="A156" s="13" t="inlineStr">
        <is>
          <t>01.1.6.1.7</t>
        </is>
      </c>
      <c r="B156" s="13" t="inlineStr">
        <is>
          <t>Pineapples, fresh</t>
        </is>
      </c>
      <c r="C156" s="13" t="inlineStr">
        <is>
          <t>01.1.6</t>
        </is>
      </c>
      <c r="D156" s="13" t="inlineStr">
        <is>
          <t>ok</t>
        </is>
      </c>
      <c r="E156" s="13" t="inlineStr">
        <is>
          <t>ok</t>
        </is>
      </c>
      <c r="F156" s="13" t="inlineStr"/>
      <c r="G156" s="13" t="inlineStr"/>
      <c r="H156" s="13" t="inlineStr"/>
      <c r="I156" s="13" t="n">
        <v>242</v>
      </c>
      <c r="J156" s="13" t="inlineStr"/>
      <c r="K156" s="13" t="n">
        <v>28</v>
      </c>
      <c r="L156" s="13" t="n">
        <v>7</v>
      </c>
      <c r="M156" s="13" t="b">
        <v>1</v>
      </c>
      <c r="N156" s="13" t="b">
        <v>0</v>
      </c>
      <c r="O156" s="13" t="inlineStr">
        <is>
          <t>n/a - already covered</t>
        </is>
      </c>
    </row>
    <row r="157">
      <c r="A157" s="13" t="inlineStr">
        <is>
          <t>01.1.6.1.8</t>
        </is>
      </c>
      <c r="B157" s="13" t="inlineStr">
        <is>
          <t>Coconuts, fresh</t>
        </is>
      </c>
      <c r="C157" s="13" t="inlineStr">
        <is>
          <t>01.1.6</t>
        </is>
      </c>
      <c r="D157" s="13" t="inlineStr">
        <is>
          <t>ok</t>
        </is>
      </c>
      <c r="E157" s="13" t="inlineStr">
        <is>
          <t>ok</t>
        </is>
      </c>
      <c r="F157" s="13" t="inlineStr"/>
      <c r="G157" s="13" t="inlineStr"/>
      <c r="H157" s="13" t="inlineStr"/>
      <c r="I157" s="13" t="n">
        <v>27</v>
      </c>
      <c r="J157" s="13" t="inlineStr"/>
      <c r="K157" s="13" t="n">
        <v>21</v>
      </c>
      <c r="L157" s="13" t="n">
        <v>5</v>
      </c>
      <c r="M157" s="13" t="b">
        <v>1</v>
      </c>
      <c r="N157" s="13" t="b">
        <v>0</v>
      </c>
      <c r="O157" s="13" t="inlineStr">
        <is>
          <t>n/a - already covered</t>
        </is>
      </c>
    </row>
    <row r="158">
      <c r="A158" s="13" t="inlineStr">
        <is>
          <t>01.1.6.2.1</t>
        </is>
      </c>
      <c r="B158" s="13" t="inlineStr">
        <is>
          <t>Pomelos and grapefruits, fresh</t>
        </is>
      </c>
      <c r="C158" s="13" t="inlineStr">
        <is>
          <t>01.1.6</t>
        </is>
      </c>
      <c r="D158" s="13" t="inlineStr">
        <is>
          <t>ok</t>
        </is>
      </c>
      <c r="E158" s="13" t="inlineStr">
        <is>
          <t>ok</t>
        </is>
      </c>
      <c r="F158" s="13" t="inlineStr"/>
      <c r="G158" s="13" t="inlineStr"/>
      <c r="H158" s="13" t="inlineStr"/>
      <c r="I158" s="13" t="n">
        <v>117</v>
      </c>
      <c r="J158" s="13" t="inlineStr"/>
      <c r="K158" s="13" t="n">
        <v>21</v>
      </c>
      <c r="L158" s="13" t="n">
        <v>4</v>
      </c>
      <c r="M158" s="13" t="b">
        <v>1</v>
      </c>
      <c r="N158" s="13" t="b">
        <v>0</v>
      </c>
      <c r="O158" s="13" t="inlineStr">
        <is>
          <t>n/a - already covered</t>
        </is>
      </c>
    </row>
    <row r="159">
      <c r="A159" s="13" t="inlineStr">
        <is>
          <t>01.1.6.2.2</t>
        </is>
      </c>
      <c r="B159" s="13" t="inlineStr">
        <is>
          <t>Lemons and limes, fresh</t>
        </is>
      </c>
      <c r="C159" s="13" t="inlineStr">
        <is>
          <t>01.1.6</t>
        </is>
      </c>
      <c r="D159" s="13" t="inlineStr">
        <is>
          <t>ok</t>
        </is>
      </c>
      <c r="E159" s="13" t="inlineStr">
        <is>
          <t>ok</t>
        </is>
      </c>
      <c r="F159" s="13" t="inlineStr"/>
      <c r="G159" s="13" t="inlineStr"/>
      <c r="H159" s="13" t="inlineStr"/>
      <c r="I159" s="13" t="n">
        <v>302</v>
      </c>
      <c r="J159" s="13" t="inlineStr"/>
      <c r="K159" s="13" t="n">
        <v>21</v>
      </c>
      <c r="L159" s="13" t="n">
        <v>14</v>
      </c>
      <c r="M159" s="13" t="b">
        <v>1</v>
      </c>
      <c r="N159" s="13" t="b">
        <v>0</v>
      </c>
      <c r="O159" s="13" t="inlineStr">
        <is>
          <t>n/a - already covered</t>
        </is>
      </c>
    </row>
    <row r="160">
      <c r="A160" s="13" t="inlineStr">
        <is>
          <t>01.1.6.2.3</t>
        </is>
      </c>
      <c r="B160" s="13" t="inlineStr">
        <is>
          <t>Oranges, fresh</t>
        </is>
      </c>
      <c r="C160" s="13" t="inlineStr">
        <is>
          <t>01.1.6</t>
        </is>
      </c>
      <c r="D160" s="13" t="inlineStr">
        <is>
          <t>ok</t>
        </is>
      </c>
      <c r="E160" s="13" t="inlineStr">
        <is>
          <t>ok</t>
        </is>
      </c>
      <c r="F160" s="13" t="inlineStr"/>
      <c r="G160" s="13" t="inlineStr"/>
      <c r="H160" s="13" t="inlineStr"/>
      <c r="I160" s="13" t="n">
        <v>433</v>
      </c>
      <c r="J160" s="13" t="inlineStr"/>
      <c r="K160" s="13" t="n">
        <v>26</v>
      </c>
      <c r="L160" s="13" t="n">
        <v>8</v>
      </c>
      <c r="M160" s="13" t="b">
        <v>1</v>
      </c>
      <c r="N160" s="13" t="b">
        <v>0</v>
      </c>
      <c r="O160" s="13" t="inlineStr">
        <is>
          <t>n/a - already covered</t>
        </is>
      </c>
    </row>
    <row r="161">
      <c r="A161" s="13" t="inlineStr">
        <is>
          <t>01.1.6.2.9</t>
        </is>
      </c>
      <c r="B161" s="13" t="inlineStr">
        <is>
          <t>Other citrus fruits, fresh</t>
        </is>
      </c>
      <c r="C161" s="13" t="inlineStr">
        <is>
          <t>01.1.6</t>
        </is>
      </c>
      <c r="D161" s="13" t="inlineStr">
        <is>
          <t>ok</t>
        </is>
      </c>
      <c r="E161" s="13" t="inlineStr">
        <is>
          <t>ok</t>
        </is>
      </c>
      <c r="F161" s="13" t="inlineStr"/>
      <c r="G161" s="13" t="inlineStr"/>
      <c r="H161" s="13" t="inlineStr"/>
      <c r="I161" s="13" t="n">
        <v>130</v>
      </c>
      <c r="J161" s="13" t="inlineStr"/>
      <c r="K161" s="13" t="n">
        <v>21</v>
      </c>
      <c r="L161" s="13" t="n">
        <v>1</v>
      </c>
      <c r="M161" s="13" t="b">
        <v>1</v>
      </c>
      <c r="N161" s="13" t="b">
        <v>0</v>
      </c>
      <c r="O161" s="13" t="inlineStr">
        <is>
          <t>n/a - already covered</t>
        </is>
      </c>
    </row>
    <row r="162">
      <c r="A162" s="13" t="inlineStr">
        <is>
          <t>01.1.6.3.1</t>
        </is>
      </c>
      <c r="B162" s="13" t="inlineStr">
        <is>
          <t>Apples, fresh</t>
        </is>
      </c>
      <c r="C162" s="13" t="inlineStr">
        <is>
          <t>01.1.6</t>
        </is>
      </c>
      <c r="D162" s="13" t="inlineStr">
        <is>
          <t>ok</t>
        </is>
      </c>
      <c r="E162" s="13" t="inlineStr">
        <is>
          <t>ok</t>
        </is>
      </c>
      <c r="F162" s="13" t="inlineStr"/>
      <c r="G162" s="13" t="inlineStr"/>
      <c r="H162" s="13" t="inlineStr"/>
      <c r="I162" s="13" t="n">
        <v>2539</v>
      </c>
      <c r="J162" s="13" t="inlineStr"/>
      <c r="K162" s="13" t="n">
        <v>53</v>
      </c>
      <c r="L162" s="13" t="n">
        <v>37</v>
      </c>
      <c r="M162" s="13" t="b">
        <v>1</v>
      </c>
      <c r="N162" s="13" t="b">
        <v>0</v>
      </c>
      <c r="O162" s="13" t="inlineStr">
        <is>
          <t>n/a - already covered</t>
        </is>
      </c>
    </row>
    <row r="163">
      <c r="A163" s="13" t="inlineStr">
        <is>
          <t>01.1.6.3.2</t>
        </is>
      </c>
      <c r="B163" s="13" t="inlineStr">
        <is>
          <t>Pears and quinces, fresh</t>
        </is>
      </c>
      <c r="C163" s="13" t="inlineStr">
        <is>
          <t>01.1.6</t>
        </is>
      </c>
      <c r="D163" s="13" t="inlineStr">
        <is>
          <t>ok</t>
        </is>
      </c>
      <c r="E163" s="13" t="inlineStr">
        <is>
          <t>ok</t>
        </is>
      </c>
      <c r="F163" s="13" t="inlineStr"/>
      <c r="G163" s="13" t="inlineStr"/>
      <c r="H163" s="13" t="inlineStr"/>
      <c r="I163" s="13" t="n">
        <v>390</v>
      </c>
      <c r="J163" s="13" t="inlineStr"/>
      <c r="K163" s="13" t="n">
        <v>37</v>
      </c>
      <c r="L163" s="13" t="n">
        <v>10</v>
      </c>
      <c r="M163" s="13" t="b">
        <v>1</v>
      </c>
      <c r="N163" s="13" t="b">
        <v>0</v>
      </c>
      <c r="O163" s="13" t="inlineStr">
        <is>
          <t>n/a - already covered</t>
        </is>
      </c>
    </row>
    <row r="164">
      <c r="A164" s="13" t="inlineStr">
        <is>
          <t>01.1.6.3.4</t>
        </is>
      </c>
      <c r="B164" s="13" t="inlineStr">
        <is>
          <t>Cherries, fresh</t>
        </is>
      </c>
      <c r="C164" s="13" t="inlineStr">
        <is>
          <t>01.1.6</t>
        </is>
      </c>
      <c r="D164" s="13" t="inlineStr">
        <is>
          <t>ok</t>
        </is>
      </c>
      <c r="E164" s="13" t="inlineStr">
        <is>
          <t>ok</t>
        </is>
      </c>
      <c r="F164" s="13" t="inlineStr"/>
      <c r="G164" s="13" t="inlineStr"/>
      <c r="H164" s="13" t="inlineStr"/>
      <c r="I164" s="13" t="n">
        <v>52</v>
      </c>
      <c r="J164" s="13" t="inlineStr"/>
      <c r="K164" s="13" t="n">
        <v>12</v>
      </c>
      <c r="L164" s="13" t="n">
        <v>5</v>
      </c>
      <c r="M164" s="13" t="b">
        <v>1</v>
      </c>
      <c r="N164" s="13" t="b">
        <v>0</v>
      </c>
      <c r="O164" s="13" t="inlineStr">
        <is>
          <t>n/a - already covered</t>
        </is>
      </c>
    </row>
    <row r="165">
      <c r="A165" s="13" t="inlineStr">
        <is>
          <t>01.1.6.3.5</t>
        </is>
      </c>
      <c r="B165" s="13" t="inlineStr">
        <is>
          <t>Peaches and nectarines, fresh</t>
        </is>
      </c>
      <c r="C165" s="13" t="inlineStr">
        <is>
          <t>01.1.6</t>
        </is>
      </c>
      <c r="D165" s="13" t="inlineStr">
        <is>
          <t>ok</t>
        </is>
      </c>
      <c r="E165" s="13" t="inlineStr">
        <is>
          <t>ok</t>
        </is>
      </c>
      <c r="F165" s="13" t="inlineStr"/>
      <c r="G165" s="13" t="inlineStr"/>
      <c r="H165" s="13" t="inlineStr"/>
      <c r="I165" s="13" t="n">
        <v>14</v>
      </c>
      <c r="J165" s="13" t="inlineStr"/>
      <c r="K165" s="13" t="n">
        <v>16</v>
      </c>
      <c r="L165" s="13" t="n">
        <v>1</v>
      </c>
      <c r="M165" s="13" t="b">
        <v>1</v>
      </c>
      <c r="N165" s="13" t="b">
        <v>0</v>
      </c>
      <c r="O165" s="13" t="inlineStr">
        <is>
          <t>n/a - already covered</t>
        </is>
      </c>
    </row>
    <row r="166">
      <c r="A166" s="13" t="inlineStr">
        <is>
          <t>01.1.6.3.6</t>
        </is>
      </c>
      <c r="B166" s="13" t="inlineStr">
        <is>
          <t>Plums and sloes, fresh</t>
        </is>
      </c>
      <c r="C166" s="13" t="inlineStr">
        <is>
          <t>01.1.6</t>
        </is>
      </c>
      <c r="D166" s="13" t="inlineStr">
        <is>
          <t>ok</t>
        </is>
      </c>
      <c r="E166" s="13" t="inlineStr">
        <is>
          <t>ok</t>
        </is>
      </c>
      <c r="F166" s="13" t="inlineStr"/>
      <c r="G166" s="13" t="inlineStr"/>
      <c r="H166" s="13" t="inlineStr"/>
      <c r="I166" s="13" t="n">
        <v>56</v>
      </c>
      <c r="J166" s="13" t="inlineStr"/>
      <c r="K166" s="13" t="n">
        <v>14</v>
      </c>
      <c r="L166" s="13" t="n">
        <v>3</v>
      </c>
      <c r="M166" s="13" t="b">
        <v>1</v>
      </c>
      <c r="N166" s="13" t="b">
        <v>0</v>
      </c>
      <c r="O166" s="13" t="inlineStr">
        <is>
          <t>n/a - already covered</t>
        </is>
      </c>
    </row>
    <row r="167">
      <c r="A167" s="13" t="inlineStr">
        <is>
          <t>01.1.6.4.4</t>
        </is>
      </c>
      <c r="B167" s="13" t="inlineStr">
        <is>
          <t>Blackberries, mulberries and loganberries, fresh</t>
        </is>
      </c>
      <c r="C167" s="13" t="inlineStr">
        <is>
          <t>01.1.6</t>
        </is>
      </c>
      <c r="D167" s="13" t="inlineStr">
        <is>
          <t>ok</t>
        </is>
      </c>
      <c r="E167" s="13" t="inlineStr">
        <is>
          <t>ok</t>
        </is>
      </c>
      <c r="F167" s="13" t="inlineStr"/>
      <c r="G167" s="13" t="inlineStr"/>
      <c r="H167" s="13" t="inlineStr"/>
      <c r="I167" s="13" t="n">
        <v>15</v>
      </c>
      <c r="J167" s="13" t="inlineStr"/>
      <c r="K167" s="13" t="n">
        <v>9</v>
      </c>
      <c r="L167" s="13" t="n">
        <v>1</v>
      </c>
      <c r="M167" s="13" t="b">
        <v>1</v>
      </c>
      <c r="N167" s="13" t="b">
        <v>0</v>
      </c>
      <c r="O167" s="13" t="inlineStr">
        <is>
          <t>n/a - already covered</t>
        </is>
      </c>
    </row>
    <row r="168">
      <c r="A168" s="13" t="inlineStr">
        <is>
          <t>01.1.6.4.5</t>
        </is>
      </c>
      <c r="B168" s="13" t="inlineStr">
        <is>
          <t>Strawberries, fresh</t>
        </is>
      </c>
      <c r="C168" s="13" t="inlineStr">
        <is>
          <t>01.1.6</t>
        </is>
      </c>
      <c r="D168" s="13" t="inlineStr">
        <is>
          <t>ok</t>
        </is>
      </c>
      <c r="E168" s="13" t="inlineStr">
        <is>
          <t>ok</t>
        </is>
      </c>
      <c r="F168" s="13" t="inlineStr"/>
      <c r="G168" s="13" t="inlineStr"/>
      <c r="H168" s="13" t="inlineStr"/>
      <c r="I168" s="13" t="n">
        <v>201</v>
      </c>
      <c r="J168" s="13" t="inlineStr"/>
      <c r="K168" s="13" t="n">
        <v>21</v>
      </c>
      <c r="L168" s="13" t="n">
        <v>5</v>
      </c>
      <c r="M168" s="13" t="b">
        <v>1</v>
      </c>
      <c r="N168" s="13" t="b">
        <v>0</v>
      </c>
      <c r="O168" s="13" t="inlineStr">
        <is>
          <t>n/a - already covered</t>
        </is>
      </c>
    </row>
    <row r="169">
      <c r="A169" s="13" t="inlineStr">
        <is>
          <t>01.1.6.4.6</t>
        </is>
      </c>
      <c r="B169" s="13" t="inlineStr">
        <is>
          <t>Blueberries, fresh</t>
        </is>
      </c>
      <c r="C169" s="13" t="inlineStr">
        <is>
          <t>01.1.6</t>
        </is>
      </c>
      <c r="D169" s="13" t="inlineStr">
        <is>
          <t>ok</t>
        </is>
      </c>
      <c r="E169" s="13" t="inlineStr">
        <is>
          <t>ok</t>
        </is>
      </c>
      <c r="F169" s="13" t="inlineStr"/>
      <c r="G169" s="13" t="inlineStr"/>
      <c r="H169" s="13" t="inlineStr"/>
      <c r="I169" s="13" t="n">
        <v>46</v>
      </c>
      <c r="J169" s="13" t="inlineStr"/>
      <c r="K169" s="13" t="n">
        <v>13</v>
      </c>
      <c r="L169" s="13" t="n">
        <v>3</v>
      </c>
      <c r="M169" s="13" t="b">
        <v>1</v>
      </c>
      <c r="N169" s="13" t="b">
        <v>0</v>
      </c>
      <c r="O169" s="13" t="inlineStr">
        <is>
          <t>n/a - already covered</t>
        </is>
      </c>
    </row>
    <row r="170">
      <c r="A170" s="13" t="inlineStr">
        <is>
          <t>01.1.6.5.1</t>
        </is>
      </c>
      <c r="B170" s="13" t="inlineStr">
        <is>
          <t>Grapes, fresh</t>
        </is>
      </c>
      <c r="C170" s="13" t="inlineStr">
        <is>
          <t>01.1.6</t>
        </is>
      </c>
      <c r="D170" s="13" t="inlineStr">
        <is>
          <t>ok</t>
        </is>
      </c>
      <c r="E170" s="13" t="inlineStr">
        <is>
          <t>ok</t>
        </is>
      </c>
      <c r="F170" s="13" t="inlineStr"/>
      <c r="G170" s="13" t="inlineStr"/>
      <c r="H170" s="13" t="inlineStr"/>
      <c r="I170" s="13" t="n">
        <v>596</v>
      </c>
      <c r="J170" s="13" t="inlineStr"/>
      <c r="K170" s="13" t="n">
        <v>22</v>
      </c>
      <c r="L170" s="13" t="n">
        <v>10</v>
      </c>
      <c r="M170" s="13" t="b">
        <v>1</v>
      </c>
      <c r="N170" s="13" t="b">
        <v>0</v>
      </c>
      <c r="O170" s="13" t="inlineStr">
        <is>
          <t>n/a - already covered</t>
        </is>
      </c>
    </row>
    <row r="171">
      <c r="A171" s="13" t="inlineStr">
        <is>
          <t>01.1.6.5.2</t>
        </is>
      </c>
      <c r="B171" s="13" t="inlineStr">
        <is>
          <t>Kiwi fruits, fresh</t>
        </is>
      </c>
      <c r="C171" s="13" t="inlineStr">
        <is>
          <t>01.1.6</t>
        </is>
      </c>
      <c r="D171" s="13" t="inlineStr">
        <is>
          <t>ok</t>
        </is>
      </c>
      <c r="E171" s="13" t="inlineStr">
        <is>
          <t>ok</t>
        </is>
      </c>
      <c r="F171" s="13" t="inlineStr"/>
      <c r="G171" s="13" t="inlineStr"/>
      <c r="H171" s="13" t="inlineStr"/>
      <c r="I171" s="13" t="n">
        <v>102</v>
      </c>
      <c r="J171" s="13" t="inlineStr"/>
      <c r="K171" s="13" t="n">
        <v>12</v>
      </c>
      <c r="L171" s="13" t="n">
        <v>10</v>
      </c>
      <c r="M171" s="13" t="b">
        <v>1</v>
      </c>
      <c r="N171" s="13" t="b">
        <v>0</v>
      </c>
      <c r="O171" s="13" t="inlineStr">
        <is>
          <t>n/a - already covered</t>
        </is>
      </c>
    </row>
    <row r="172">
      <c r="A172" s="13" t="inlineStr">
        <is>
          <t>01.1.6.5.3</t>
        </is>
      </c>
      <c r="B172" s="13" t="inlineStr">
        <is>
          <t>Cantaloupes and other melons, fresh</t>
        </is>
      </c>
      <c r="C172" s="13" t="inlineStr">
        <is>
          <t>01.1.6</t>
        </is>
      </c>
      <c r="D172" s="13" t="inlineStr">
        <is>
          <t>ok</t>
        </is>
      </c>
      <c r="E172" s="13" t="inlineStr">
        <is>
          <t>ok</t>
        </is>
      </c>
      <c r="F172" s="13" t="inlineStr"/>
      <c r="G172" s="13" t="inlineStr"/>
      <c r="H172" s="13" t="inlineStr"/>
      <c r="I172" s="13" t="n">
        <v>230</v>
      </c>
      <c r="J172" s="13" t="inlineStr"/>
      <c r="K172" s="13" t="n">
        <v>26</v>
      </c>
      <c r="L172" s="13" t="n">
        <v>6</v>
      </c>
      <c r="M172" s="13" t="b">
        <v>1</v>
      </c>
      <c r="N172" s="13" t="b">
        <v>0</v>
      </c>
      <c r="O172" s="13" t="inlineStr">
        <is>
          <t>n/a - already covered</t>
        </is>
      </c>
    </row>
    <row r="173">
      <c r="A173" s="13" t="inlineStr">
        <is>
          <t>01.1.6.5.4</t>
        </is>
      </c>
      <c r="B173" s="13" t="inlineStr">
        <is>
          <t>Watermelons, fresh</t>
        </is>
      </c>
      <c r="C173" s="13" t="inlineStr">
        <is>
          <t>01.1.6</t>
        </is>
      </c>
      <c r="D173" s="13" t="inlineStr">
        <is>
          <t>ok</t>
        </is>
      </c>
      <c r="E173" s="13" t="inlineStr">
        <is>
          <t>ok</t>
        </is>
      </c>
      <c r="F173" s="13" t="inlineStr"/>
      <c r="G173" s="13" t="inlineStr"/>
      <c r="H173" s="13" t="inlineStr"/>
      <c r="I173" s="13" t="n">
        <v>199</v>
      </c>
      <c r="J173" s="13" t="inlineStr"/>
      <c r="K173" s="13" t="n">
        <v>21</v>
      </c>
      <c r="L173" s="13" t="n">
        <v>3</v>
      </c>
      <c r="M173" s="13" t="b">
        <v>1</v>
      </c>
      <c r="N173" s="13" t="b">
        <v>0</v>
      </c>
      <c r="O173" s="13" t="inlineStr">
        <is>
          <t>n/a - already covered</t>
        </is>
      </c>
    </row>
    <row r="174">
      <c r="A174" s="13" t="inlineStr">
        <is>
          <t>01.1.6.5.5</t>
        </is>
      </c>
      <c r="B174" s="13" t="inlineStr">
        <is>
          <t>Persimmons, fresh</t>
        </is>
      </c>
      <c r="C174" s="13" t="inlineStr">
        <is>
          <t>01.1.6</t>
        </is>
      </c>
      <c r="D174" s="13" t="inlineStr">
        <is>
          <t>ok</t>
        </is>
      </c>
      <c r="E174" s="13" t="inlineStr">
        <is>
          <t>sourcing_gap</t>
        </is>
      </c>
      <c r="F174" s="13" t="inlineStr">
        <is>
          <t>thin_present</t>
        </is>
      </c>
      <c r="G174" s="13" t="inlineStr">
        <is>
          <t>sourcing</t>
        </is>
      </c>
      <c r="H174" s="13" t="inlineStr">
        <is>
          <t>recovered — listed in MISSING_CODES but now classified into the build</t>
        </is>
      </c>
      <c r="I174" s="13" t="n">
        <v>37</v>
      </c>
      <c r="J174" s="13" t="n">
        <v>13</v>
      </c>
      <c r="K174" s="13" t="n">
        <v>10</v>
      </c>
      <c r="L174" s="13" t="n">
        <v>1</v>
      </c>
      <c r="M174" s="13" t="b">
        <v>1</v>
      </c>
      <c r="N174" s="13" t="b">
        <v>0</v>
      </c>
      <c r="O174" s="13" t="inlineStr">
        <is>
          <t>n/a - already covered</t>
        </is>
      </c>
    </row>
    <row r="175">
      <c r="A175" s="13" t="inlineStr">
        <is>
          <t>01.1.6.6.0</t>
        </is>
      </c>
      <c r="B175" s="13" t="inlineStr">
        <is>
          <t>Fruits, frozen</t>
        </is>
      </c>
      <c r="C175" s="13" t="inlineStr">
        <is>
          <t>01.1.6</t>
        </is>
      </c>
      <c r="D175" s="13" t="inlineStr">
        <is>
          <t>ok</t>
        </is>
      </c>
      <c r="E175" s="13" t="inlineStr">
        <is>
          <t>ok</t>
        </is>
      </c>
      <c r="F175" s="13" t="inlineStr"/>
      <c r="G175" s="13" t="inlineStr"/>
      <c r="H175" s="13" t="inlineStr"/>
      <c r="I175" s="13" t="n">
        <v>490</v>
      </c>
      <c r="J175" s="13" t="inlineStr"/>
      <c r="K175" s="13" t="n">
        <v>63</v>
      </c>
      <c r="L175" s="13" t="n">
        <v>11</v>
      </c>
      <c r="M175" s="13" t="b">
        <v>1</v>
      </c>
      <c r="N175" s="13" t="b">
        <v>0</v>
      </c>
      <c r="O175" s="13" t="inlineStr">
        <is>
          <t>n/a - already covered</t>
        </is>
      </c>
    </row>
    <row r="176">
      <c r="A176" s="13" t="inlineStr">
        <is>
          <t>01.1.6.7.1</t>
        </is>
      </c>
      <c r="B176" s="13" t="inlineStr">
        <is>
          <t>Raisins</t>
        </is>
      </c>
      <c r="C176" s="13" t="inlineStr">
        <is>
          <t>01.1.6</t>
        </is>
      </c>
      <c r="D176" s="13" t="inlineStr">
        <is>
          <t>ok</t>
        </is>
      </c>
      <c r="E176" s="13" t="inlineStr">
        <is>
          <t>ok</t>
        </is>
      </c>
      <c r="F176" s="13" t="inlineStr"/>
      <c r="G176" s="13" t="inlineStr"/>
      <c r="H176" s="13" t="inlineStr"/>
      <c r="I176" s="13" t="n">
        <v>160</v>
      </c>
      <c r="J176" s="13" t="inlineStr"/>
      <c r="K176" s="13" t="n">
        <v>17</v>
      </c>
      <c r="L176" s="13" t="n">
        <v>7</v>
      </c>
      <c r="M176" s="13" t="b">
        <v>1</v>
      </c>
      <c r="N176" s="13" t="b">
        <v>0</v>
      </c>
      <c r="O176" s="13" t="inlineStr">
        <is>
          <t>n/a - already covered</t>
        </is>
      </c>
    </row>
    <row r="177">
      <c r="A177" s="13" t="inlineStr">
        <is>
          <t>01.1.6.7.2</t>
        </is>
      </c>
      <c r="B177" s="13" t="inlineStr">
        <is>
          <t>Prunes</t>
        </is>
      </c>
      <c r="C177" s="13" t="inlineStr">
        <is>
          <t>01.1.6</t>
        </is>
      </c>
      <c r="D177" s="13" t="inlineStr">
        <is>
          <t>ok</t>
        </is>
      </c>
      <c r="E177" s="13" t="inlineStr">
        <is>
          <t>ok</t>
        </is>
      </c>
      <c r="F177" s="13" t="inlineStr"/>
      <c r="G177" s="13" t="inlineStr"/>
      <c r="H177" s="13" t="inlineStr"/>
      <c r="I177" s="13" t="n">
        <v>128</v>
      </c>
      <c r="J177" s="13" t="inlineStr"/>
      <c r="K177" s="13" t="n">
        <v>22</v>
      </c>
      <c r="L177" s="13" t="n">
        <v>10</v>
      </c>
      <c r="M177" s="13" t="b">
        <v>1</v>
      </c>
      <c r="N177" s="13" t="b">
        <v>0</v>
      </c>
      <c r="O177" s="13" t="inlineStr">
        <is>
          <t>n/a - already covered</t>
        </is>
      </c>
    </row>
    <row r="178">
      <c r="A178" s="13" t="inlineStr">
        <is>
          <t>01.1.6.7.9</t>
        </is>
      </c>
      <c r="B178" s="13" t="inlineStr">
        <is>
          <t>Other dried fruit</t>
        </is>
      </c>
      <c r="C178" s="13" t="inlineStr">
        <is>
          <t>01.1.6</t>
        </is>
      </c>
      <c r="D178" s="13" t="inlineStr">
        <is>
          <t>ok</t>
        </is>
      </c>
      <c r="E178" s="13" t="inlineStr">
        <is>
          <t>ok</t>
        </is>
      </c>
      <c r="F178" s="13" t="inlineStr"/>
      <c r="G178" s="13" t="inlineStr"/>
      <c r="H178" s="13" t="inlineStr"/>
      <c r="I178" s="13" t="n">
        <v>2999</v>
      </c>
      <c r="J178" s="13" t="inlineStr"/>
      <c r="K178" s="13" t="n">
        <v>138</v>
      </c>
      <c r="L178" s="13" t="n">
        <v>20</v>
      </c>
      <c r="M178" s="13" t="b">
        <v>1</v>
      </c>
      <c r="N178" s="13" t="b">
        <v>0</v>
      </c>
      <c r="O178" s="13" t="inlineStr">
        <is>
          <t>n/a - already covered</t>
        </is>
      </c>
    </row>
    <row r="179">
      <c r="A179" s="13" t="inlineStr">
        <is>
          <t>01.1.6.8.1</t>
        </is>
      </c>
      <c r="B179" s="13" t="inlineStr">
        <is>
          <t>Almonds, in shell or shelled</t>
        </is>
      </c>
      <c r="C179" s="13" t="inlineStr">
        <is>
          <t>01.1.6</t>
        </is>
      </c>
      <c r="D179" s="13" t="inlineStr">
        <is>
          <t>ok</t>
        </is>
      </c>
      <c r="E179" s="13" t="inlineStr">
        <is>
          <t>ok</t>
        </is>
      </c>
      <c r="F179" s="13" t="inlineStr"/>
      <c r="G179" s="13" t="inlineStr"/>
      <c r="H179" s="13" t="inlineStr"/>
      <c r="I179" s="13" t="n">
        <v>25</v>
      </c>
      <c r="J179" s="13" t="inlineStr"/>
      <c r="K179" s="13" t="n">
        <v>18</v>
      </c>
      <c r="L179" s="13" t="n">
        <v>4</v>
      </c>
      <c r="M179" s="13" t="b">
        <v>1</v>
      </c>
      <c r="N179" s="13" t="b">
        <v>0</v>
      </c>
      <c r="O179" s="13" t="inlineStr">
        <is>
          <t>n/a - already covered</t>
        </is>
      </c>
    </row>
    <row r="180">
      <c r="A180" s="13" t="inlineStr">
        <is>
          <t>01.1.6.8.2</t>
        </is>
      </c>
      <c r="B180" s="13" t="inlineStr">
        <is>
          <t>Cashew nuts, in shell or shelled</t>
        </is>
      </c>
      <c r="C180" s="13" t="inlineStr">
        <is>
          <t>01.1.6</t>
        </is>
      </c>
      <c r="D180" s="13" t="inlineStr">
        <is>
          <t>ok</t>
        </is>
      </c>
      <c r="E180" s="13" t="inlineStr">
        <is>
          <t>ok</t>
        </is>
      </c>
      <c r="F180" s="13" t="inlineStr"/>
      <c r="G180" s="13" t="inlineStr"/>
      <c r="H180" s="13" t="inlineStr"/>
      <c r="I180" s="13" t="n">
        <v>15</v>
      </c>
      <c r="J180" s="13" t="inlineStr"/>
      <c r="K180" s="13" t="n">
        <v>10</v>
      </c>
      <c r="L180" s="13" t="n">
        <v>1</v>
      </c>
      <c r="M180" s="13" t="b">
        <v>1</v>
      </c>
      <c r="N180" s="13" t="b">
        <v>0</v>
      </c>
      <c r="O180" s="13" t="inlineStr">
        <is>
          <t>n/a - already covered</t>
        </is>
      </c>
    </row>
    <row r="181">
      <c r="A181" s="13" t="inlineStr">
        <is>
          <t>01.1.6.8.3</t>
        </is>
      </c>
      <c r="B181" s="13" t="inlineStr">
        <is>
          <t>Chestnuts, in shell or shelled</t>
        </is>
      </c>
      <c r="C181" s="13" t="inlineStr">
        <is>
          <t>01.1.6</t>
        </is>
      </c>
      <c r="D181" s="13" t="inlineStr">
        <is>
          <t>ok</t>
        </is>
      </c>
      <c r="E181" s="13" t="inlineStr">
        <is>
          <t>ok</t>
        </is>
      </c>
      <c r="F181" s="13" t="inlineStr"/>
      <c r="G181" s="13" t="inlineStr"/>
      <c r="H181" s="13" t="inlineStr"/>
      <c r="I181" s="13" t="n">
        <v>152</v>
      </c>
      <c r="J181" s="13" t="inlineStr"/>
      <c r="K181" s="13" t="n">
        <v>30</v>
      </c>
      <c r="L181" s="13" t="n">
        <v>2</v>
      </c>
      <c r="M181" s="13" t="b">
        <v>1</v>
      </c>
      <c r="N181" s="13" t="b">
        <v>0</v>
      </c>
      <c r="O181" s="13" t="inlineStr">
        <is>
          <t>n/a - already covered</t>
        </is>
      </c>
    </row>
    <row r="182">
      <c r="A182" s="13" t="inlineStr">
        <is>
          <t>01.1.6.8.4</t>
        </is>
      </c>
      <c r="B182" s="13" t="inlineStr">
        <is>
          <t>Hazelnuts, in shell or shelled</t>
        </is>
      </c>
      <c r="C182" s="13" t="inlineStr">
        <is>
          <t>01.1.6</t>
        </is>
      </c>
      <c r="D182" s="13" t="inlineStr">
        <is>
          <t>ok</t>
        </is>
      </c>
      <c r="E182" s="13" t="inlineStr">
        <is>
          <t>ok</t>
        </is>
      </c>
      <c r="F182" s="13" t="inlineStr"/>
      <c r="G182" s="13" t="inlineStr"/>
      <c r="H182" s="13" t="inlineStr"/>
      <c r="I182" s="13" t="n">
        <v>26</v>
      </c>
      <c r="J182" s="13" t="inlineStr"/>
      <c r="K182" s="13" t="n">
        <v>16</v>
      </c>
      <c r="L182" s="13" t="n">
        <v>3</v>
      </c>
      <c r="M182" s="13" t="b">
        <v>1</v>
      </c>
      <c r="N182" s="13" t="b">
        <v>0</v>
      </c>
      <c r="O182" s="13" t="inlineStr">
        <is>
          <t>n/a - already covered</t>
        </is>
      </c>
    </row>
    <row r="183">
      <c r="A183" s="13" t="inlineStr">
        <is>
          <t>01.1.6.8.5</t>
        </is>
      </c>
      <c r="B183" s="13" t="inlineStr">
        <is>
          <t>Pistachios, in shell or shelled</t>
        </is>
      </c>
      <c r="C183" s="13" t="inlineStr">
        <is>
          <t>01.1.6</t>
        </is>
      </c>
      <c r="D183" s="13" t="inlineStr">
        <is>
          <t>ok</t>
        </is>
      </c>
      <c r="E183" s="13" t="inlineStr">
        <is>
          <t>ok</t>
        </is>
      </c>
      <c r="F183" s="13" t="inlineStr"/>
      <c r="G183" s="13" t="inlineStr"/>
      <c r="H183" s="13" t="inlineStr"/>
      <c r="I183" s="13" t="n">
        <v>44</v>
      </c>
      <c r="J183" s="13" t="inlineStr"/>
      <c r="K183" s="13" t="n">
        <v>11</v>
      </c>
      <c r="L183" s="13" t="n">
        <v>1</v>
      </c>
      <c r="M183" s="13" t="b">
        <v>1</v>
      </c>
      <c r="N183" s="13" t="b">
        <v>0</v>
      </c>
      <c r="O183" s="13" t="inlineStr">
        <is>
          <t>n/a - already covered</t>
        </is>
      </c>
    </row>
    <row r="184">
      <c r="A184" s="13" t="inlineStr">
        <is>
          <t>01.1.6.8.6</t>
        </is>
      </c>
      <c r="B184" s="13" t="inlineStr">
        <is>
          <t>Walnuts, in shell or shelled</t>
        </is>
      </c>
      <c r="C184" s="13" t="inlineStr">
        <is>
          <t>01.1.6</t>
        </is>
      </c>
      <c r="D184" s="13" t="inlineStr">
        <is>
          <t>ok</t>
        </is>
      </c>
      <c r="E184" s="13" t="inlineStr">
        <is>
          <t>ok</t>
        </is>
      </c>
      <c r="F184" s="13" t="inlineStr"/>
      <c r="G184" s="13" t="inlineStr"/>
      <c r="H184" s="13" t="inlineStr"/>
      <c r="I184" s="13" t="n">
        <v>14</v>
      </c>
      <c r="J184" s="13" t="inlineStr"/>
      <c r="K184" s="13" t="n">
        <v>10</v>
      </c>
      <c r="L184" s="13" t="n">
        <v>3</v>
      </c>
      <c r="M184" s="13" t="b">
        <v>1</v>
      </c>
      <c r="N184" s="13" t="b">
        <v>0</v>
      </c>
      <c r="O184" s="13" t="inlineStr">
        <is>
          <t>n/a - already covered</t>
        </is>
      </c>
    </row>
    <row r="185">
      <c r="A185" s="13" t="inlineStr">
        <is>
          <t>01.1.6.8.7</t>
        </is>
      </c>
      <c r="B185" s="13" t="inlineStr">
        <is>
          <t>Brazil nuts, in shell or shelled</t>
        </is>
      </c>
      <c r="C185" s="13" t="inlineStr">
        <is>
          <t>01.1.6</t>
        </is>
      </c>
      <c r="D185" s="13" t="inlineStr">
        <is>
          <t>ok</t>
        </is>
      </c>
      <c r="E185" s="13" t="inlineStr">
        <is>
          <t>ok</t>
        </is>
      </c>
      <c r="F185" s="13" t="inlineStr"/>
      <c r="G185" s="13" t="inlineStr"/>
      <c r="H185" s="13" t="inlineStr"/>
      <c r="I185" s="13" t="n">
        <v>46</v>
      </c>
      <c r="J185" s="13" t="inlineStr"/>
      <c r="K185" s="13" t="n">
        <v>14</v>
      </c>
      <c r="L185" s="13" t="n">
        <v>4</v>
      </c>
      <c r="M185" s="13" t="b">
        <v>1</v>
      </c>
      <c r="N185" s="13" t="b">
        <v>0</v>
      </c>
      <c r="O185" s="13" t="inlineStr">
        <is>
          <t>n/a - already covered</t>
        </is>
      </c>
    </row>
    <row r="186">
      <c r="A186" s="13" t="inlineStr">
        <is>
          <t>01.1.6.8.8</t>
        </is>
      </c>
      <c r="B186" s="13" t="inlineStr">
        <is>
          <t>Groundnuts, in shell or shelled</t>
        </is>
      </c>
      <c r="C186" s="13" t="inlineStr">
        <is>
          <t>01.1.6</t>
        </is>
      </c>
      <c r="D186" s="13" t="inlineStr">
        <is>
          <t>ok</t>
        </is>
      </c>
      <c r="E186" s="13" t="inlineStr">
        <is>
          <t>sourcing_gap</t>
        </is>
      </c>
      <c r="F186" s="13" t="inlineStr">
        <is>
          <t>thin_present</t>
        </is>
      </c>
      <c r="G186" s="13" t="inlineStr">
        <is>
          <t>sourcing</t>
        </is>
      </c>
      <c r="H186" s="13" t="inlineStr">
        <is>
          <t>recovered — listed in MISSING_CODES but now classified into the build</t>
        </is>
      </c>
      <c r="I186" s="13" t="n">
        <v>8</v>
      </c>
      <c r="J186" s="13" t="n">
        <v>7</v>
      </c>
      <c r="K186" s="13" t="n">
        <v>8</v>
      </c>
      <c r="L186" s="13" t="n">
        <v>1</v>
      </c>
      <c r="M186" s="13" t="b">
        <v>1</v>
      </c>
      <c r="N186" s="13" t="b">
        <v>0</v>
      </c>
      <c r="O186" s="13" t="inlineStr">
        <is>
          <t>n/a - already covered</t>
        </is>
      </c>
    </row>
    <row r="187">
      <c r="A187" s="13" t="inlineStr">
        <is>
          <t>01.1.6.9.1</t>
        </is>
      </c>
      <c r="B187" s="13" t="inlineStr">
        <is>
          <t>Fruit and nuts flour</t>
        </is>
      </c>
      <c r="C187" s="13" t="inlineStr">
        <is>
          <t>01.1.6</t>
        </is>
      </c>
      <c r="D187" s="13" t="inlineStr">
        <is>
          <t>ok</t>
        </is>
      </c>
      <c r="E187" s="13" t="inlineStr">
        <is>
          <t>ok</t>
        </is>
      </c>
      <c r="F187" s="13" t="inlineStr"/>
      <c r="G187" s="13" t="inlineStr"/>
      <c r="H187" s="13" t="inlineStr"/>
      <c r="I187" s="13" t="n">
        <v>109</v>
      </c>
      <c r="J187" s="13" t="inlineStr"/>
      <c r="K187" s="13" t="n">
        <v>22</v>
      </c>
      <c r="L187" s="13" t="n">
        <v>4</v>
      </c>
      <c r="M187" s="13" t="b">
        <v>1</v>
      </c>
      <c r="N187" s="13" t="b">
        <v>0</v>
      </c>
      <c r="O187" s="13" t="inlineStr">
        <is>
          <t>n/a - already covered</t>
        </is>
      </c>
    </row>
    <row r="188">
      <c r="A188" s="13" t="inlineStr">
        <is>
          <t>01.1.6.9.2</t>
        </is>
      </c>
      <c r="B188" s="13" t="inlineStr">
        <is>
          <t>Canned fruit</t>
        </is>
      </c>
      <c r="C188" s="13" t="inlineStr">
        <is>
          <t>01.1.6</t>
        </is>
      </c>
      <c r="D188" s="13" t="inlineStr">
        <is>
          <t>ok</t>
        </is>
      </c>
      <c r="E188" s="13" t="inlineStr">
        <is>
          <t>ok</t>
        </is>
      </c>
      <c r="F188" s="13" t="inlineStr"/>
      <c r="G188" s="13" t="inlineStr"/>
      <c r="H188" s="13" t="inlineStr"/>
      <c r="I188" s="13" t="n">
        <v>142</v>
      </c>
      <c r="J188" s="13" t="inlineStr"/>
      <c r="K188" s="13" t="n">
        <v>22</v>
      </c>
      <c r="L188" s="13" t="n">
        <v>8</v>
      </c>
      <c r="M188" s="13" t="b">
        <v>1</v>
      </c>
      <c r="N188" s="13" t="b">
        <v>0</v>
      </c>
      <c r="O188" s="13" t="inlineStr">
        <is>
          <t>n/a - already covered</t>
        </is>
      </c>
    </row>
    <row r="189">
      <c r="A189" s="13" t="inlineStr">
        <is>
          <t>01.1.6.9.3</t>
        </is>
      </c>
      <c r="B189" s="13" t="inlineStr">
        <is>
          <t>Homogenized fruit preparations</t>
        </is>
      </c>
      <c r="C189" s="13" t="inlineStr">
        <is>
          <t>01.1.6</t>
        </is>
      </c>
      <c r="D189" s="13" t="inlineStr">
        <is>
          <t>ok</t>
        </is>
      </c>
      <c r="E189" s="13" t="inlineStr">
        <is>
          <t>ok</t>
        </is>
      </c>
      <c r="F189" s="13" t="inlineStr"/>
      <c r="G189" s="13" t="inlineStr"/>
      <c r="H189" s="13" t="inlineStr"/>
      <c r="I189" s="13" t="n">
        <v>12</v>
      </c>
      <c r="J189" s="13" t="inlineStr"/>
      <c r="K189" s="13" t="n">
        <v>11</v>
      </c>
      <c r="L189" s="13" t="n">
        <v>1</v>
      </c>
      <c r="M189" s="13" t="b">
        <v>1</v>
      </c>
      <c r="N189" s="13" t="b">
        <v>0</v>
      </c>
      <c r="O189" s="13" t="inlineStr">
        <is>
          <t>n/a - already covered</t>
        </is>
      </c>
    </row>
    <row r="190">
      <c r="A190" s="13" t="inlineStr">
        <is>
          <t>01.1.6.9.4</t>
        </is>
      </c>
      <c r="B190" s="13" t="inlineStr">
        <is>
          <t>Nuts and seeds roasted, salted or otherwise prepared</t>
        </is>
      </c>
      <c r="C190" s="13" t="inlineStr">
        <is>
          <t>01.1.6</t>
        </is>
      </c>
      <c r="D190" s="13" t="inlineStr">
        <is>
          <t>ok</t>
        </is>
      </c>
      <c r="E190" s="13" t="inlineStr">
        <is>
          <t>ok</t>
        </is>
      </c>
      <c r="F190" s="13" t="inlineStr"/>
      <c r="G190" s="13" t="inlineStr"/>
      <c r="H190" s="13" t="inlineStr"/>
      <c r="I190" s="13" t="n">
        <v>4997</v>
      </c>
      <c r="J190" s="13" t="inlineStr"/>
      <c r="K190" s="13" t="n">
        <v>208</v>
      </c>
      <c r="L190" s="13" t="n">
        <v>19</v>
      </c>
      <c r="M190" s="13" t="b">
        <v>1</v>
      </c>
      <c r="N190" s="13" t="b">
        <v>0</v>
      </c>
      <c r="O190" s="13" t="inlineStr">
        <is>
          <t>n/a - already covered</t>
        </is>
      </c>
    </row>
    <row r="191">
      <c r="A191" s="13" t="inlineStr">
        <is>
          <t>01.1.7.1.1</t>
        </is>
      </c>
      <c r="B191" s="13" t="inlineStr">
        <is>
          <t>Asparagus, fresh or chilled</t>
        </is>
      </c>
      <c r="C191" s="13" t="inlineStr">
        <is>
          <t>01.1.7</t>
        </is>
      </c>
      <c r="D191" s="13" t="inlineStr">
        <is>
          <t>ok</t>
        </is>
      </c>
      <c r="E191" s="13" t="inlineStr">
        <is>
          <t>ok</t>
        </is>
      </c>
      <c r="F191" s="13" t="inlineStr"/>
      <c r="G191" s="13" t="inlineStr"/>
      <c r="H191" s="13" t="inlineStr"/>
      <c r="I191" s="13" t="n">
        <v>65</v>
      </c>
      <c r="J191" s="13" t="inlineStr"/>
      <c r="K191" s="13" t="n">
        <v>14</v>
      </c>
      <c r="L191" s="13" t="n">
        <v>2</v>
      </c>
      <c r="M191" s="13" t="b">
        <v>1</v>
      </c>
      <c r="N191" s="13" t="b">
        <v>0</v>
      </c>
      <c r="O191" s="13" t="inlineStr">
        <is>
          <t>n/a - already covered</t>
        </is>
      </c>
    </row>
    <row r="192">
      <c r="A192" s="13" t="inlineStr">
        <is>
          <t>01.1.7.1.2</t>
        </is>
      </c>
      <c r="B192" s="13" t="inlineStr">
        <is>
          <t>Cabbages, fresh or chilled</t>
        </is>
      </c>
      <c r="C192" s="13" t="inlineStr">
        <is>
          <t>01.1.7</t>
        </is>
      </c>
      <c r="D192" s="13" t="inlineStr">
        <is>
          <t>ok</t>
        </is>
      </c>
      <c r="E192" s="13" t="inlineStr">
        <is>
          <t>ok</t>
        </is>
      </c>
      <c r="F192" s="13" t="inlineStr"/>
      <c r="G192" s="13" t="inlineStr"/>
      <c r="H192" s="13" t="inlineStr"/>
      <c r="I192" s="13" t="n">
        <v>405</v>
      </c>
      <c r="J192" s="13" t="inlineStr"/>
      <c r="K192" s="13" t="n">
        <v>46</v>
      </c>
      <c r="L192" s="13" t="n">
        <v>10</v>
      </c>
      <c r="M192" s="13" t="b">
        <v>1</v>
      </c>
      <c r="N192" s="13" t="b">
        <v>0</v>
      </c>
      <c r="O192" s="13" t="inlineStr">
        <is>
          <t>n/a - already covered</t>
        </is>
      </c>
    </row>
    <row r="193">
      <c r="A193" s="13" t="inlineStr">
        <is>
          <t>01.1.7.1.3</t>
        </is>
      </c>
      <c r="B193" s="13" t="inlineStr">
        <is>
          <t>Cauliflowers and broccoli, fresh or chilled</t>
        </is>
      </c>
      <c r="C193" s="13" t="inlineStr">
        <is>
          <t>01.1.7</t>
        </is>
      </c>
      <c r="D193" s="13" t="inlineStr">
        <is>
          <t>ok</t>
        </is>
      </c>
      <c r="E193" s="13" t="inlineStr">
        <is>
          <t>ok</t>
        </is>
      </c>
      <c r="F193" s="13" t="inlineStr"/>
      <c r="G193" s="13" t="inlineStr"/>
      <c r="H193" s="13" t="inlineStr"/>
      <c r="I193" s="13" t="n">
        <v>137</v>
      </c>
      <c r="J193" s="13" t="inlineStr"/>
      <c r="K193" s="13" t="n">
        <v>18</v>
      </c>
      <c r="L193" s="13" t="n">
        <v>3</v>
      </c>
      <c r="M193" s="13" t="b">
        <v>1</v>
      </c>
      <c r="N193" s="13" t="b">
        <v>0</v>
      </c>
      <c r="O193" s="13" t="inlineStr">
        <is>
          <t>n/a - already covered</t>
        </is>
      </c>
    </row>
    <row r="194">
      <c r="A194" s="13" t="inlineStr">
        <is>
          <t>01.1.7.1.4</t>
        </is>
      </c>
      <c r="B194" s="13" t="inlineStr">
        <is>
          <t>Lettuce and chicory, fresh or chilled</t>
        </is>
      </c>
      <c r="C194" s="13" t="inlineStr">
        <is>
          <t>01.1.7</t>
        </is>
      </c>
      <c r="D194" s="13" t="inlineStr">
        <is>
          <t>ok</t>
        </is>
      </c>
      <c r="E194" s="13" t="inlineStr">
        <is>
          <t>ok</t>
        </is>
      </c>
      <c r="F194" s="13" t="inlineStr"/>
      <c r="G194" s="13" t="inlineStr"/>
      <c r="H194" s="13" t="inlineStr"/>
      <c r="I194" s="13" t="n">
        <v>691</v>
      </c>
      <c r="J194" s="13" t="inlineStr"/>
      <c r="K194" s="13" t="n">
        <v>46</v>
      </c>
      <c r="L194" s="13" t="n">
        <v>16</v>
      </c>
      <c r="M194" s="13" t="b">
        <v>1</v>
      </c>
      <c r="N194" s="13" t="b">
        <v>0</v>
      </c>
      <c r="O194" s="13" t="inlineStr">
        <is>
          <t>n/a - already covered</t>
        </is>
      </c>
    </row>
    <row r="195">
      <c r="A195" s="13" t="inlineStr">
        <is>
          <t>01.1.7.1.5</t>
        </is>
      </c>
      <c r="B195" s="13" t="inlineStr">
        <is>
          <t>Spinach, fresh or chilled</t>
        </is>
      </c>
      <c r="C195" s="13" t="inlineStr">
        <is>
          <t>01.1.7</t>
        </is>
      </c>
      <c r="D195" s="13" t="inlineStr">
        <is>
          <t>ok</t>
        </is>
      </c>
      <c r="E195" s="13" t="inlineStr">
        <is>
          <t>ok</t>
        </is>
      </c>
      <c r="F195" s="13" t="inlineStr"/>
      <c r="G195" s="13" t="inlineStr"/>
      <c r="H195" s="13" t="inlineStr"/>
      <c r="I195" s="13" t="n">
        <v>229</v>
      </c>
      <c r="J195" s="13" t="inlineStr"/>
      <c r="K195" s="13" t="n">
        <v>21</v>
      </c>
      <c r="L195" s="13" t="n">
        <v>7</v>
      </c>
      <c r="M195" s="13" t="b">
        <v>1</v>
      </c>
      <c r="N195" s="13" t="b">
        <v>0</v>
      </c>
      <c r="O195" s="13" t="inlineStr">
        <is>
          <t>n/a - already covered</t>
        </is>
      </c>
    </row>
    <row r="196">
      <c r="A196" s="13" t="inlineStr">
        <is>
          <t>01.1.7.1.9</t>
        </is>
      </c>
      <c r="B196" s="13" t="inlineStr">
        <is>
          <t>Other leafy or stem vegetables, fresh or chilled</t>
        </is>
      </c>
      <c r="C196" s="13" t="inlineStr">
        <is>
          <t>01.1.7</t>
        </is>
      </c>
      <c r="D196" s="13" t="inlineStr">
        <is>
          <t>ok</t>
        </is>
      </c>
      <c r="E196" s="13" t="inlineStr">
        <is>
          <t>ok</t>
        </is>
      </c>
      <c r="F196" s="13" t="inlineStr"/>
      <c r="G196" s="13" t="inlineStr"/>
      <c r="H196" s="13" t="inlineStr">
        <is>
          <t>recovered — listed in MISSING_CODES but now classified into the build</t>
        </is>
      </c>
      <c r="I196" s="13" t="n">
        <v>29</v>
      </c>
      <c r="J196" s="13" t="inlineStr"/>
      <c r="K196" s="13" t="n">
        <v>54</v>
      </c>
      <c r="L196" s="13" t="n">
        <v>1</v>
      </c>
      <c r="M196" s="13" t="b">
        <v>1</v>
      </c>
      <c r="N196" s="13" t="b">
        <v>0</v>
      </c>
      <c r="O196" s="13" t="inlineStr">
        <is>
          <t>n/a - already covered</t>
        </is>
      </c>
    </row>
    <row r="197">
      <c r="A197" s="13" t="inlineStr">
        <is>
          <t>01.1.7.2.1</t>
        </is>
      </c>
      <c r="B197" s="13" t="inlineStr">
        <is>
          <t>Chillies and peppers, fresh or chilled</t>
        </is>
      </c>
      <c r="C197" s="13" t="inlineStr">
        <is>
          <t>01.1.7</t>
        </is>
      </c>
      <c r="D197" s="13" t="inlineStr">
        <is>
          <t>ok</t>
        </is>
      </c>
      <c r="E197" s="13" t="inlineStr">
        <is>
          <t>ok</t>
        </is>
      </c>
      <c r="F197" s="13" t="inlineStr"/>
      <c r="G197" s="13" t="inlineStr"/>
      <c r="H197" s="13" t="inlineStr"/>
      <c r="I197" s="13" t="n">
        <v>442</v>
      </c>
      <c r="J197" s="13" t="inlineStr"/>
      <c r="K197" s="13" t="n">
        <v>40</v>
      </c>
      <c r="L197" s="13" t="n">
        <v>9</v>
      </c>
      <c r="M197" s="13" t="b">
        <v>1</v>
      </c>
      <c r="N197" s="13" t="b">
        <v>0</v>
      </c>
      <c r="O197" s="13" t="inlineStr">
        <is>
          <t>n/a - already covered</t>
        </is>
      </c>
    </row>
    <row r="198">
      <c r="A198" s="13" t="inlineStr">
        <is>
          <t>01.1.7.2.2</t>
        </is>
      </c>
      <c r="B198" s="13" t="inlineStr">
        <is>
          <t>Cucumbers and gherkins, fresh or chilled</t>
        </is>
      </c>
      <c r="C198" s="13" t="inlineStr">
        <is>
          <t>01.1.7</t>
        </is>
      </c>
      <c r="D198" s="13" t="inlineStr">
        <is>
          <t>ok</t>
        </is>
      </c>
      <c r="E198" s="13" t="inlineStr">
        <is>
          <t>ok</t>
        </is>
      </c>
      <c r="F198" s="13" t="inlineStr"/>
      <c r="G198" s="13" t="inlineStr"/>
      <c r="H198" s="13" t="inlineStr"/>
      <c r="I198" s="13" t="n">
        <v>397</v>
      </c>
      <c r="J198" s="13" t="inlineStr"/>
      <c r="K198" s="13" t="n">
        <v>32</v>
      </c>
      <c r="L198" s="13" t="n">
        <v>10</v>
      </c>
      <c r="M198" s="13" t="b">
        <v>1</v>
      </c>
      <c r="N198" s="13" t="b">
        <v>0</v>
      </c>
      <c r="O198" s="13" t="inlineStr">
        <is>
          <t>n/a - already covered</t>
        </is>
      </c>
    </row>
    <row r="199">
      <c r="A199" s="13" t="inlineStr">
        <is>
          <t>01.1.7.2.3</t>
        </is>
      </c>
      <c r="B199" s="13" t="inlineStr">
        <is>
          <t>Eggplants (aubergines), fresh or chilled</t>
        </is>
      </c>
      <c r="C199" s="13" t="inlineStr">
        <is>
          <t>01.1.7</t>
        </is>
      </c>
      <c r="D199" s="13" t="inlineStr">
        <is>
          <t>ok</t>
        </is>
      </c>
      <c r="E199" s="13" t="inlineStr">
        <is>
          <t>ok</t>
        </is>
      </c>
      <c r="F199" s="13" t="inlineStr"/>
      <c r="G199" s="13" t="inlineStr"/>
      <c r="H199" s="13" t="inlineStr"/>
      <c r="I199" s="13" t="n">
        <v>68</v>
      </c>
      <c r="J199" s="13" t="inlineStr"/>
      <c r="K199" s="13" t="n">
        <v>15</v>
      </c>
      <c r="L199" s="13" t="n">
        <v>5</v>
      </c>
      <c r="M199" s="13" t="b">
        <v>1</v>
      </c>
      <c r="N199" s="13" t="b">
        <v>0</v>
      </c>
      <c r="O199" s="13" t="inlineStr">
        <is>
          <t>n/a - already covered</t>
        </is>
      </c>
    </row>
    <row r="200">
      <c r="A200" s="13" t="inlineStr">
        <is>
          <t>01.1.7.2.4</t>
        </is>
      </c>
      <c r="B200" s="13" t="inlineStr">
        <is>
          <t>Tomatoes, fresh or chilled</t>
        </is>
      </c>
      <c r="C200" s="13" t="inlineStr">
        <is>
          <t>01.1.7</t>
        </is>
      </c>
      <c r="D200" s="13" t="inlineStr">
        <is>
          <t>ok</t>
        </is>
      </c>
      <c r="E200" s="13" t="inlineStr">
        <is>
          <t>ok</t>
        </is>
      </c>
      <c r="F200" s="13" t="inlineStr"/>
      <c r="G200" s="13" t="inlineStr"/>
      <c r="H200" s="13" t="inlineStr"/>
      <c r="I200" s="13" t="n">
        <v>1692</v>
      </c>
      <c r="J200" s="13" t="inlineStr"/>
      <c r="K200" s="13" t="n">
        <v>47</v>
      </c>
      <c r="L200" s="13" t="n">
        <v>36</v>
      </c>
      <c r="M200" s="13" t="b">
        <v>1</v>
      </c>
      <c r="N200" s="13" t="b">
        <v>0</v>
      </c>
      <c r="O200" s="13" t="inlineStr">
        <is>
          <t>n/a - already covered</t>
        </is>
      </c>
    </row>
    <row r="201">
      <c r="A201" s="13" t="inlineStr">
        <is>
          <t>01.1.7.2.5</t>
        </is>
      </c>
      <c r="B201" s="13" t="inlineStr">
        <is>
          <t>Pumpkins, squash and gourds, fresh or chilled</t>
        </is>
      </c>
      <c r="C201" s="13" t="inlineStr">
        <is>
          <t>01.1.7</t>
        </is>
      </c>
      <c r="D201" s="13" t="inlineStr">
        <is>
          <t>ok</t>
        </is>
      </c>
      <c r="E201" s="13" t="inlineStr">
        <is>
          <t>ok</t>
        </is>
      </c>
      <c r="F201" s="13" t="inlineStr"/>
      <c r="G201" s="13" t="inlineStr"/>
      <c r="H201" s="13" t="inlineStr"/>
      <c r="I201" s="13" t="n">
        <v>444</v>
      </c>
      <c r="J201" s="13" t="inlineStr"/>
      <c r="K201" s="13" t="n">
        <v>51</v>
      </c>
      <c r="L201" s="13" t="n">
        <v>8</v>
      </c>
      <c r="M201" s="13" t="b">
        <v>1</v>
      </c>
      <c r="N201" s="13" t="b">
        <v>0</v>
      </c>
      <c r="O201" s="13" t="inlineStr">
        <is>
          <t>n/a - already covered</t>
        </is>
      </c>
    </row>
    <row r="202">
      <c r="A202" s="13" t="inlineStr">
        <is>
          <t>01.1.7.2.6</t>
        </is>
      </c>
      <c r="B202" s="13" t="inlineStr">
        <is>
          <t>Okra, fresh or chilled</t>
        </is>
      </c>
      <c r="C202" s="13" t="inlineStr">
        <is>
          <t>01.1.7</t>
        </is>
      </c>
      <c r="D202" s="13" t="inlineStr">
        <is>
          <t>ok</t>
        </is>
      </c>
      <c r="E202" s="13" t="inlineStr">
        <is>
          <t>ok</t>
        </is>
      </c>
      <c r="F202" s="13" t="inlineStr"/>
      <c r="G202" s="13" t="inlineStr"/>
      <c r="H202" s="13" t="inlineStr"/>
      <c r="I202" s="13" t="n">
        <v>119</v>
      </c>
      <c r="J202" s="13" t="inlineStr"/>
      <c r="K202" s="13" t="n">
        <v>16</v>
      </c>
      <c r="L202" s="13" t="n">
        <v>3</v>
      </c>
      <c r="M202" s="13" t="b">
        <v>1</v>
      </c>
      <c r="N202" s="13" t="b">
        <v>0</v>
      </c>
      <c r="O202" s="13" t="inlineStr">
        <is>
          <t>n/a - already covered</t>
        </is>
      </c>
    </row>
    <row r="203">
      <c r="A203" s="13" t="inlineStr">
        <is>
          <t>01.1.7.3.2</t>
        </is>
      </c>
      <c r="B203" s="13" t="inlineStr">
        <is>
          <t>String beans, fresh or chilled</t>
        </is>
      </c>
      <c r="C203" s="13" t="inlineStr">
        <is>
          <t>01.1.7</t>
        </is>
      </c>
      <c r="D203" s="13" t="inlineStr">
        <is>
          <t>ok</t>
        </is>
      </c>
      <c r="E203" s="13" t="inlineStr">
        <is>
          <t>ok</t>
        </is>
      </c>
      <c r="F203" s="13" t="inlineStr"/>
      <c r="G203" s="13" t="inlineStr"/>
      <c r="H203" s="13" t="inlineStr"/>
      <c r="I203" s="13" t="n">
        <v>261</v>
      </c>
      <c r="J203" s="13" t="inlineStr"/>
      <c r="K203" s="13" t="n">
        <v>46</v>
      </c>
      <c r="L203" s="13" t="n">
        <v>4</v>
      </c>
      <c r="M203" s="13" t="b">
        <v>1</v>
      </c>
      <c r="N203" s="13" t="b">
        <v>0</v>
      </c>
      <c r="O203" s="13" t="inlineStr">
        <is>
          <t>n/a - already covered</t>
        </is>
      </c>
    </row>
    <row r="204">
      <c r="A204" s="13" t="inlineStr">
        <is>
          <t>01.1.7.3.3</t>
        </is>
      </c>
      <c r="B204" s="13" t="inlineStr">
        <is>
          <t>Peas, fresh or chilled</t>
        </is>
      </c>
      <c r="C204" s="13" t="inlineStr">
        <is>
          <t>01.1.7</t>
        </is>
      </c>
      <c r="D204" s="13" t="inlineStr">
        <is>
          <t>ok</t>
        </is>
      </c>
      <c r="E204" s="13" t="inlineStr">
        <is>
          <t>ok</t>
        </is>
      </c>
      <c r="F204" s="13" t="inlineStr"/>
      <c r="G204" s="13" t="inlineStr"/>
      <c r="H204" s="13" t="inlineStr"/>
      <c r="I204" s="13" t="n">
        <v>102</v>
      </c>
      <c r="J204" s="13" t="inlineStr"/>
      <c r="K204" s="13" t="n">
        <v>14</v>
      </c>
      <c r="L204" s="13" t="n">
        <v>2</v>
      </c>
      <c r="M204" s="13" t="b">
        <v>1</v>
      </c>
      <c r="N204" s="13" t="b">
        <v>0</v>
      </c>
      <c r="O204" s="13" t="inlineStr">
        <is>
          <t>n/a - already covered</t>
        </is>
      </c>
    </row>
    <row r="205">
      <c r="A205" s="13" t="inlineStr">
        <is>
          <t>01.1.7.3.5</t>
        </is>
      </c>
      <c r="B205" s="13" t="inlineStr">
        <is>
          <t>Soya beans, fresh or chilled</t>
        </is>
      </c>
      <c r="C205" s="13" t="inlineStr">
        <is>
          <t>01.1.7</t>
        </is>
      </c>
      <c r="D205" s="13" t="inlineStr">
        <is>
          <t>ok</t>
        </is>
      </c>
      <c r="E205" s="13" t="inlineStr">
        <is>
          <t>sourcing_gap</t>
        </is>
      </c>
      <c r="F205" s="13" t="inlineStr">
        <is>
          <t>thin_present</t>
        </is>
      </c>
      <c r="G205" s="13" t="inlineStr">
        <is>
          <t>gold_labeling</t>
        </is>
      </c>
      <c r="H205" s="13" t="inlineStr">
        <is>
          <t>recovered — listed in MISSING_CODES but now classified into the build</t>
        </is>
      </c>
      <c r="I205" s="13" t="n">
        <v>12</v>
      </c>
      <c r="J205" s="13" t="n">
        <v>25</v>
      </c>
      <c r="K205" s="13" t="n">
        <v>11</v>
      </c>
      <c r="L205" s="13" t="n">
        <v>1</v>
      </c>
      <c r="M205" s="13" t="b">
        <v>1</v>
      </c>
      <c r="N205" s="13" t="b">
        <v>0</v>
      </c>
      <c r="O205" s="13" t="inlineStr">
        <is>
          <t>n/a - already covered</t>
        </is>
      </c>
    </row>
    <row r="206">
      <c r="A206" s="13" t="inlineStr">
        <is>
          <t>01.1.7.3.9</t>
        </is>
      </c>
      <c r="B206" s="13" t="inlineStr">
        <is>
          <t>Other green leguminous vegetables, fresh or chilled</t>
        </is>
      </c>
      <c r="C206" s="13" t="inlineStr">
        <is>
          <t>01.1.7</t>
        </is>
      </c>
      <c r="D206" s="13" t="inlineStr">
        <is>
          <t>ok</t>
        </is>
      </c>
      <c r="E206" s="13" t="inlineStr">
        <is>
          <t>ok</t>
        </is>
      </c>
      <c r="F206" s="13" t="inlineStr"/>
      <c r="G206" s="13" t="inlineStr"/>
      <c r="H206" s="13" t="inlineStr"/>
      <c r="I206" s="13" t="n">
        <v>18</v>
      </c>
      <c r="J206" s="13" t="inlineStr"/>
      <c r="K206" s="13" t="n">
        <v>16</v>
      </c>
      <c r="L206" s="13" t="n">
        <v>2</v>
      </c>
      <c r="M206" s="13" t="b">
        <v>1</v>
      </c>
      <c r="N206" s="13" t="b">
        <v>0</v>
      </c>
      <c r="O206" s="13" t="inlineStr">
        <is>
          <t>n/a - already covered</t>
        </is>
      </c>
    </row>
    <row r="207">
      <c r="A207" s="13" t="inlineStr">
        <is>
          <t>01.1.7.4.1</t>
        </is>
      </c>
      <c r="B207" s="13" t="inlineStr">
        <is>
          <t>Carrots and turnips, fresh or chilled</t>
        </is>
      </c>
      <c r="C207" s="13" t="inlineStr">
        <is>
          <t>01.1.7</t>
        </is>
      </c>
      <c r="D207" s="13" t="inlineStr">
        <is>
          <t>ok</t>
        </is>
      </c>
      <c r="E207" s="13" t="inlineStr">
        <is>
          <t>ok</t>
        </is>
      </c>
      <c r="F207" s="13" t="inlineStr"/>
      <c r="G207" s="13" t="inlineStr"/>
      <c r="H207" s="13" t="inlineStr"/>
      <c r="I207" s="13" t="n">
        <v>436</v>
      </c>
      <c r="J207" s="13" t="inlineStr"/>
      <c r="K207" s="13" t="n">
        <v>36</v>
      </c>
      <c r="L207" s="13" t="n">
        <v>14</v>
      </c>
      <c r="M207" s="13" t="b">
        <v>1</v>
      </c>
      <c r="N207" s="13" t="b">
        <v>0</v>
      </c>
      <c r="O207" s="13" t="inlineStr">
        <is>
          <t>n/a - already covered</t>
        </is>
      </c>
    </row>
    <row r="208">
      <c r="A208" s="13" t="inlineStr">
        <is>
          <t>01.1.7.4.2</t>
        </is>
      </c>
      <c r="B208" s="13" t="inlineStr">
        <is>
          <t>Garlic, fresh or chilled</t>
        </is>
      </c>
      <c r="C208" s="13" t="inlineStr">
        <is>
          <t>01.1.7</t>
        </is>
      </c>
      <c r="D208" s="13" t="inlineStr">
        <is>
          <t>ok</t>
        </is>
      </c>
      <c r="E208" s="13" t="inlineStr">
        <is>
          <t>ok</t>
        </is>
      </c>
      <c r="F208" s="13" t="inlineStr"/>
      <c r="G208" s="13" t="inlineStr"/>
      <c r="H208" s="13" t="inlineStr"/>
      <c r="I208" s="13" t="n">
        <v>288</v>
      </c>
      <c r="J208" s="13" t="inlineStr"/>
      <c r="K208" s="13" t="n">
        <v>31</v>
      </c>
      <c r="L208" s="13" t="n">
        <v>10</v>
      </c>
      <c r="M208" s="13" t="b">
        <v>1</v>
      </c>
      <c r="N208" s="13" t="b">
        <v>0</v>
      </c>
      <c r="O208" s="13" t="inlineStr">
        <is>
          <t>n/a - already covered</t>
        </is>
      </c>
    </row>
    <row r="209">
      <c r="A209" s="13" t="inlineStr">
        <is>
          <t>01.1.7.4.3</t>
        </is>
      </c>
      <c r="B209" s="13" t="inlineStr">
        <is>
          <t>Onions and shallots, fresh or chilled</t>
        </is>
      </c>
      <c r="C209" s="13" t="inlineStr">
        <is>
          <t>01.1.7</t>
        </is>
      </c>
      <c r="D209" s="13" t="inlineStr">
        <is>
          <t>ok</t>
        </is>
      </c>
      <c r="E209" s="13" t="inlineStr">
        <is>
          <t>ok</t>
        </is>
      </c>
      <c r="F209" s="13" t="inlineStr"/>
      <c r="G209" s="13" t="inlineStr"/>
      <c r="H209" s="13" t="inlineStr"/>
      <c r="I209" s="13" t="n">
        <v>976</v>
      </c>
      <c r="J209" s="13" t="inlineStr"/>
      <c r="K209" s="13" t="n">
        <v>28</v>
      </c>
      <c r="L209" s="13" t="n">
        <v>37</v>
      </c>
      <c r="M209" s="13" t="b">
        <v>1</v>
      </c>
      <c r="N209" s="13" t="b">
        <v>0</v>
      </c>
      <c r="O209" s="13" t="inlineStr">
        <is>
          <t>n/a - already covered</t>
        </is>
      </c>
    </row>
    <row r="210">
      <c r="A210" s="13" t="inlineStr">
        <is>
          <t>01.1.7.4.4</t>
        </is>
      </c>
      <c r="B210" s="13" t="inlineStr">
        <is>
          <t>Leeks and other alliaceous vegetables, fresh or chilled</t>
        </is>
      </c>
      <c r="C210" s="13" t="inlineStr">
        <is>
          <t>01.1.7</t>
        </is>
      </c>
      <c r="D210" s="13" t="inlineStr">
        <is>
          <t>ok</t>
        </is>
      </c>
      <c r="E210" s="13" t="inlineStr">
        <is>
          <t>ok</t>
        </is>
      </c>
      <c r="F210" s="13" t="inlineStr"/>
      <c r="G210" s="13" t="inlineStr"/>
      <c r="H210" s="13" t="inlineStr"/>
      <c r="I210" s="13" t="n">
        <v>130</v>
      </c>
      <c r="J210" s="13" t="inlineStr"/>
      <c r="K210" s="13" t="n">
        <v>21</v>
      </c>
      <c r="L210" s="13" t="n">
        <v>2</v>
      </c>
      <c r="M210" s="13" t="b">
        <v>1</v>
      </c>
      <c r="N210" s="13" t="b">
        <v>0</v>
      </c>
      <c r="O210" s="13" t="inlineStr">
        <is>
          <t>n/a - already covered</t>
        </is>
      </c>
    </row>
    <row r="211">
      <c r="A211" s="13" t="inlineStr">
        <is>
          <t>01.1.7.4.5</t>
        </is>
      </c>
      <c r="B211" s="13" t="inlineStr">
        <is>
          <t>Mushrooms and truffles, fresh or chilled</t>
        </is>
      </c>
      <c r="C211" s="13" t="inlineStr">
        <is>
          <t>01.1.7</t>
        </is>
      </c>
      <c r="D211" s="13" t="inlineStr">
        <is>
          <t>ok</t>
        </is>
      </c>
      <c r="E211" s="13" t="inlineStr">
        <is>
          <t>ok</t>
        </is>
      </c>
      <c r="F211" s="13" t="inlineStr"/>
      <c r="G211" s="13" t="inlineStr"/>
      <c r="H211" s="13" t="inlineStr"/>
      <c r="I211" s="13" t="n">
        <v>946</v>
      </c>
      <c r="J211" s="13" t="inlineStr"/>
      <c r="K211" s="13" t="n">
        <v>47</v>
      </c>
      <c r="L211" s="13" t="n">
        <v>15</v>
      </c>
      <c r="M211" s="13" t="b">
        <v>1</v>
      </c>
      <c r="N211" s="13" t="b">
        <v>0</v>
      </c>
      <c r="O211" s="13" t="inlineStr">
        <is>
          <t>n/a - already covered</t>
        </is>
      </c>
    </row>
    <row r="212">
      <c r="A212" s="13" t="inlineStr">
        <is>
          <t>01.1.7.4.8</t>
        </is>
      </c>
      <c r="B212" s="13" t="inlineStr">
        <is>
          <t>Green maize (green corn)</t>
        </is>
      </c>
      <c r="C212" s="13" t="inlineStr">
        <is>
          <t>01.1.7</t>
        </is>
      </c>
      <c r="D212" s="13" t="inlineStr">
        <is>
          <t>ok</t>
        </is>
      </c>
      <c r="E212" s="13" t="inlineStr">
        <is>
          <t>ok</t>
        </is>
      </c>
      <c r="F212" s="13" t="inlineStr"/>
      <c r="G212" s="13" t="inlineStr"/>
      <c r="H212" s="13" t="inlineStr"/>
      <c r="I212" s="13" t="n">
        <v>295</v>
      </c>
      <c r="J212" s="13" t="inlineStr"/>
      <c r="K212" s="13" t="n">
        <v>41</v>
      </c>
      <c r="L212" s="13" t="n">
        <v>10</v>
      </c>
      <c r="M212" s="13" t="b">
        <v>1</v>
      </c>
      <c r="N212" s="13" t="b">
        <v>0</v>
      </c>
      <c r="O212" s="13" t="inlineStr">
        <is>
          <t>n/a - already covered</t>
        </is>
      </c>
    </row>
    <row r="213">
      <c r="A213" s="13" t="inlineStr">
        <is>
          <t>01.1.7.5.1</t>
        </is>
      </c>
      <c r="B213" s="13" t="inlineStr">
        <is>
          <t>Potatoes</t>
        </is>
      </c>
      <c r="C213" s="13" t="inlineStr">
        <is>
          <t>01.1.7</t>
        </is>
      </c>
      <c r="D213" s="13" t="inlineStr">
        <is>
          <t>ok</t>
        </is>
      </c>
      <c r="E213" s="13" t="inlineStr">
        <is>
          <t>ok</t>
        </is>
      </c>
      <c r="F213" s="13" t="inlineStr"/>
      <c r="G213" s="13" t="inlineStr"/>
      <c r="H213" s="13" t="inlineStr"/>
      <c r="I213" s="13" t="n">
        <v>1346</v>
      </c>
      <c r="J213" s="13" t="inlineStr"/>
      <c r="K213" s="13" t="n">
        <v>36</v>
      </c>
      <c r="L213" s="13" t="n">
        <v>37</v>
      </c>
      <c r="M213" s="13" t="b">
        <v>1</v>
      </c>
      <c r="N213" s="13" t="b">
        <v>0</v>
      </c>
      <c r="O213" s="13" t="inlineStr">
        <is>
          <t>n/a - already covered</t>
        </is>
      </c>
    </row>
    <row r="214">
      <c r="A214" s="13" t="inlineStr">
        <is>
          <t>01.1.7.5.2</t>
        </is>
      </c>
      <c r="B214" s="13" t="inlineStr">
        <is>
          <t>Sweet potatoes</t>
        </is>
      </c>
      <c r="C214" s="13" t="inlineStr">
        <is>
          <t>01.1.7</t>
        </is>
      </c>
      <c r="D214" s="13" t="inlineStr">
        <is>
          <t>ok</t>
        </is>
      </c>
      <c r="E214" s="13" t="inlineStr">
        <is>
          <t>ok</t>
        </is>
      </c>
      <c r="F214" s="13" t="inlineStr"/>
      <c r="G214" s="13" t="inlineStr"/>
      <c r="H214" s="13" t="inlineStr"/>
      <c r="I214" s="13" t="n">
        <v>48</v>
      </c>
      <c r="J214" s="13" t="inlineStr"/>
      <c r="K214" s="13" t="n">
        <v>24</v>
      </c>
      <c r="L214" s="13" t="n">
        <v>6</v>
      </c>
      <c r="M214" s="13" t="b">
        <v>1</v>
      </c>
      <c r="N214" s="13" t="b">
        <v>0</v>
      </c>
      <c r="O214" s="13" t="inlineStr">
        <is>
          <t>n/a - already covered</t>
        </is>
      </c>
    </row>
    <row r="215">
      <c r="A215" s="13" t="inlineStr">
        <is>
          <t>01.1.7.5.5</t>
        </is>
      </c>
      <c r="B215" s="13" t="inlineStr">
        <is>
          <t>Taro</t>
        </is>
      </c>
      <c r="C215" s="13" t="inlineStr">
        <is>
          <t>01.1.7</t>
        </is>
      </c>
      <c r="D215" s="13" t="inlineStr">
        <is>
          <t>ok</t>
        </is>
      </c>
      <c r="E215" s="13" t="inlineStr">
        <is>
          <t>ok</t>
        </is>
      </c>
      <c r="F215" s="13" t="inlineStr"/>
      <c r="G215" s="13" t="inlineStr"/>
      <c r="H215" s="13" t="inlineStr"/>
      <c r="I215" s="13" t="n">
        <v>6</v>
      </c>
      <c r="J215" s="13" t="inlineStr"/>
      <c r="K215" s="13" t="n">
        <v>12</v>
      </c>
      <c r="L215" s="13" t="n">
        <v>1</v>
      </c>
      <c r="M215" s="13" t="b">
        <v>1</v>
      </c>
      <c r="N215" s="13" t="b">
        <v>0</v>
      </c>
      <c r="O215" s="13" t="inlineStr">
        <is>
          <t>n/a - already covered</t>
        </is>
      </c>
    </row>
    <row r="216">
      <c r="A216" s="13" t="inlineStr">
        <is>
          <t>01.1.7.5.7</t>
        </is>
      </c>
      <c r="B216" s="13" t="inlineStr">
        <is>
          <t>Plantains and cooking bananas</t>
        </is>
      </c>
      <c r="C216" s="13" t="inlineStr">
        <is>
          <t>01.1.7</t>
        </is>
      </c>
      <c r="D216" s="13" t="inlineStr">
        <is>
          <t>ok</t>
        </is>
      </c>
      <c r="E216" s="13" t="inlineStr">
        <is>
          <t>ok</t>
        </is>
      </c>
      <c r="F216" s="13" t="inlineStr"/>
      <c r="G216" s="13" t="inlineStr"/>
      <c r="H216" s="13" t="inlineStr"/>
      <c r="I216" s="13" t="n">
        <v>81</v>
      </c>
      <c r="J216" s="13" t="inlineStr"/>
      <c r="K216" s="13" t="n">
        <v>10</v>
      </c>
      <c r="L216" s="13" t="n">
        <v>1</v>
      </c>
      <c r="M216" s="13" t="b">
        <v>1</v>
      </c>
      <c r="N216" s="13" t="b">
        <v>0</v>
      </c>
      <c r="O216" s="13" t="inlineStr">
        <is>
          <t>n/a - already covered</t>
        </is>
      </c>
    </row>
    <row r="217">
      <c r="A217" s="13" t="inlineStr">
        <is>
          <t>01.1.7.6.1</t>
        </is>
      </c>
      <c r="B217" s="13" t="inlineStr">
        <is>
          <t>Beans, dried</t>
        </is>
      </c>
      <c r="C217" s="13" t="inlineStr">
        <is>
          <t>01.1.7</t>
        </is>
      </c>
      <c r="D217" s="13" t="inlineStr">
        <is>
          <t>ok</t>
        </is>
      </c>
      <c r="E217" s="13" t="inlineStr">
        <is>
          <t>ok</t>
        </is>
      </c>
      <c r="F217" s="13" t="inlineStr"/>
      <c r="G217" s="13" t="inlineStr"/>
      <c r="H217" s="13" t="inlineStr"/>
      <c r="I217" s="13" t="n">
        <v>22</v>
      </c>
      <c r="J217" s="13" t="inlineStr"/>
      <c r="K217" s="13" t="n">
        <v>17</v>
      </c>
      <c r="L217" s="13" t="n">
        <v>2</v>
      </c>
      <c r="M217" s="13" t="b">
        <v>1</v>
      </c>
      <c r="N217" s="13" t="b">
        <v>0</v>
      </c>
      <c r="O217" s="13" t="inlineStr">
        <is>
          <t>n/a - already covered</t>
        </is>
      </c>
    </row>
    <row r="218">
      <c r="A218" s="13" t="inlineStr">
        <is>
          <t>01.1.7.6.4</t>
        </is>
      </c>
      <c r="B218" s="13" t="inlineStr">
        <is>
          <t>Lentils, dried</t>
        </is>
      </c>
      <c r="C218" s="13" t="inlineStr">
        <is>
          <t>01.1.7</t>
        </is>
      </c>
      <c r="D218" s="13" t="inlineStr">
        <is>
          <t>ok</t>
        </is>
      </c>
      <c r="E218" s="13" t="inlineStr">
        <is>
          <t>ok</t>
        </is>
      </c>
      <c r="F218" s="13" t="inlineStr"/>
      <c r="G218" s="13" t="inlineStr"/>
      <c r="H218" s="13" t="inlineStr"/>
      <c r="I218" s="13" t="n">
        <v>40</v>
      </c>
      <c r="J218" s="13" t="inlineStr"/>
      <c r="K218" s="13" t="n">
        <v>14</v>
      </c>
      <c r="L218" s="13" t="n">
        <v>3</v>
      </c>
      <c r="M218" s="13" t="b">
        <v>1</v>
      </c>
      <c r="N218" s="13" t="b">
        <v>0</v>
      </c>
      <c r="O218" s="13" t="inlineStr">
        <is>
          <t>n/a - already covered</t>
        </is>
      </c>
    </row>
    <row r="219">
      <c r="A219" s="13" t="inlineStr">
        <is>
          <t>01.1.7.6.5</t>
        </is>
      </c>
      <c r="B219" s="13" t="inlineStr">
        <is>
          <t>Peas, dried</t>
        </is>
      </c>
      <c r="C219" s="13" t="inlineStr">
        <is>
          <t>01.1.7</t>
        </is>
      </c>
      <c r="D219" s="13" t="inlineStr">
        <is>
          <t>ok</t>
        </is>
      </c>
      <c r="E219" s="13" t="inlineStr">
        <is>
          <t>ok</t>
        </is>
      </c>
      <c r="F219" s="13" t="inlineStr"/>
      <c r="G219" s="13" t="inlineStr"/>
      <c r="H219" s="13" t="inlineStr"/>
      <c r="I219" s="13" t="n">
        <v>26</v>
      </c>
      <c r="J219" s="13" t="inlineStr"/>
      <c r="K219" s="13" t="n">
        <v>11</v>
      </c>
      <c r="L219" s="13" t="n">
        <v>2</v>
      </c>
      <c r="M219" s="13" t="b">
        <v>1</v>
      </c>
      <c r="N219" s="13" t="b">
        <v>0</v>
      </c>
      <c r="O219" s="13" t="inlineStr">
        <is>
          <t>n/a - already covered</t>
        </is>
      </c>
    </row>
    <row r="220">
      <c r="A220" s="13" t="inlineStr">
        <is>
          <t>01.1.7.6.7</t>
        </is>
      </c>
      <c r="B220" s="13" t="inlineStr">
        <is>
          <t>Pigeon peas, dried</t>
        </is>
      </c>
      <c r="C220" s="13" t="inlineStr">
        <is>
          <t>01.1.7</t>
        </is>
      </c>
      <c r="D220" s="13" t="inlineStr">
        <is>
          <t>ok</t>
        </is>
      </c>
      <c r="E220" s="13" t="inlineStr">
        <is>
          <t>sourcing_gap</t>
        </is>
      </c>
      <c r="F220" s="13" t="inlineStr">
        <is>
          <t>thin_present</t>
        </is>
      </c>
      <c r="G220" s="13" t="inlineStr">
        <is>
          <t>sourcing</t>
        </is>
      </c>
      <c r="H220" s="13" t="inlineStr">
        <is>
          <t>recovered — listed in MISSING_CODES but now classified into the build</t>
        </is>
      </c>
      <c r="I220" s="13" t="n">
        <v>15</v>
      </c>
      <c r="J220" s="13" t="n">
        <v>16</v>
      </c>
      <c r="K220" s="13" t="n">
        <v>7</v>
      </c>
      <c r="L220" s="13" t="n">
        <v>2</v>
      </c>
      <c r="M220" s="13" t="b">
        <v>1</v>
      </c>
      <c r="N220" s="13" t="b">
        <v>0</v>
      </c>
      <c r="O220" s="13" t="inlineStr">
        <is>
          <t>n/a - already covered</t>
        </is>
      </c>
    </row>
    <row r="221">
      <c r="A221" s="13" t="inlineStr">
        <is>
          <t>01.1.7.7.0</t>
        </is>
      </c>
      <c r="B221" s="13" t="inlineStr">
        <is>
          <t>Other vegetables, tubers, plantains and cooking bananas, dried and dehydrated</t>
        </is>
      </c>
      <c r="C221" s="13" t="inlineStr">
        <is>
          <t>01.1.7</t>
        </is>
      </c>
      <c r="D221" s="13" t="inlineStr">
        <is>
          <t>ok</t>
        </is>
      </c>
      <c r="E221" s="13" t="inlineStr">
        <is>
          <t>ok</t>
        </is>
      </c>
      <c r="F221" s="13" t="inlineStr"/>
      <c r="G221" s="13" t="inlineStr"/>
      <c r="H221" s="13" t="inlineStr"/>
      <c r="I221" s="13" t="n">
        <v>390</v>
      </c>
      <c r="J221" s="13" t="inlineStr"/>
      <c r="K221" s="13" t="n">
        <v>18</v>
      </c>
      <c r="L221" s="13" t="n">
        <v>1</v>
      </c>
      <c r="M221" s="13" t="b">
        <v>1</v>
      </c>
      <c r="N221" s="13" t="b">
        <v>0</v>
      </c>
      <c r="O221" s="13" t="inlineStr">
        <is>
          <t>n/a - already covered</t>
        </is>
      </c>
    </row>
    <row r="222">
      <c r="A222" s="13" t="inlineStr">
        <is>
          <t>01.1.7.8.0</t>
        </is>
      </c>
      <c r="B222" s="13" t="inlineStr">
        <is>
          <t>Vegetables, tubers, plantains and cooking bananas, frozen</t>
        </is>
      </c>
      <c r="C222" s="13" t="inlineStr">
        <is>
          <t>01.1.7</t>
        </is>
      </c>
      <c r="D222" s="13" t="inlineStr">
        <is>
          <t>ok</t>
        </is>
      </c>
      <c r="E222" s="13" t="inlineStr">
        <is>
          <t>ok</t>
        </is>
      </c>
      <c r="F222" s="13" t="inlineStr"/>
      <c r="G222" s="13" t="inlineStr"/>
      <c r="H222" s="13" t="inlineStr"/>
      <c r="I222" s="13" t="n">
        <v>652</v>
      </c>
      <c r="J222" s="13" t="inlineStr"/>
      <c r="K222" s="13" t="n">
        <v>77</v>
      </c>
      <c r="L222" s="13" t="n">
        <v>19</v>
      </c>
      <c r="M222" s="13" t="b">
        <v>1</v>
      </c>
      <c r="N222" s="13" t="b">
        <v>0</v>
      </c>
      <c r="O222" s="13" t="inlineStr">
        <is>
          <t>n/a - already covered</t>
        </is>
      </c>
    </row>
    <row r="223">
      <c r="A223" s="13" t="inlineStr">
        <is>
          <t>01.1.7.9.1</t>
        </is>
      </c>
      <c r="B223" s="13" t="inlineStr">
        <is>
          <t>Flour of vegetables, pulses, tubers, plantains and cooking bananas</t>
        </is>
      </c>
      <c r="C223" s="13" t="inlineStr">
        <is>
          <t>01.1.7</t>
        </is>
      </c>
      <c r="D223" s="13" t="inlineStr">
        <is>
          <t>ok</t>
        </is>
      </c>
      <c r="E223" s="13" t="inlineStr">
        <is>
          <t>ok</t>
        </is>
      </c>
      <c r="F223" s="13" t="inlineStr"/>
      <c r="G223" s="13" t="inlineStr"/>
      <c r="H223" s="13" t="inlineStr"/>
      <c r="I223" s="13" t="n">
        <v>23</v>
      </c>
      <c r="J223" s="13" t="inlineStr"/>
      <c r="K223" s="13" t="n">
        <v>25</v>
      </c>
      <c r="L223" s="13" t="n">
        <v>3</v>
      </c>
      <c r="M223" s="13" t="b">
        <v>1</v>
      </c>
      <c r="N223" s="13" t="b">
        <v>0</v>
      </c>
      <c r="O223" s="13" t="inlineStr">
        <is>
          <t>n/a - already covered</t>
        </is>
      </c>
    </row>
    <row r="224">
      <c r="A224" s="13" t="inlineStr">
        <is>
          <t>01.1.7.9.2</t>
        </is>
      </c>
      <c r="B224" s="13" t="inlineStr">
        <is>
          <t>Canned vegetables</t>
        </is>
      </c>
      <c r="C224" s="13" t="inlineStr">
        <is>
          <t>01.1.7</t>
        </is>
      </c>
      <c r="D224" s="13" t="inlineStr">
        <is>
          <t>ok</t>
        </is>
      </c>
      <c r="E224" s="13" t="inlineStr">
        <is>
          <t>ok</t>
        </is>
      </c>
      <c r="F224" s="13" t="inlineStr"/>
      <c r="G224" s="13" t="inlineStr"/>
      <c r="H224" s="13" t="inlineStr"/>
      <c r="I224" s="13" t="n">
        <v>799</v>
      </c>
      <c r="J224" s="13" t="inlineStr"/>
      <c r="K224" s="13" t="n">
        <v>90</v>
      </c>
      <c r="L224" s="13" t="n">
        <v>18</v>
      </c>
      <c r="M224" s="13" t="b">
        <v>1</v>
      </c>
      <c r="N224" s="13" t="b">
        <v>0</v>
      </c>
      <c r="O224" s="13" t="inlineStr">
        <is>
          <t>n/a - already covered</t>
        </is>
      </c>
    </row>
    <row r="225">
      <c r="A225" s="13" t="inlineStr">
        <is>
          <t>01.1.7.9.3</t>
        </is>
      </c>
      <c r="B225" s="13" t="inlineStr">
        <is>
          <t>Preserved olives</t>
        </is>
      </c>
      <c r="C225" s="13" t="inlineStr">
        <is>
          <t>01.1.7</t>
        </is>
      </c>
      <c r="D225" s="13" t="inlineStr">
        <is>
          <t>ok</t>
        </is>
      </c>
      <c r="E225" s="13" t="inlineStr">
        <is>
          <t>ok</t>
        </is>
      </c>
      <c r="F225" s="13" t="inlineStr"/>
      <c r="G225" s="13" t="inlineStr"/>
      <c r="H225" s="13" t="inlineStr"/>
      <c r="I225" s="13" t="n">
        <v>562</v>
      </c>
      <c r="J225" s="13" t="inlineStr"/>
      <c r="K225" s="13" t="n">
        <v>66</v>
      </c>
      <c r="L225" s="13" t="n">
        <v>13</v>
      </c>
      <c r="M225" s="13" t="b">
        <v>1</v>
      </c>
      <c r="N225" s="13" t="b">
        <v>0</v>
      </c>
      <c r="O225" s="13" t="inlineStr">
        <is>
          <t>n/a - already covered</t>
        </is>
      </c>
    </row>
    <row r="226">
      <c r="A226" s="13" t="inlineStr">
        <is>
          <t>01.1.7.9.4</t>
        </is>
      </c>
      <c r="B226" s="13" t="inlineStr">
        <is>
          <t>Chipped potatoes, frozen</t>
        </is>
      </c>
      <c r="C226" s="13" t="inlineStr">
        <is>
          <t>01.1.7</t>
        </is>
      </c>
      <c r="D226" s="13" t="inlineStr">
        <is>
          <t>ok</t>
        </is>
      </c>
      <c r="E226" s="13" t="inlineStr">
        <is>
          <t>ok</t>
        </is>
      </c>
      <c r="F226" s="13" t="inlineStr"/>
      <c r="G226" s="13" t="inlineStr"/>
      <c r="H226" s="13" t="inlineStr"/>
      <c r="I226" s="13" t="n">
        <v>500</v>
      </c>
      <c r="J226" s="13" t="inlineStr"/>
      <c r="K226" s="13" t="n">
        <v>27</v>
      </c>
      <c r="L226" s="13" t="n">
        <v>11</v>
      </c>
      <c r="M226" s="13" t="b">
        <v>1</v>
      </c>
      <c r="N226" s="13" t="b">
        <v>0</v>
      </c>
      <c r="O226" s="13" t="inlineStr">
        <is>
          <t>n/a - already covered</t>
        </is>
      </c>
    </row>
    <row r="227">
      <c r="A227" s="13" t="inlineStr">
        <is>
          <t>01.1.7.9.5</t>
        </is>
      </c>
      <c r="B227" s="13" t="inlineStr">
        <is>
          <t>Tofu</t>
        </is>
      </c>
      <c r="C227" s="13" t="inlineStr">
        <is>
          <t>01.1.7</t>
        </is>
      </c>
      <c r="D227" s="13" t="inlineStr">
        <is>
          <t>ok</t>
        </is>
      </c>
      <c r="E227" s="13" t="inlineStr">
        <is>
          <t>ok</t>
        </is>
      </c>
      <c r="F227" s="13" t="inlineStr"/>
      <c r="G227" s="13" t="inlineStr"/>
      <c r="H227" s="13" t="inlineStr"/>
      <c r="I227" s="13" t="n">
        <v>799</v>
      </c>
      <c r="J227" s="13" t="inlineStr"/>
      <c r="K227" s="13" t="n">
        <v>32</v>
      </c>
      <c r="L227" s="13" t="n">
        <v>13</v>
      </c>
      <c r="M227" s="13" t="b">
        <v>1</v>
      </c>
      <c r="N227" s="13" t="b">
        <v>0</v>
      </c>
      <c r="O227" s="13" t="inlineStr">
        <is>
          <t>n/a - already covered</t>
        </is>
      </c>
    </row>
    <row r="228">
      <c r="A228" s="13" t="inlineStr">
        <is>
          <t>01.1.7.9.6</t>
        </is>
      </c>
      <c r="B228" s="13" t="inlineStr">
        <is>
          <t>Tempeh, soy meat and burgers</t>
        </is>
      </c>
      <c r="C228" s="13" t="inlineStr">
        <is>
          <t>01.1.7</t>
        </is>
      </c>
      <c r="D228" s="13" t="inlineStr">
        <is>
          <t>ok</t>
        </is>
      </c>
      <c r="E228" s="13" t="inlineStr">
        <is>
          <t>ok</t>
        </is>
      </c>
      <c r="F228" s="13" t="inlineStr"/>
      <c r="G228" s="13" t="inlineStr"/>
      <c r="H228" s="13" t="inlineStr"/>
      <c r="I228" s="13" t="n">
        <v>219</v>
      </c>
      <c r="J228" s="13" t="inlineStr"/>
      <c r="K228" s="13" t="n">
        <v>22</v>
      </c>
      <c r="L228" s="13" t="n">
        <v>9</v>
      </c>
      <c r="M228" s="13" t="b">
        <v>1</v>
      </c>
      <c r="N228" s="13" t="b">
        <v>0</v>
      </c>
      <c r="O228" s="13" t="inlineStr">
        <is>
          <t>n/a - already covered</t>
        </is>
      </c>
    </row>
    <row r="229">
      <c r="A229" s="13" t="inlineStr">
        <is>
          <t>01.1.7.9.9</t>
        </is>
      </c>
      <c r="B229" s="13" t="inlineStr">
        <is>
          <t>Other vegetables, pulses and tubers preserved or processed</t>
        </is>
      </c>
      <c r="C229" s="13" t="inlineStr">
        <is>
          <t>01.1.7</t>
        </is>
      </c>
      <c r="D229" s="13" t="inlineStr">
        <is>
          <t>ok</t>
        </is>
      </c>
      <c r="E229" s="13" t="inlineStr">
        <is>
          <t>ok</t>
        </is>
      </c>
      <c r="F229" s="13" t="inlineStr"/>
      <c r="G229" s="13" t="inlineStr"/>
      <c r="H229" s="13" t="inlineStr"/>
      <c r="I229" s="13" t="n">
        <v>9055</v>
      </c>
      <c r="J229" s="13" t="inlineStr"/>
      <c r="K229" s="13" t="n">
        <v>263</v>
      </c>
      <c r="L229" s="13" t="n">
        <v>21</v>
      </c>
      <c r="M229" s="13" t="b">
        <v>1</v>
      </c>
      <c r="N229" s="13" t="b">
        <v>0</v>
      </c>
      <c r="O229" s="13" t="inlineStr">
        <is>
          <t>n/a - already covered</t>
        </is>
      </c>
    </row>
    <row r="230">
      <c r="A230" s="13" t="inlineStr">
        <is>
          <t>01.1.8.1.1</t>
        </is>
      </c>
      <c r="B230" s="13" t="inlineStr">
        <is>
          <t>Cane sugar</t>
        </is>
      </c>
      <c r="C230" s="13" t="inlineStr">
        <is>
          <t>01.1.8</t>
        </is>
      </c>
      <c r="D230" s="13" t="inlineStr">
        <is>
          <t>ok</t>
        </is>
      </c>
      <c r="E230" s="13" t="inlineStr">
        <is>
          <t>ok</t>
        </is>
      </c>
      <c r="F230" s="13" t="inlineStr"/>
      <c r="G230" s="13" t="inlineStr"/>
      <c r="H230" s="13" t="inlineStr"/>
      <c r="I230" s="13" t="n">
        <v>832</v>
      </c>
      <c r="J230" s="13" t="inlineStr"/>
      <c r="K230" s="13" t="n">
        <v>31</v>
      </c>
      <c r="L230" s="13" t="n">
        <v>16</v>
      </c>
      <c r="M230" s="13" t="b">
        <v>1</v>
      </c>
      <c r="N230" s="13" t="b">
        <v>0</v>
      </c>
      <c r="O230" s="13" t="inlineStr">
        <is>
          <t>n/a - already covered</t>
        </is>
      </c>
    </row>
    <row r="231">
      <c r="A231" s="13" t="inlineStr">
        <is>
          <t>01.1.8.1.2</t>
        </is>
      </c>
      <c r="B231" s="13" t="inlineStr">
        <is>
          <t>Beet sugar</t>
        </is>
      </c>
      <c r="C231" s="13" t="inlineStr">
        <is>
          <t>01.1.8</t>
        </is>
      </c>
      <c r="D231" s="13" t="inlineStr">
        <is>
          <t>ok</t>
        </is>
      </c>
      <c r="E231" s="13" t="inlineStr">
        <is>
          <t>sourcing_gap</t>
        </is>
      </c>
      <c r="F231" s="13" t="inlineStr">
        <is>
          <t>thin_present</t>
        </is>
      </c>
      <c r="G231" s="13" t="inlineStr">
        <is>
          <t>sourcing</t>
        </is>
      </c>
      <c r="H231" s="13" t="inlineStr">
        <is>
          <t>recovered — listed in MISSING_CODES but now classified into the build</t>
        </is>
      </c>
      <c r="I231" s="13" t="n">
        <v>6</v>
      </c>
      <c r="J231" s="13" t="n">
        <v>9</v>
      </c>
      <c r="K231" s="13" t="n">
        <v>6</v>
      </c>
      <c r="L231" s="13" t="n">
        <v>1</v>
      </c>
      <c r="M231" s="13" t="b">
        <v>1</v>
      </c>
      <c r="N231" s="13" t="b">
        <v>0</v>
      </c>
      <c r="O231" s="13" t="inlineStr">
        <is>
          <t>n/a - already covered</t>
        </is>
      </c>
    </row>
    <row r="232">
      <c r="A232" s="13" t="inlineStr">
        <is>
          <t>01.1.8.2.0</t>
        </is>
      </c>
      <c r="B232" s="13" t="inlineStr">
        <is>
          <t>Other sugars and sugar substitutes</t>
        </is>
      </c>
      <c r="C232" s="13" t="inlineStr">
        <is>
          <t>01.1.8</t>
        </is>
      </c>
      <c r="D232" s="13" t="inlineStr">
        <is>
          <t>ok</t>
        </is>
      </c>
      <c r="E232" s="13" t="inlineStr">
        <is>
          <t>ok</t>
        </is>
      </c>
      <c r="F232" s="13" t="inlineStr"/>
      <c r="G232" s="13" t="inlineStr"/>
      <c r="H232" s="13" t="inlineStr"/>
      <c r="I232" s="13" t="n">
        <v>191</v>
      </c>
      <c r="J232" s="13" t="inlineStr"/>
      <c r="K232" s="13" t="n">
        <v>16</v>
      </c>
      <c r="L232" s="13" t="n">
        <v>8</v>
      </c>
      <c r="M232" s="13" t="b">
        <v>1</v>
      </c>
      <c r="N232" s="13" t="b">
        <v>0</v>
      </c>
      <c r="O232" s="13" t="inlineStr">
        <is>
          <t>n/a - already covered</t>
        </is>
      </c>
    </row>
    <row r="233">
      <c r="A233" s="13" t="inlineStr">
        <is>
          <t>01.1.8.3.1</t>
        </is>
      </c>
      <c r="B233" s="13" t="inlineStr">
        <is>
          <t>Honey</t>
        </is>
      </c>
      <c r="C233" s="13" t="inlineStr">
        <is>
          <t>01.1.8</t>
        </is>
      </c>
      <c r="D233" s="13" t="inlineStr">
        <is>
          <t>ok</t>
        </is>
      </c>
      <c r="E233" s="13" t="inlineStr">
        <is>
          <t>ok</t>
        </is>
      </c>
      <c r="F233" s="13" t="inlineStr"/>
      <c r="G233" s="13" t="inlineStr"/>
      <c r="H233" s="13" t="inlineStr"/>
      <c r="I233" s="13" t="n">
        <v>1911</v>
      </c>
      <c r="J233" s="13" t="inlineStr"/>
      <c r="K233" s="13" t="n">
        <v>55</v>
      </c>
      <c r="L233" s="13" t="n">
        <v>17</v>
      </c>
      <c r="M233" s="13" t="b">
        <v>1</v>
      </c>
      <c r="N233" s="13" t="b">
        <v>0</v>
      </c>
      <c r="O233" s="13" t="inlineStr">
        <is>
          <t>n/a - already covered</t>
        </is>
      </c>
    </row>
    <row r="234">
      <c r="A234" s="13" t="inlineStr">
        <is>
          <t>01.1.8.3.9</t>
        </is>
      </c>
      <c r="B234" s="13" t="inlineStr">
        <is>
          <t>Other jams, marmalades, fruit jellies, purées and pastes</t>
        </is>
      </c>
      <c r="C234" s="13" t="inlineStr">
        <is>
          <t>01.1.8</t>
        </is>
      </c>
      <c r="D234" s="13" t="inlineStr">
        <is>
          <t>ok</t>
        </is>
      </c>
      <c r="E234" s="13" t="inlineStr">
        <is>
          <t>ok</t>
        </is>
      </c>
      <c r="F234" s="13" t="inlineStr"/>
      <c r="G234" s="13" t="inlineStr"/>
      <c r="H234" s="13" t="inlineStr"/>
      <c r="I234" s="13" t="n">
        <v>1630</v>
      </c>
      <c r="J234" s="13" t="inlineStr"/>
      <c r="K234" s="13" t="n">
        <v>44</v>
      </c>
      <c r="L234" s="13" t="n">
        <v>17</v>
      </c>
      <c r="M234" s="13" t="b">
        <v>1</v>
      </c>
      <c r="N234" s="13" t="b">
        <v>0</v>
      </c>
      <c r="O234" s="13" t="inlineStr">
        <is>
          <t>n/a - already covered</t>
        </is>
      </c>
    </row>
    <row r="235">
      <c r="A235" s="13" t="inlineStr">
        <is>
          <t>01.1.8.4.0</t>
        </is>
      </c>
      <c r="B235" s="13" t="inlineStr">
        <is>
          <t>Nut purées, nut butters and nut pastes</t>
        </is>
      </c>
      <c r="C235" s="13" t="inlineStr">
        <is>
          <t>01.1.8</t>
        </is>
      </c>
      <c r="D235" s="13" t="inlineStr">
        <is>
          <t>ok</t>
        </is>
      </c>
      <c r="E235" s="13" t="inlineStr">
        <is>
          <t>ok</t>
        </is>
      </c>
      <c r="F235" s="13" t="inlineStr"/>
      <c r="G235" s="13" t="inlineStr"/>
      <c r="H235" s="13" t="inlineStr"/>
      <c r="I235" s="13" t="n">
        <v>1284</v>
      </c>
      <c r="J235" s="13" t="inlineStr"/>
      <c r="K235" s="13" t="n">
        <v>47</v>
      </c>
      <c r="L235" s="13" t="n">
        <v>15</v>
      </c>
      <c r="M235" s="13" t="b">
        <v>1</v>
      </c>
      <c r="N235" s="13" t="b">
        <v>0</v>
      </c>
      <c r="O235" s="13" t="inlineStr">
        <is>
          <t>n/a - already covered</t>
        </is>
      </c>
    </row>
    <row r="236">
      <c r="A236" s="13" t="inlineStr">
        <is>
          <t>01.1.8.5.1</t>
        </is>
      </c>
      <c r="B236" s="13" t="inlineStr">
        <is>
          <t>Chocolate</t>
        </is>
      </c>
      <c r="C236" s="13" t="inlineStr">
        <is>
          <t>01.1.8</t>
        </is>
      </c>
      <c r="D236" s="13" t="inlineStr">
        <is>
          <t>ok</t>
        </is>
      </c>
      <c r="E236" s="13" t="inlineStr">
        <is>
          <t>ok</t>
        </is>
      </c>
      <c r="F236" s="13" t="inlineStr"/>
      <c r="G236" s="13" t="inlineStr"/>
      <c r="H236" s="13" t="inlineStr"/>
      <c r="I236" s="13" t="n">
        <v>4206</v>
      </c>
      <c r="J236" s="13" t="inlineStr"/>
      <c r="K236" s="13" t="n">
        <v>144</v>
      </c>
      <c r="L236" s="13" t="n">
        <v>19</v>
      </c>
      <c r="M236" s="13" t="b">
        <v>1</v>
      </c>
      <c r="N236" s="13" t="b">
        <v>0</v>
      </c>
      <c r="O236" s="13" t="inlineStr">
        <is>
          <t>n/a - already covered</t>
        </is>
      </c>
    </row>
    <row r="237">
      <c r="A237" s="13" t="inlineStr">
        <is>
          <t>01.1.8.5.2</t>
        </is>
      </c>
      <c r="B237" s="13" t="inlineStr">
        <is>
          <t>Cocoa beans</t>
        </is>
      </c>
      <c r="C237" s="13" t="inlineStr">
        <is>
          <t>01.1.8</t>
        </is>
      </c>
      <c r="D237" s="13" t="inlineStr">
        <is>
          <t>ok</t>
        </is>
      </c>
      <c r="E237" s="13" t="inlineStr">
        <is>
          <t>sourcing_gap</t>
        </is>
      </c>
      <c r="F237" s="13" t="inlineStr">
        <is>
          <t>thin_present</t>
        </is>
      </c>
      <c r="G237" s="13" t="inlineStr">
        <is>
          <t>sourcing</t>
        </is>
      </c>
      <c r="H237" s="13" t="inlineStr">
        <is>
          <t>recovered — listed in MISSING_CODES but now classified into the build</t>
        </is>
      </c>
      <c r="I237" s="13" t="n">
        <v>12</v>
      </c>
      <c r="J237" s="13" t="n">
        <v>17</v>
      </c>
      <c r="K237" s="13" t="n">
        <v>6</v>
      </c>
      <c r="L237" s="13" t="n">
        <v>1</v>
      </c>
      <c r="M237" s="13" t="b">
        <v>1</v>
      </c>
      <c r="N237" s="13" t="b">
        <v>0</v>
      </c>
      <c r="O237" s="13" t="inlineStr">
        <is>
          <t>n/a - already covered</t>
        </is>
      </c>
    </row>
    <row r="238">
      <c r="A238" s="13" t="inlineStr">
        <is>
          <t>01.1.8.5.3</t>
        </is>
      </c>
      <c r="B238" s="13" t="inlineStr">
        <is>
          <t>Cocoa powder</t>
        </is>
      </c>
      <c r="C238" s="13" t="inlineStr">
        <is>
          <t>01.1.8</t>
        </is>
      </c>
      <c r="D238" s="13" t="inlineStr">
        <is>
          <t>ok</t>
        </is>
      </c>
      <c r="E238" s="13" t="inlineStr">
        <is>
          <t>ok</t>
        </is>
      </c>
      <c r="F238" s="13" t="inlineStr"/>
      <c r="G238" s="13" t="inlineStr"/>
      <c r="H238" s="13" t="inlineStr"/>
      <c r="I238" s="13" t="n">
        <v>177</v>
      </c>
      <c r="J238" s="13" t="inlineStr"/>
      <c r="K238" s="13" t="n">
        <v>21</v>
      </c>
      <c r="L238" s="13" t="n">
        <v>12</v>
      </c>
      <c r="M238" s="13" t="b">
        <v>1</v>
      </c>
      <c r="N238" s="13" t="b">
        <v>0</v>
      </c>
      <c r="O238" s="13" t="inlineStr">
        <is>
          <t>n/a - already covered</t>
        </is>
      </c>
    </row>
    <row r="239">
      <c r="A239" s="13" t="inlineStr">
        <is>
          <t>01.1.8.5.9</t>
        </is>
      </c>
      <c r="B239" s="13" t="inlineStr">
        <is>
          <t>Other cocoa-based foods and cocoa-based dessert preparations</t>
        </is>
      </c>
      <c r="C239" s="13" t="inlineStr">
        <is>
          <t>01.1.8</t>
        </is>
      </c>
      <c r="D239" s="13" t="inlineStr">
        <is>
          <t>ok</t>
        </is>
      </c>
      <c r="E239" s="13" t="inlineStr">
        <is>
          <t>ok</t>
        </is>
      </c>
      <c r="F239" s="13" t="inlineStr"/>
      <c r="G239" s="13" t="inlineStr"/>
      <c r="H239" s="13" t="inlineStr"/>
      <c r="I239" s="13" t="n">
        <v>1406</v>
      </c>
      <c r="J239" s="13" t="inlineStr"/>
      <c r="K239" s="13" t="n">
        <v>109</v>
      </c>
      <c r="L239" s="13" t="n">
        <v>17</v>
      </c>
      <c r="M239" s="13" t="b">
        <v>1</v>
      </c>
      <c r="N239" s="13" t="b">
        <v>0</v>
      </c>
      <c r="O239" s="13" t="inlineStr">
        <is>
          <t>n/a - already covered</t>
        </is>
      </c>
    </row>
    <row r="240">
      <c r="A240" s="13" t="inlineStr">
        <is>
          <t>01.1.8.6.0</t>
        </is>
      </c>
      <c r="B240" s="13" t="inlineStr">
        <is>
          <t>Ice, ice cream and sorbets</t>
        </is>
      </c>
      <c r="C240" s="13" t="inlineStr">
        <is>
          <t>01.1.8</t>
        </is>
      </c>
      <c r="D240" s="13" t="inlineStr">
        <is>
          <t>ok</t>
        </is>
      </c>
      <c r="E240" s="13" t="inlineStr">
        <is>
          <t>ok</t>
        </is>
      </c>
      <c r="F240" s="13" t="inlineStr"/>
      <c r="G240" s="13" t="inlineStr"/>
      <c r="H240" s="13" t="inlineStr"/>
      <c r="I240" s="13" t="n">
        <v>6374</v>
      </c>
      <c r="J240" s="13" t="inlineStr"/>
      <c r="K240" s="13" t="n">
        <v>135</v>
      </c>
      <c r="L240" s="13" t="n">
        <v>17</v>
      </c>
      <c r="M240" s="13" t="b">
        <v>1</v>
      </c>
      <c r="N240" s="13" t="b">
        <v>0</v>
      </c>
      <c r="O240" s="13" t="inlineStr">
        <is>
          <t>n/a - already covered</t>
        </is>
      </c>
    </row>
    <row r="241">
      <c r="A241" s="13" t="inlineStr">
        <is>
          <t>01.1.8.9.1</t>
        </is>
      </c>
      <c r="B241" s="13" t="inlineStr">
        <is>
          <t>Vegetables, fruits, nuts, fruit peel and other parts of plants, preserved by sugar</t>
        </is>
      </c>
      <c r="C241" s="13" t="inlineStr">
        <is>
          <t>01.1.8</t>
        </is>
      </c>
      <c r="D241" s="13" t="inlineStr">
        <is>
          <t>ok</t>
        </is>
      </c>
      <c r="E241" s="13" t="inlineStr">
        <is>
          <t>sourcing_gap</t>
        </is>
      </c>
      <c r="F241" s="13" t="inlineStr">
        <is>
          <t>thin_present</t>
        </is>
      </c>
      <c r="G241" s="13" t="inlineStr">
        <is>
          <t>sourcing</t>
        </is>
      </c>
      <c r="H241" s="13" t="inlineStr">
        <is>
          <t>recovered — listed in MISSING_CODES but now classified into the build</t>
        </is>
      </c>
      <c r="I241" s="13" t="n">
        <v>1</v>
      </c>
      <c r="J241" s="13" t="n">
        <v>37</v>
      </c>
      <c r="K241" s="13" t="n">
        <v>10</v>
      </c>
      <c r="L241" s="13" t="n">
        <v>1</v>
      </c>
      <c r="M241" s="13" t="b">
        <v>1</v>
      </c>
      <c r="N241" s="13" t="b">
        <v>0</v>
      </c>
      <c r="O241" s="13" t="inlineStr">
        <is>
          <t>n/a - already covered</t>
        </is>
      </c>
    </row>
    <row r="242">
      <c r="A242" s="13" t="inlineStr">
        <is>
          <t>01.1.8.9.9</t>
        </is>
      </c>
      <c r="B242" s="13" t="inlineStr">
        <is>
          <t>Other sugar confectionery and desserts n.e.c. (not containing cocoa)</t>
        </is>
      </c>
      <c r="C242" s="13" t="inlineStr">
        <is>
          <t>01.1.8</t>
        </is>
      </c>
      <c r="D242" s="13" t="inlineStr">
        <is>
          <t>ok</t>
        </is>
      </c>
      <c r="E242" s="13" t="inlineStr">
        <is>
          <t>ok</t>
        </is>
      </c>
      <c r="F242" s="13" t="inlineStr"/>
      <c r="G242" s="13" t="inlineStr"/>
      <c r="H242" s="13" t="inlineStr"/>
      <c r="I242" s="13" t="n">
        <v>14739</v>
      </c>
      <c r="J242" s="13" t="inlineStr"/>
      <c r="K242" s="13" t="n">
        <v>173</v>
      </c>
      <c r="L242" s="13" t="n">
        <v>22</v>
      </c>
      <c r="M242" s="13" t="b">
        <v>1</v>
      </c>
      <c r="N242" s="13" t="b">
        <v>0</v>
      </c>
      <c r="O242" s="13" t="inlineStr">
        <is>
          <t>n/a - already covered</t>
        </is>
      </c>
    </row>
    <row r="243">
      <c r="A243" s="13" t="inlineStr">
        <is>
          <t>01.1.9.1.1</t>
        </is>
      </c>
      <c r="B243" s="13" t="inlineStr">
        <is>
          <t>Precooked dishes based on pasta and cereals</t>
        </is>
      </c>
      <c r="C243" s="13" t="inlineStr">
        <is>
          <t>01.1.9</t>
        </is>
      </c>
      <c r="D243" s="13" t="inlineStr">
        <is>
          <t>ok</t>
        </is>
      </c>
      <c r="E243" s="13" t="inlineStr">
        <is>
          <t>ok</t>
        </is>
      </c>
      <c r="F243" s="13" t="inlineStr"/>
      <c r="G243" s="13" t="inlineStr"/>
      <c r="H243" s="13" t="inlineStr"/>
      <c r="I243" s="13" t="n">
        <v>2813</v>
      </c>
      <c r="J243" s="13" t="inlineStr"/>
      <c r="K243" s="13" t="n">
        <v>126</v>
      </c>
      <c r="L243" s="13" t="n">
        <v>17</v>
      </c>
      <c r="M243" s="13" t="b">
        <v>1</v>
      </c>
      <c r="N243" s="13" t="b">
        <v>0</v>
      </c>
      <c r="O243" s="13" t="inlineStr">
        <is>
          <t>n/a - already covered</t>
        </is>
      </c>
    </row>
    <row r="244">
      <c r="A244" s="13" t="inlineStr">
        <is>
          <t>01.1.9.1.2</t>
        </is>
      </c>
      <c r="B244" s="13" t="inlineStr">
        <is>
          <t>Precooked dishes based on meat and/or fish</t>
        </is>
      </c>
      <c r="C244" s="13" t="inlineStr">
        <is>
          <t>01.1.9</t>
        </is>
      </c>
      <c r="D244" s="13" t="inlineStr">
        <is>
          <t>ok</t>
        </is>
      </c>
      <c r="E244" s="13" t="inlineStr">
        <is>
          <t>ok</t>
        </is>
      </c>
      <c r="F244" s="13" t="inlineStr"/>
      <c r="G244" s="13" t="inlineStr"/>
      <c r="H244" s="13" t="inlineStr"/>
      <c r="I244" s="13" t="n">
        <v>1395</v>
      </c>
      <c r="J244" s="13" t="inlineStr"/>
      <c r="K244" s="13" t="n">
        <v>136</v>
      </c>
      <c r="L244" s="13" t="n">
        <v>13</v>
      </c>
      <c r="M244" s="13" t="b">
        <v>1</v>
      </c>
      <c r="N244" s="13" t="b">
        <v>0</v>
      </c>
      <c r="O244" s="13" t="inlineStr">
        <is>
          <t>n/a - already covered</t>
        </is>
      </c>
    </row>
    <row r="245">
      <c r="A245" s="13" t="inlineStr">
        <is>
          <t>01.1.9.1.3</t>
        </is>
      </c>
      <c r="B245" s="13" t="inlineStr">
        <is>
          <t>Mixed salads and prepared dishes based on vegetables</t>
        </is>
      </c>
      <c r="C245" s="13" t="inlineStr">
        <is>
          <t>01.1.9</t>
        </is>
      </c>
      <c r="D245" s="13" t="inlineStr">
        <is>
          <t>ok</t>
        </is>
      </c>
      <c r="E245" s="13" t="inlineStr">
        <is>
          <t>ok</t>
        </is>
      </c>
      <c r="F245" s="13" t="inlineStr"/>
      <c r="G245" s="13" t="inlineStr"/>
      <c r="H245" s="13" t="inlineStr"/>
      <c r="I245" s="13" t="n">
        <v>538</v>
      </c>
      <c r="J245" s="13" t="inlineStr"/>
      <c r="K245" s="13" t="n">
        <v>57</v>
      </c>
      <c r="L245" s="13" t="n">
        <v>10</v>
      </c>
      <c r="M245" s="13" t="b">
        <v>1</v>
      </c>
      <c r="N245" s="13" t="b">
        <v>0</v>
      </c>
      <c r="O245" s="13" t="inlineStr">
        <is>
          <t>n/a - already covered</t>
        </is>
      </c>
    </row>
    <row r="246">
      <c r="A246" s="13" t="inlineStr">
        <is>
          <t>01.1.9.1.4</t>
        </is>
      </c>
      <c r="B246" s="13" t="inlineStr">
        <is>
          <t>Sandwiches, pizzas, quiches, meat or fish pies, frozen or not</t>
        </is>
      </c>
      <c r="C246" s="13" t="inlineStr">
        <is>
          <t>01.1.9</t>
        </is>
      </c>
      <c r="D246" s="13" t="inlineStr">
        <is>
          <t>ok</t>
        </is>
      </c>
      <c r="E246" s="13" t="inlineStr">
        <is>
          <t>ok</t>
        </is>
      </c>
      <c r="F246" s="13" t="inlineStr"/>
      <c r="G246" s="13" t="inlineStr"/>
      <c r="H246" s="13" t="inlineStr"/>
      <c r="I246" s="13" t="n">
        <v>1375</v>
      </c>
      <c r="J246" s="13" t="inlineStr"/>
      <c r="K246" s="13" t="n">
        <v>73</v>
      </c>
      <c r="L246" s="13" t="n">
        <v>18</v>
      </c>
      <c r="M246" s="13" t="b">
        <v>1</v>
      </c>
      <c r="N246" s="13" t="b">
        <v>0</v>
      </c>
      <c r="O246" s="13" t="inlineStr">
        <is>
          <t>n/a - already covered</t>
        </is>
      </c>
    </row>
    <row r="247">
      <c r="A247" s="13" t="inlineStr">
        <is>
          <t>01.1.9.1.6</t>
        </is>
      </c>
      <c r="B247" s="13" t="inlineStr">
        <is>
          <t>Ready-made soups</t>
        </is>
      </c>
      <c r="C247" s="13" t="inlineStr">
        <is>
          <t>01.1.9</t>
        </is>
      </c>
      <c r="D247" s="13" t="inlineStr">
        <is>
          <t>ok</t>
        </is>
      </c>
      <c r="E247" s="13" t="inlineStr">
        <is>
          <t>ok</t>
        </is>
      </c>
      <c r="F247" s="13" t="inlineStr"/>
      <c r="G247" s="13" t="inlineStr"/>
      <c r="H247" s="13" t="inlineStr"/>
      <c r="I247" s="13" t="n">
        <v>2780</v>
      </c>
      <c r="J247" s="13" t="inlineStr"/>
      <c r="K247" s="13" t="n">
        <v>90</v>
      </c>
      <c r="L247" s="13" t="n">
        <v>18</v>
      </c>
      <c r="M247" s="13" t="b">
        <v>1</v>
      </c>
      <c r="N247" s="13" t="b">
        <v>0</v>
      </c>
      <c r="O247" s="13" t="inlineStr">
        <is>
          <t>n/a - already covered</t>
        </is>
      </c>
    </row>
    <row r="248">
      <c r="A248" s="13" t="inlineStr">
        <is>
          <t>01.1.9.1.9</t>
        </is>
      </c>
      <c r="B248" s="13" t="inlineStr">
        <is>
          <t>Other prepared ready-made dishes and meals n.e.c.</t>
        </is>
      </c>
      <c r="C248" s="13" t="inlineStr">
        <is>
          <t>01.1.9</t>
        </is>
      </c>
      <c r="D248" s="13" t="inlineStr">
        <is>
          <t>ok</t>
        </is>
      </c>
      <c r="E248" s="13" t="inlineStr">
        <is>
          <t>ok</t>
        </is>
      </c>
      <c r="F248" s="13" t="inlineStr"/>
      <c r="G248" s="13" t="inlineStr"/>
      <c r="H248" s="13" t="inlineStr"/>
      <c r="I248" s="13" t="n">
        <v>42</v>
      </c>
      <c r="J248" s="13" t="inlineStr"/>
      <c r="K248" s="13" t="n">
        <v>29</v>
      </c>
      <c r="L248" s="13" t="n">
        <v>2</v>
      </c>
      <c r="M248" s="13" t="b">
        <v>1</v>
      </c>
      <c r="N248" s="13" t="b">
        <v>0</v>
      </c>
      <c r="O248" s="13" t="inlineStr">
        <is>
          <t>n/a - already covered</t>
        </is>
      </c>
    </row>
    <row r="249">
      <c r="A249" s="13" t="inlineStr">
        <is>
          <t>01.1.9.2.1</t>
        </is>
      </c>
      <c r="B249" s="13" t="inlineStr">
        <is>
          <t>Baby formula</t>
        </is>
      </c>
      <c r="C249" s="13" t="inlineStr">
        <is>
          <t>01.1.9</t>
        </is>
      </c>
      <c r="D249" s="13" t="inlineStr">
        <is>
          <t>ok</t>
        </is>
      </c>
      <c r="E249" s="13" t="inlineStr">
        <is>
          <t>ok</t>
        </is>
      </c>
      <c r="F249" s="13" t="inlineStr"/>
      <c r="G249" s="13" t="inlineStr"/>
      <c r="H249" s="13" t="inlineStr"/>
      <c r="I249" s="13" t="n">
        <v>4596</v>
      </c>
      <c r="J249" s="13" t="inlineStr"/>
      <c r="K249" s="13" t="n">
        <v>114</v>
      </c>
      <c r="L249" s="13" t="n">
        <v>17</v>
      </c>
      <c r="M249" s="13" t="b">
        <v>1</v>
      </c>
      <c r="N249" s="13" t="b">
        <v>0</v>
      </c>
      <c r="O249" s="13" t="inlineStr">
        <is>
          <t>n/a - already covered</t>
        </is>
      </c>
    </row>
    <row r="250">
      <c r="A250" s="13" t="inlineStr">
        <is>
          <t>01.1.9.2.2</t>
        </is>
      </c>
      <c r="B250" s="13" t="inlineStr">
        <is>
          <t>Baby rice cereals and flours for baby meals</t>
        </is>
      </c>
      <c r="C250" s="13" t="inlineStr">
        <is>
          <t>01.1.9</t>
        </is>
      </c>
      <c r="D250" s="13" t="inlineStr">
        <is>
          <t>ok</t>
        </is>
      </c>
      <c r="E250" s="13" t="inlineStr">
        <is>
          <t>ok</t>
        </is>
      </c>
      <c r="F250" s="13" t="inlineStr"/>
      <c r="G250" s="13" t="inlineStr"/>
      <c r="H250" s="13" t="inlineStr"/>
      <c r="I250" s="13" t="n">
        <v>313</v>
      </c>
      <c r="J250" s="13" t="inlineStr"/>
      <c r="K250" s="13" t="n">
        <v>8</v>
      </c>
      <c r="L250" s="13" t="n">
        <v>4</v>
      </c>
      <c r="M250" s="13" t="b">
        <v>1</v>
      </c>
      <c r="N250" s="13" t="b">
        <v>0</v>
      </c>
      <c r="O250" s="13" t="inlineStr">
        <is>
          <t>n/a - already covered</t>
        </is>
      </c>
    </row>
    <row r="251">
      <c r="A251" s="13" t="inlineStr">
        <is>
          <t>01.1.9.2.3</t>
        </is>
      </c>
      <c r="B251" s="13" t="inlineStr">
        <is>
          <t>Homogenized baby food</t>
        </is>
      </c>
      <c r="C251" s="13" t="inlineStr">
        <is>
          <t>01.1.9</t>
        </is>
      </c>
      <c r="D251" s="13" t="inlineStr">
        <is>
          <t>ok</t>
        </is>
      </c>
      <c r="E251" s="13" t="inlineStr">
        <is>
          <t>ok</t>
        </is>
      </c>
      <c r="F251" s="13" t="inlineStr"/>
      <c r="G251" s="13" t="inlineStr"/>
      <c r="H251" s="13" t="inlineStr"/>
      <c r="I251" s="13" t="n">
        <v>624</v>
      </c>
      <c r="J251" s="13" t="inlineStr"/>
      <c r="K251" s="13" t="n">
        <v>52</v>
      </c>
      <c r="L251" s="13" t="n">
        <v>12</v>
      </c>
      <c r="M251" s="13" t="b">
        <v>1</v>
      </c>
      <c r="N251" s="13" t="b">
        <v>0</v>
      </c>
      <c r="O251" s="13" t="inlineStr">
        <is>
          <t>n/a - already covered</t>
        </is>
      </c>
    </row>
    <row r="252">
      <c r="A252" s="13" t="inlineStr">
        <is>
          <t>01.1.9.2.9</t>
        </is>
      </c>
      <c r="B252" s="13" t="inlineStr">
        <is>
          <t>Other baby food</t>
        </is>
      </c>
      <c r="C252" s="13" t="inlineStr">
        <is>
          <t>01.1.9</t>
        </is>
      </c>
      <c r="D252" s="13" t="inlineStr">
        <is>
          <t>ok</t>
        </is>
      </c>
      <c r="E252" s="13" t="inlineStr">
        <is>
          <t>ok</t>
        </is>
      </c>
      <c r="F252" s="13" t="inlineStr"/>
      <c r="G252" s="13" t="inlineStr"/>
      <c r="H252" s="13" t="inlineStr"/>
      <c r="I252" s="13" t="n">
        <v>837</v>
      </c>
      <c r="J252" s="13" t="inlineStr"/>
      <c r="K252" s="13" t="n">
        <v>48</v>
      </c>
      <c r="L252" s="13" t="n">
        <v>15</v>
      </c>
      <c r="M252" s="13" t="b">
        <v>1</v>
      </c>
      <c r="N252" s="13" t="b">
        <v>0</v>
      </c>
      <c r="O252" s="13" t="inlineStr">
        <is>
          <t>n/a - already covered</t>
        </is>
      </c>
    </row>
    <row r="253">
      <c r="A253" s="13" t="inlineStr">
        <is>
          <t>01.1.9.3.1</t>
        </is>
      </c>
      <c r="B253" s="13" t="inlineStr">
        <is>
          <t>Salt</t>
        </is>
      </c>
      <c r="C253" s="13" t="inlineStr">
        <is>
          <t>01.1.9</t>
        </is>
      </c>
      <c r="D253" s="13" t="inlineStr">
        <is>
          <t>ok</t>
        </is>
      </c>
      <c r="E253" s="13" t="inlineStr">
        <is>
          <t>ok</t>
        </is>
      </c>
      <c r="F253" s="13" t="inlineStr"/>
      <c r="G253" s="13" t="inlineStr"/>
      <c r="H253" s="13" t="inlineStr"/>
      <c r="I253" s="13" t="n">
        <v>1025</v>
      </c>
      <c r="J253" s="13" t="inlineStr"/>
      <c r="K253" s="13" t="n">
        <v>22</v>
      </c>
      <c r="L253" s="13" t="n">
        <v>19</v>
      </c>
      <c r="M253" s="13" t="b">
        <v>1</v>
      </c>
      <c r="N253" s="13" t="b">
        <v>0</v>
      </c>
      <c r="O253" s="13" t="inlineStr">
        <is>
          <t>n/a - already covered</t>
        </is>
      </c>
    </row>
    <row r="254">
      <c r="A254" s="13" t="inlineStr">
        <is>
          <t>01.1.9.3.9</t>
        </is>
      </c>
      <c r="B254" s="13" t="inlineStr">
        <is>
          <t>Other condiments and sauces</t>
        </is>
      </c>
      <c r="C254" s="13" t="inlineStr">
        <is>
          <t>01.1.9</t>
        </is>
      </c>
      <c r="D254" s="13" t="inlineStr">
        <is>
          <t>ok</t>
        </is>
      </c>
      <c r="E254" s="13" t="inlineStr">
        <is>
          <t>ok</t>
        </is>
      </c>
      <c r="F254" s="13" t="inlineStr"/>
      <c r="G254" s="13" t="inlineStr"/>
      <c r="H254" s="13" t="inlineStr"/>
      <c r="I254" s="13" t="n">
        <v>25052</v>
      </c>
      <c r="J254" s="13" t="inlineStr"/>
      <c r="K254" s="13" t="n">
        <v>276</v>
      </c>
      <c r="L254" s="13" t="n">
        <v>21</v>
      </c>
      <c r="M254" s="13" t="b">
        <v>1</v>
      </c>
      <c r="N254" s="13" t="b">
        <v>0</v>
      </c>
      <c r="O254" s="13" t="inlineStr">
        <is>
          <t>n/a - already covered</t>
        </is>
      </c>
    </row>
    <row r="255">
      <c r="A255" s="13" t="inlineStr">
        <is>
          <t>01.1.9.4.0</t>
        </is>
      </c>
      <c r="B255" s="13" t="inlineStr">
        <is>
          <t>Spices, culinary herbs and seeds</t>
        </is>
      </c>
      <c r="C255" s="13" t="inlineStr">
        <is>
          <t>01.1.9</t>
        </is>
      </c>
      <c r="D255" s="13" t="inlineStr">
        <is>
          <t>ok</t>
        </is>
      </c>
      <c r="E255" s="13" t="inlineStr">
        <is>
          <t>ok</t>
        </is>
      </c>
      <c r="F255" s="13" t="inlineStr"/>
      <c r="G255" s="13" t="inlineStr"/>
      <c r="H255" s="13" t="inlineStr"/>
      <c r="I255" s="13" t="n">
        <v>6577</v>
      </c>
      <c r="J255" s="13" t="inlineStr"/>
      <c r="K255" s="13" t="n">
        <v>154</v>
      </c>
      <c r="L255" s="13" t="n">
        <v>21</v>
      </c>
      <c r="M255" s="13" t="b">
        <v>1</v>
      </c>
      <c r="N255" s="13" t="b">
        <v>0</v>
      </c>
      <c r="O255" s="13" t="inlineStr">
        <is>
          <t>n/a - already covered</t>
        </is>
      </c>
    </row>
    <row r="256">
      <c r="A256" s="13" t="inlineStr">
        <is>
          <t>01.1.9.9.0</t>
        </is>
      </c>
      <c r="B256" s="13" t="inlineStr">
        <is>
          <t>Other food products n.e.c.</t>
        </is>
      </c>
      <c r="C256" s="13" t="inlineStr">
        <is>
          <t>01.1.9</t>
        </is>
      </c>
      <c r="D256" s="13" t="inlineStr">
        <is>
          <t>ok</t>
        </is>
      </c>
      <c r="E256" s="13" t="inlineStr">
        <is>
          <t>ok</t>
        </is>
      </c>
      <c r="F256" s="13" t="inlineStr"/>
      <c r="G256" s="13" t="inlineStr"/>
      <c r="H256" s="13" t="inlineStr"/>
      <c r="I256" s="13" t="n">
        <v>4699</v>
      </c>
      <c r="J256" s="13" t="inlineStr"/>
      <c r="K256" s="13" t="n">
        <v>94</v>
      </c>
      <c r="L256" s="13" t="n">
        <v>18</v>
      </c>
      <c r="M256" s="13" t="b">
        <v>1</v>
      </c>
      <c r="N256" s="13" t="b">
        <v>0</v>
      </c>
      <c r="O256" s="13" t="inlineStr">
        <is>
          <t>n/a - already covered</t>
        </is>
      </c>
    </row>
    <row r="257">
      <c r="A257" s="13" t="inlineStr">
        <is>
          <t>01.2.1.0.0</t>
        </is>
      </c>
      <c r="B257" s="13" t="inlineStr">
        <is>
          <t>Fruit and vegetable juices</t>
        </is>
      </c>
      <c r="C257" s="13" t="inlineStr">
        <is>
          <t>01.2.1</t>
        </is>
      </c>
      <c r="D257" s="13" t="inlineStr">
        <is>
          <t>ok</t>
        </is>
      </c>
      <c r="E257" s="13" t="inlineStr">
        <is>
          <t>ok</t>
        </is>
      </c>
      <c r="F257" s="13" t="inlineStr"/>
      <c r="G257" s="13" t="inlineStr"/>
      <c r="H257" s="13" t="inlineStr"/>
      <c r="I257" s="13" t="n">
        <v>8024</v>
      </c>
      <c r="J257" s="13" t="inlineStr"/>
      <c r="K257" s="13" t="n">
        <v>183</v>
      </c>
      <c r="L257" s="13" t="n">
        <v>23</v>
      </c>
      <c r="M257" s="13" t="b">
        <v>1</v>
      </c>
      <c r="N257" s="13" t="b">
        <v>0</v>
      </c>
      <c r="O257" s="13" t="inlineStr">
        <is>
          <t>n/a - already covered</t>
        </is>
      </c>
    </row>
    <row r="258">
      <c r="A258" s="13" t="inlineStr">
        <is>
          <t>01.2.2.0.1</t>
        </is>
      </c>
      <c r="B258" s="13" t="inlineStr">
        <is>
          <t>Coffee</t>
        </is>
      </c>
      <c r="C258" s="13" t="inlineStr">
        <is>
          <t>01.2.2</t>
        </is>
      </c>
      <c r="D258" s="13" t="inlineStr">
        <is>
          <t>ok</t>
        </is>
      </c>
      <c r="E258" s="13" t="inlineStr">
        <is>
          <t>ok</t>
        </is>
      </c>
      <c r="F258" s="13" t="inlineStr"/>
      <c r="G258" s="13" t="inlineStr"/>
      <c r="H258" s="13" t="inlineStr"/>
      <c r="I258" s="13" t="n">
        <v>6242</v>
      </c>
      <c r="J258" s="13" t="inlineStr"/>
      <c r="K258" s="13" t="n">
        <v>127</v>
      </c>
      <c r="L258" s="13" t="n">
        <v>20</v>
      </c>
      <c r="M258" s="13" t="b">
        <v>1</v>
      </c>
      <c r="N258" s="13" t="b">
        <v>0</v>
      </c>
      <c r="O258" s="13" t="inlineStr">
        <is>
          <t>n/a - already covered</t>
        </is>
      </c>
    </row>
    <row r="259">
      <c r="A259" s="13" t="inlineStr">
        <is>
          <t>01.2.2.0.2</t>
        </is>
      </c>
      <c r="B259" s="13" t="inlineStr">
        <is>
          <t>Coffee substitutes</t>
        </is>
      </c>
      <c r="C259" s="13" t="inlineStr">
        <is>
          <t>01.2.2</t>
        </is>
      </c>
      <c r="D259" s="13" t="inlineStr">
        <is>
          <t>ok</t>
        </is>
      </c>
      <c r="E259" s="13" t="inlineStr">
        <is>
          <t>sourcing_gap</t>
        </is>
      </c>
      <c r="F259" s="13" t="inlineStr">
        <is>
          <t>thin_present</t>
        </is>
      </c>
      <c r="G259" s="13" t="inlineStr">
        <is>
          <t>gold_labeling</t>
        </is>
      </c>
      <c r="H259" s="13" t="inlineStr">
        <is>
          <t>recovered — listed in MISSING_CODES but now classified into the build</t>
        </is>
      </c>
      <c r="I259" s="13" t="n">
        <v>3</v>
      </c>
      <c r="J259" s="13" t="n">
        <v>9</v>
      </c>
      <c r="K259" s="13" t="n">
        <v>8</v>
      </c>
      <c r="L259" s="13" t="n">
        <v>1</v>
      </c>
      <c r="M259" s="13" t="b">
        <v>1</v>
      </c>
      <c r="N259" s="13" t="b">
        <v>0</v>
      </c>
      <c r="O259" s="13" t="inlineStr">
        <is>
          <t>n/a - already covered</t>
        </is>
      </c>
    </row>
    <row r="260">
      <c r="A260" s="13" t="inlineStr">
        <is>
          <t>01.2.2.0.9</t>
        </is>
      </c>
      <c r="B260" s="13" t="inlineStr">
        <is>
          <t>Other coffee</t>
        </is>
      </c>
      <c r="C260" s="13" t="inlineStr">
        <is>
          <t>01.2.2</t>
        </is>
      </c>
      <c r="D260" s="13" t="inlineStr">
        <is>
          <t>ok</t>
        </is>
      </c>
      <c r="E260" s="13" t="inlineStr">
        <is>
          <t>ok</t>
        </is>
      </c>
      <c r="F260" s="13" t="inlineStr"/>
      <c r="G260" s="13" t="inlineStr"/>
      <c r="H260" s="13" t="inlineStr"/>
      <c r="I260" s="13" t="n">
        <v>2689</v>
      </c>
      <c r="J260" s="13" t="inlineStr"/>
      <c r="K260" s="13" t="n">
        <v>95</v>
      </c>
      <c r="L260" s="13" t="n">
        <v>16</v>
      </c>
      <c r="M260" s="13" t="b">
        <v>1</v>
      </c>
      <c r="N260" s="13" t="b">
        <v>0</v>
      </c>
      <c r="O260" s="13" t="inlineStr">
        <is>
          <t>n/a - already covered</t>
        </is>
      </c>
    </row>
    <row r="261">
      <c r="A261" s="13" t="inlineStr">
        <is>
          <t>01.2.3.0.1</t>
        </is>
      </c>
      <c r="B261" s="13" t="inlineStr">
        <is>
          <t>Green tea, leaves</t>
        </is>
      </c>
      <c r="C261" s="13" t="inlineStr">
        <is>
          <t>01.2.3</t>
        </is>
      </c>
      <c r="D261" s="13" t="inlineStr">
        <is>
          <t>ok</t>
        </is>
      </c>
      <c r="E261" s="13" t="inlineStr">
        <is>
          <t>ok</t>
        </is>
      </c>
      <c r="F261" s="13" t="inlineStr"/>
      <c r="G261" s="13" t="inlineStr"/>
      <c r="H261" s="13" t="inlineStr"/>
      <c r="I261" s="13" t="n">
        <v>639</v>
      </c>
      <c r="J261" s="13" t="inlineStr"/>
      <c r="K261" s="13" t="n">
        <v>32</v>
      </c>
      <c r="L261" s="13" t="n">
        <v>13</v>
      </c>
      <c r="M261" s="13" t="b">
        <v>1</v>
      </c>
      <c r="N261" s="13" t="b">
        <v>0</v>
      </c>
      <c r="O261" s="13" t="inlineStr">
        <is>
          <t>n/a - already covered</t>
        </is>
      </c>
    </row>
    <row r="262">
      <c r="A262" s="13" t="inlineStr">
        <is>
          <t>01.2.3.0.2</t>
        </is>
      </c>
      <c r="B262" s="13" t="inlineStr">
        <is>
          <t>Black tea, leaves</t>
        </is>
      </c>
      <c r="C262" s="13" t="inlineStr">
        <is>
          <t>01.2.3</t>
        </is>
      </c>
      <c r="D262" s="13" t="inlineStr">
        <is>
          <t>ok</t>
        </is>
      </c>
      <c r="E262" s="13" t="inlineStr">
        <is>
          <t>ok</t>
        </is>
      </c>
      <c r="F262" s="13" t="inlineStr"/>
      <c r="G262" s="13" t="inlineStr"/>
      <c r="H262" s="13" t="inlineStr"/>
      <c r="I262" s="13" t="n">
        <v>907</v>
      </c>
      <c r="J262" s="13" t="inlineStr"/>
      <c r="K262" s="13" t="n">
        <v>53</v>
      </c>
      <c r="L262" s="13" t="n">
        <v>17</v>
      </c>
      <c r="M262" s="13" t="b">
        <v>1</v>
      </c>
      <c r="N262" s="13" t="b">
        <v>0</v>
      </c>
      <c r="O262" s="13" t="inlineStr">
        <is>
          <t>n/a - already covered</t>
        </is>
      </c>
    </row>
    <row r="263">
      <c r="A263" s="13" t="inlineStr">
        <is>
          <t>01.2.3.0.3</t>
        </is>
      </c>
      <c r="B263" s="13" t="inlineStr">
        <is>
          <t>Iced tea</t>
        </is>
      </c>
      <c r="C263" s="13" t="inlineStr">
        <is>
          <t>01.2.3</t>
        </is>
      </c>
      <c r="D263" s="13" t="inlineStr">
        <is>
          <t>ok</t>
        </is>
      </c>
      <c r="E263" s="13" t="inlineStr">
        <is>
          <t>ok</t>
        </is>
      </c>
      <c r="F263" s="13" t="inlineStr"/>
      <c r="G263" s="13" t="inlineStr"/>
      <c r="H263" s="13" t="inlineStr"/>
      <c r="I263" s="13" t="n">
        <v>1181</v>
      </c>
      <c r="J263" s="13" t="inlineStr"/>
      <c r="K263" s="13" t="n">
        <v>60</v>
      </c>
      <c r="L263" s="13" t="n">
        <v>16</v>
      </c>
      <c r="M263" s="13" t="b">
        <v>1</v>
      </c>
      <c r="N263" s="13" t="b">
        <v>0</v>
      </c>
      <c r="O263" s="13" t="inlineStr">
        <is>
          <t>n/a - already covered</t>
        </is>
      </c>
    </row>
    <row r="264">
      <c r="A264" s="13" t="inlineStr">
        <is>
          <t>01.2.3.0.4</t>
        </is>
      </c>
      <c r="B264" s="13" t="inlineStr">
        <is>
          <t>Instant tea powder</t>
        </is>
      </c>
      <c r="C264" s="13" t="inlineStr">
        <is>
          <t>01.2.3</t>
        </is>
      </c>
      <c r="D264" s="13" t="inlineStr">
        <is>
          <t>ok</t>
        </is>
      </c>
      <c r="E264" s="13" t="inlineStr">
        <is>
          <t>ok</t>
        </is>
      </c>
      <c r="F264" s="13" t="inlineStr"/>
      <c r="G264" s="13" t="inlineStr"/>
      <c r="H264" s="13" t="inlineStr"/>
      <c r="I264" s="13" t="n">
        <v>61</v>
      </c>
      <c r="J264" s="13" t="inlineStr"/>
      <c r="K264" s="13" t="n">
        <v>25</v>
      </c>
      <c r="L264" s="13" t="n">
        <v>4</v>
      </c>
      <c r="M264" s="13" t="b">
        <v>1</v>
      </c>
      <c r="N264" s="13" t="b">
        <v>0</v>
      </c>
      <c r="O264" s="13" t="inlineStr">
        <is>
          <t>n/a - already covered</t>
        </is>
      </c>
    </row>
    <row r="265">
      <c r="A265" s="13" t="inlineStr">
        <is>
          <t>01.2.3.0.5</t>
        </is>
      </c>
      <c r="B265" s="13" t="inlineStr">
        <is>
          <t>Maté</t>
        </is>
      </c>
      <c r="C265" s="13" t="inlineStr">
        <is>
          <t>01.2.3</t>
        </is>
      </c>
      <c r="D265" s="13" t="inlineStr">
        <is>
          <t>ok</t>
        </is>
      </c>
      <c r="E265" s="13" t="inlineStr">
        <is>
          <t>sourcing_gap</t>
        </is>
      </c>
      <c r="F265" s="13" t="inlineStr">
        <is>
          <t>thin_present</t>
        </is>
      </c>
      <c r="G265" s="13" t="inlineStr">
        <is>
          <t>gold_labeling</t>
        </is>
      </c>
      <c r="H265" s="13" t="inlineStr">
        <is>
          <t>recovered — listed in MISSING_CODES but now classified into the build</t>
        </is>
      </c>
      <c r="I265" s="13" t="n">
        <v>6</v>
      </c>
      <c r="J265" s="13" t="n">
        <v>10</v>
      </c>
      <c r="K265" s="13" t="n">
        <v>10</v>
      </c>
      <c r="L265" s="13" t="n">
        <v>1</v>
      </c>
      <c r="M265" s="13" t="b">
        <v>1</v>
      </c>
      <c r="N265" s="13" t="b">
        <v>0</v>
      </c>
      <c r="O265" s="13" t="inlineStr">
        <is>
          <t>n/a - already covered</t>
        </is>
      </c>
    </row>
    <row r="266">
      <c r="A266" s="13" t="inlineStr">
        <is>
          <t>01.2.3.0.9</t>
        </is>
      </c>
      <c r="B266" s="13" t="inlineStr">
        <is>
          <t>Other tea products and plant-derived products for infusion</t>
        </is>
      </c>
      <c r="C266" s="13" t="inlineStr">
        <is>
          <t>01.2.3</t>
        </is>
      </c>
      <c r="D266" s="13" t="inlineStr">
        <is>
          <t>ok</t>
        </is>
      </c>
      <c r="E266" s="13" t="inlineStr">
        <is>
          <t>ok</t>
        </is>
      </c>
      <c r="F266" s="13" t="inlineStr"/>
      <c r="G266" s="13" t="inlineStr"/>
      <c r="H266" s="13" t="inlineStr"/>
      <c r="I266" s="13" t="n">
        <v>3114</v>
      </c>
      <c r="J266" s="13" t="inlineStr"/>
      <c r="K266" s="13" t="n">
        <v>95</v>
      </c>
      <c r="L266" s="13" t="n">
        <v>20</v>
      </c>
      <c r="M266" s="13" t="b">
        <v>1</v>
      </c>
      <c r="N266" s="13" t="b">
        <v>0</v>
      </c>
      <c r="O266" s="13" t="inlineStr">
        <is>
          <t>n/a - already covered</t>
        </is>
      </c>
    </row>
    <row r="267">
      <c r="A267" s="13" t="inlineStr">
        <is>
          <t>01.2.4.0.0</t>
        </is>
      </c>
      <c r="B267" s="13" t="inlineStr">
        <is>
          <t>Cocoa drinks</t>
        </is>
      </c>
      <c r="C267" s="13" t="inlineStr">
        <is>
          <t>01.2.4</t>
        </is>
      </c>
      <c r="D267" s="13" t="inlineStr">
        <is>
          <t>ok</t>
        </is>
      </c>
      <c r="E267" s="13" t="inlineStr">
        <is>
          <t>ok</t>
        </is>
      </c>
      <c r="F267" s="13" t="inlineStr"/>
      <c r="G267" s="13" t="inlineStr"/>
      <c r="H267" s="13" t="inlineStr"/>
      <c r="I267" s="13" t="n">
        <v>659</v>
      </c>
      <c r="J267" s="13" t="inlineStr"/>
      <c r="K267" s="13" t="n">
        <v>41</v>
      </c>
      <c r="L267" s="13" t="n">
        <v>16</v>
      </c>
      <c r="M267" s="13" t="b">
        <v>1</v>
      </c>
      <c r="N267" s="13" t="b">
        <v>0</v>
      </c>
      <c r="O267" s="13" t="inlineStr">
        <is>
          <t>n/a - already covered</t>
        </is>
      </c>
    </row>
    <row r="268">
      <c r="A268" s="13" t="inlineStr">
        <is>
          <t>01.2.5.0.0</t>
        </is>
      </c>
      <c r="B268" s="13" t="inlineStr">
        <is>
          <t>Water</t>
        </is>
      </c>
      <c r="C268" s="13" t="inlineStr">
        <is>
          <t>01.2.5</t>
        </is>
      </c>
      <c r="D268" s="13" t="inlineStr">
        <is>
          <t>ok</t>
        </is>
      </c>
      <c r="E268" s="13" t="inlineStr">
        <is>
          <t>ok</t>
        </is>
      </c>
      <c r="F268" s="13" t="inlineStr"/>
      <c r="G268" s="13" t="inlineStr"/>
      <c r="H268" s="13" t="inlineStr"/>
      <c r="I268" s="13" t="n">
        <v>6551</v>
      </c>
      <c r="J268" s="13" t="inlineStr"/>
      <c r="K268" s="13" t="n">
        <v>84</v>
      </c>
      <c r="L268" s="13" t="n">
        <v>32</v>
      </c>
      <c r="M268" s="13" t="b">
        <v>1</v>
      </c>
      <c r="N268" s="13" t="b">
        <v>0</v>
      </c>
      <c r="O268" s="13" t="inlineStr">
        <is>
          <t>n/a - already covered</t>
        </is>
      </c>
    </row>
    <row r="269">
      <c r="A269" s="13" t="inlineStr">
        <is>
          <t>01.2.6.0.0</t>
        </is>
      </c>
      <c r="B269" s="13" t="inlineStr">
        <is>
          <t>Soft drinks</t>
        </is>
      </c>
      <c r="C269" s="13" t="inlineStr">
        <is>
          <t>01.2.6</t>
        </is>
      </c>
      <c r="D269" s="13" t="inlineStr">
        <is>
          <t>ok</t>
        </is>
      </c>
      <c r="E269" s="13" t="inlineStr">
        <is>
          <t>ok</t>
        </is>
      </c>
      <c r="F269" s="13" t="inlineStr"/>
      <c r="G269" s="13" t="inlineStr"/>
      <c r="H269" s="13" t="inlineStr"/>
      <c r="I269" s="13" t="n">
        <v>15154</v>
      </c>
      <c r="J269" s="13" t="inlineStr"/>
      <c r="K269" s="13" t="n">
        <v>173</v>
      </c>
      <c r="L269" s="13" t="n">
        <v>37</v>
      </c>
      <c r="M269" s="13" t="b">
        <v>1</v>
      </c>
      <c r="N269" s="13" t="b">
        <v>0</v>
      </c>
      <c r="O269" s="13" t="inlineStr">
        <is>
          <t>n/a - already covered</t>
        </is>
      </c>
    </row>
    <row r="270">
      <c r="A270" s="13" t="inlineStr">
        <is>
          <t>01.2.9.0.0</t>
        </is>
      </c>
      <c r="B270" s="13" t="inlineStr">
        <is>
          <t>Other non-alcoholic beverages</t>
        </is>
      </c>
      <c r="C270" s="13" t="inlineStr">
        <is>
          <t>01.2.9</t>
        </is>
      </c>
      <c r="D270" s="13" t="inlineStr">
        <is>
          <t>ok</t>
        </is>
      </c>
      <c r="E270" s="13" t="inlineStr">
        <is>
          <t>ok</t>
        </is>
      </c>
      <c r="F270" s="13" t="inlineStr"/>
      <c r="G270" s="13" t="inlineStr"/>
      <c r="H270" s="13" t="inlineStr"/>
      <c r="I270" s="13" t="n">
        <v>618</v>
      </c>
      <c r="J270" s="13" t="inlineStr"/>
      <c r="K270" s="13" t="n">
        <v>57</v>
      </c>
      <c r="L270" s="13" t="n">
        <v>16</v>
      </c>
      <c r="M270" s="13" t="b">
        <v>1</v>
      </c>
      <c r="N270" s="13" t="b">
        <v>0</v>
      </c>
      <c r="O270" s="13" t="inlineStr">
        <is>
          <t>n/a - already covered</t>
        </is>
      </c>
    </row>
  </sheetData>
  <autoFilter ref="A1:O27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43"/>
  <sheetViews>
    <sheetView workbookViewId="0">
      <pane ySplit="1" topLeftCell="A2" activePane="bottomLeft" state="frozen"/>
      <selection pane="bottomLeft" activeCell="A1" sqref="A1"/>
    </sheetView>
  </sheetViews>
  <sheetFormatPr baseColWidth="8" defaultRowHeight="15"/>
  <cols>
    <col width="58" customWidth="1" min="1" max="1"/>
    <col width="58" customWidth="1" min="2" max="2"/>
    <col width="58" customWidth="1" min="3" max="3"/>
    <col width="10" customWidth="1" min="4" max="4"/>
    <col width="10" customWidth="1" min="5" max="5"/>
    <col width="10" customWidth="1" min="6" max="6"/>
    <col width="10" customWidth="1" min="7" max="7"/>
  </cols>
  <sheetData>
    <row r="1" ht="30" customHeight="1">
      <c r="A1" s="12" t="inlineStr">
        <is>
          <t>url</t>
        </is>
      </c>
      <c r="B1" s="12" t="inlineStr">
        <is>
          <t>blocker_class</t>
        </is>
      </c>
      <c r="C1" s="12" t="inlineStr">
        <is>
          <t>evidence</t>
        </is>
      </c>
      <c r="D1" s="12" t="inlineStr">
        <is>
          <t>agent</t>
        </is>
      </c>
      <c r="E1" s="12" t="inlineStr">
        <is>
          <t>slug</t>
        </is>
      </c>
      <c r="F1" s="12" t="inlineStr">
        <is>
          <t>search</t>
        </is>
      </c>
      <c r="G1" s="12" t="inlineStr">
        <is>
          <t>region</t>
        </is>
      </c>
    </row>
    <row r="2">
      <c r="A2" s="13" t="inlineStr">
        <is>
          <t>https://shop.cpl.com.pg/</t>
        </is>
      </c>
      <c r="B2" s="13" t="inlineStr">
        <is>
          <t>CDN geo-fence (country-wide)</t>
        </is>
      </c>
      <c r="C2" s="13" t="inlineStr">
        <is>
          <t>curl HTTP 000 / connection failure from non-PNG IP, both http and https. Matches existing known_blockers.md entry -- reconfirmed still blocked.</t>
        </is>
      </c>
      <c r="D2" s="13" t="inlineStr">
        <is>
          <t>eap-1</t>
        </is>
      </c>
      <c r="E2" s="13" t="inlineStr"/>
      <c r="F2" s="13" t="inlineStr"/>
      <c r="G2" s="13" t="inlineStr">
        <is>
          <t>eap</t>
        </is>
      </c>
    </row>
    <row r="3">
      <c r="A3" s="13" t="inlineStr">
        <is>
          <t>https://www.rhtradingpng.com/</t>
        </is>
      </c>
      <c r="B3" s="13" t="inlineStr">
        <is>
          <t>Cloudflare interactive challenge</t>
        </is>
      </c>
      <c r="C3" s="13" t="inlineStr">
        <is>
          <t>HTTP 403, &lt;title&gt;Just a moment...&lt;/title&gt; on both root and /shop-online/. Upgrade from the shard's stale 'Coming Soon' note -- site now sits behind a Cloudflare challenge, not just an empty catalog.</t>
        </is>
      </c>
      <c r="D3" s="13" t="inlineStr">
        <is>
          <t>eap-1</t>
        </is>
      </c>
      <c r="E3" s="13" t="inlineStr"/>
      <c r="F3" s="13" t="inlineStr"/>
      <c r="G3" s="13" t="inlineStr">
        <is>
          <t>eap</t>
        </is>
      </c>
    </row>
    <row r="4">
      <c r="A4" s="13" t="inlineStr">
        <is>
          <t>https://www.supermarche-casino.nc/</t>
        </is>
      </c>
      <c r="B4" s="13" t="inlineStr">
        <is>
          <t>Facebook-gated error page</t>
        </is>
      </c>
      <c r="C4" s="13" t="inlineStr">
        <is>
          <t>HTTP 400, body is an &lt;html id="facebook"&gt; generic error page (not a normal 400). Ordering flow appears to require Facebook OAuth/session; not a standard WAF signature, worth a Playwright probe with a warmed session if this source becomes a priority.</t>
        </is>
      </c>
      <c r="D4" s="13" t="inlineStr">
        <is>
          <t>eap-1</t>
        </is>
      </c>
      <c r="E4" s="13" t="inlineStr"/>
      <c r="F4" s="13" t="inlineStr"/>
      <c r="G4" s="13" t="inlineStr">
        <is>
          <t>eap</t>
        </is>
      </c>
    </row>
    <row r="5">
      <c r="A5" s="13" t="inlineStr">
        <is>
          <t>https://koraildrive.nc/</t>
        </is>
      </c>
      <c r="B5" s="13" t="inlineStr">
        <is>
          <t>DNS resolution timeout (unconfirmed -- not a hard block)</t>
        </is>
      </c>
      <c r="C5" s="13" t="inlineStr">
        <is>
          <t>curl: (28) Resolving timed out after 8005ms on repeated attempts. Control test confirms .nc TLD resolves fine in general (isee.nc, data.gouv.nc both 200 OK from the same host), so this is domain-specific, not an environment-wide restriction. Re-probe before writing off -- could be a flaky/slow authoritative NS.</t>
        </is>
      </c>
      <c r="D5" s="13" t="inlineStr">
        <is>
          <t>eap-1</t>
        </is>
      </c>
      <c r="E5" s="13" t="inlineStr"/>
      <c r="F5" s="13" t="inlineStr"/>
      <c r="G5" s="13" t="inlineStr">
        <is>
          <t>eap</t>
        </is>
      </c>
    </row>
    <row r="6">
      <c r="A6" s="13" t="inlineStr">
        <is>
          <t>https://aubonmarche.co/</t>
        </is>
      </c>
      <c r="B6" s="13" t="inlineStr">
        <is>
          <t>Brochure-only / no e-commerce</t>
        </is>
      </c>
      <c r="C6" s="13" t="inlineStr">
        <is>
          <t>Reconfirmed via search only (not re-probed with curl this run) -- matches existing known_blockers.md entry. Vanuatu's largest supermarket chain remains Facebook/brochure-only.</t>
        </is>
      </c>
      <c r="D6" s="13" t="inlineStr">
        <is>
          <t>eap-1</t>
        </is>
      </c>
      <c r="E6" s="13" t="inlineStr"/>
      <c r="F6" s="13" t="inlineStr"/>
      <c r="G6" s="13" t="inlineStr">
        <is>
          <t>eap</t>
        </is>
      </c>
    </row>
    <row r="7">
      <c r="A7" s="13" t="inlineStr">
        <is>
          <t>https://extra.com.fj/shop-online/</t>
        </is>
      </c>
      <c r="B7" s="13" t="inlineStr">
        <is>
          <t>Brochure-only / no catalog</t>
        </is>
      </c>
      <c r="C7" s="13" t="inlineStr">
        <is>
          <t>HTTP 200, 44KB, real WordPress page titled 'Shop Online - Extra Supermarket', but zero product links, zero add-to-cart/checkout/price markup anywhere in the document -- only a Facebook link. Not previously in known_blockers.md; new brochure-only finding.</t>
        </is>
      </c>
      <c r="D7" s="13" t="inlineStr">
        <is>
          <t>eap-1</t>
        </is>
      </c>
      <c r="E7" s="13" t="inlineStr"/>
      <c r="F7" s="13" t="inlineStr"/>
      <c r="G7" s="13" t="inlineStr">
        <is>
          <t>eap</t>
        </is>
      </c>
    </row>
    <row r="8">
      <c r="A8" s="13" t="inlineStr">
        <is>
          <t>https://www.shopnsave.com.fj/</t>
        </is>
      </c>
      <c r="B8" s="13" t="inlineStr">
        <is>
          <t>Dead/misdirected domain</t>
        </is>
      </c>
      <c r="C8" s="13" t="inlineStr">
        <is>
          <t>HTTP 200 but &lt;title&gt;Outlook&lt;/title&gt; -- the domain resolves to an Outlook Web Access login page, not the Shop N Save retailer. www.shopnsave.com.fj (with www) fails to resolve at all (HTTP 000); the bare domain serves someone's webmail. No functioning storefront found for Fiji's Shop N Save chain.</t>
        </is>
      </c>
      <c r="D8" s="13" t="inlineStr">
        <is>
          <t>eap-1</t>
        </is>
      </c>
      <c r="E8" s="13" t="inlineStr"/>
      <c r="F8" s="13" t="inlineStr"/>
      <c r="G8" s="13" t="inlineStr">
        <is>
          <t>eap</t>
        </is>
      </c>
    </row>
    <row r="9">
      <c r="A9" s="13" t="inlineStr">
        <is>
          <t>https://bulksolomons.com.sb/</t>
        </is>
      </c>
      <c r="B9" s="13" t="inlineStr">
        <is>
          <t>Site down / misconfigured (not a WAF)</t>
        </is>
      </c>
      <c r="C9" s="13" t="inlineStr">
        <is>
          <t>DNS resolves (74.208.236.168), HTTP works but every path including root returns nginx 404 (Shopify-style error page padding comments present, suggesting a Shopify backend that isn't actually serving this domain/theme). HTTPS fails TLS handshake entirely (curl exit 35). Directory listings describe it as an active online grocery importer/distributor in Honiara -- site is either being rebuilt or the domain is misrouted.</t>
        </is>
      </c>
      <c r="D9" s="13" t="inlineStr">
        <is>
          <t>eap-1</t>
        </is>
      </c>
      <c r="E9" s="13" t="inlineStr"/>
      <c r="F9" s="13" t="inlineStr"/>
      <c r="G9" s="13" t="inlineStr">
        <is>
          <t>eap</t>
        </is>
      </c>
    </row>
    <row r="10">
      <c r="A10" s="13" t="inlineStr">
        <is>
          <t>https://www.jackspng.com/</t>
        </is>
      </c>
      <c r="B10" s="13" t="inlineStr">
        <is>
          <t>Out of scope (not a blocker)</t>
        </is>
      </c>
      <c r="C10" s="13" t="inlineStr">
        <is>
          <t>HTTP 200, live WooCommerce site, but product-category taxonomy is 100% apparel/general-merchandise (mens/ladies/backpacks/watches/surfwear/fragrance) -- zero food/grocery categories. Not relevant to the F&amp;B basket regardless of scrapeability.</t>
        </is>
      </c>
      <c r="D10" s="13" t="inlineStr">
        <is>
          <t>eap-1</t>
        </is>
      </c>
      <c r="E10" s="13" t="inlineStr"/>
      <c r="F10" s="13" t="inlineStr"/>
      <c r="G10" s="13" t="inlineStr">
        <is>
          <t>eap</t>
        </is>
      </c>
    </row>
    <row r="11">
      <c r="A11" s="13" t="inlineStr">
        <is>
          <t>https://ecourses.carrefour.pf/arue/ (and /punaauia)</t>
        </is>
      </c>
      <c r="B11" s="13" t="inlineStr">
        <is>
          <t>Geo-restriction (explicit, not generic anti-bot)</t>
        </is>
      </c>
      <c r="C11" s="13" t="inlineStr">
        <is>
          <t>curl -A &lt;chrome-UA&gt; -&gt; HTTP 403, response body in French: '403 Interdit -- Vous ne pouvez pas acceder a notre boutique depuis votre pays.' Platform itself is alive and correctly themed per store (PrestaShop-family 'ecourses2' theme, Carrefour Arue branding) -- this is an IP-geolocation gate, not a WAF challenge. Would need a French Polynesia or metropolitan-France residential/VPS IP to get past it; not attempted.</t>
        </is>
      </c>
      <c r="D11" s="13" t="inlineStr">
        <is>
          <t>eap-2</t>
        </is>
      </c>
      <c r="E11" s="13" t="inlineStr"/>
      <c r="F11" s="13" t="inlineStr"/>
      <c r="G11" s="13" t="inlineStr">
        <is>
          <t>eap</t>
        </is>
      </c>
    </row>
    <row r="12">
      <c r="A12" s="13" t="inlineStr">
        <is>
          <t>https://www.paylessmarkets.com (Guam Pay-Less Markets, /specials circular)</t>
        </is>
      </c>
      <c r="B12" s="13" t="inlineStr">
        <is>
          <t>Non-standard backend (Firestore realtime Listen protocol, not a simple REST API)</t>
        </is>
      </c>
      <c r="C12" s="13" t="inlineStr">
        <is>
          <t>Playwright network capture on /specials shows the embedded &lt;ideal-circular-view&gt; widget (loaded from component.ideal.sale, vendor='Ideal'/'Duplo') streams its content via https://firestore.googleapis.com/google.firestore.v1.Firestore/Listen/channel (session-negotiated long-polling, gsessionid/SID/RID params, one payload observed at 266KB) rather than a plain GET JSON endpoint. Direct guesses at api.ideal.sale/* REST paths all 404'd ('This endpoint is not available'). /online-shopping on the same domain 302-redirects back to the homepage -- that feature appears discontinued. Real product+price data is confirmed to exist and flow through this channel; extracting it would require either reverse-engineering the Firestore Listen wire format or scripting a headless-browser session against the widget, both materially higher effort than a normal Tier 1B/2 build.</t>
        </is>
      </c>
      <c r="D12" s="13" t="inlineStr">
        <is>
          <t>eap-2</t>
        </is>
      </c>
      <c r="E12" s="13" t="inlineStr"/>
      <c r="F12" s="13" t="inlineStr"/>
      <c r="G12" s="13" t="inlineStr">
        <is>
          <t>eap</t>
        </is>
      </c>
    </row>
    <row r="13">
      <c r="A13" s="13" t="inlineStr">
        <is>
          <t>https://www.costuless.com (Cost.U.Less -- Guam/American Samoa/Fiji/Caribbean/Hawaii warehouse chain)</t>
        </is>
      </c>
      <c r="B13" s="13" t="inlineStr">
        <is>
          <t>Brochure-only, no online catalog</t>
        </is>
      </c>
      <c r="C13" s="13" t="inlineStr">
        <is>
          <t>curl on /, /american-samoa, /dededo (Guam), /tamuning (Guam), /shop, /products -- only /shop and /products 404; store-location pages are about-us/hours only. No 'weekly ad', 'circular', or 'product' markup anywhere in the rendered HTML across any store page. This is a North West Company brand (footer confirms) -- brick-and-mortar only.</t>
        </is>
      </c>
      <c r="D13" s="13" t="inlineStr">
        <is>
          <t>eap-2</t>
        </is>
      </c>
      <c r="E13" s="13" t="inlineStr"/>
      <c r="F13" s="13" t="inlineStr"/>
      <c r="G13" s="13" t="inlineStr">
        <is>
          <t>eap</t>
        </is>
      </c>
    </row>
    <row r="14">
      <c r="A14" s="13" t="inlineStr">
        <is>
          <t>https://joetensuperstore.com (Joeten, CNMI's leading grocery chain)</t>
        </is>
      </c>
      <c r="B14" s="13" t="inlineStr">
        <is>
          <t>Parked/placeholder domain</t>
        </is>
      </c>
      <c r="C14" s="13" t="inlineStr">
        <is>
          <t>curl -&gt; HTTP 200 but body is a GoDaddy 'Launching Soon' template (&lt;h1&gt;Launching Soon&lt;/h1&gt;), no store content of any kind.</t>
        </is>
      </c>
      <c r="D14" s="13" t="inlineStr">
        <is>
          <t>eap-2</t>
        </is>
      </c>
      <c r="E14" s="13" t="inlineStr"/>
      <c r="F14" s="13" t="inlineStr"/>
      <c r="G14" s="13" t="inlineStr">
        <is>
          <t>eap</t>
        </is>
      </c>
    </row>
    <row r="15">
      <c r="A15" s="13" t="inlineStr">
        <is>
          <t>https://www.islandchoicegrocery.com (Guam's 'first online grocery delivery service' per search)</t>
        </is>
      </c>
      <c r="B15" s="13" t="inlineStr">
        <is>
          <t>Domain hijacked/parked</t>
        </is>
      </c>
      <c r="C15" s="13" t="inlineStr">
        <is>
          <t>curl -&gt; HTTP 200, but &lt;title&gt;NG集团数码集团&lt;/title&gt; (Chinese, unrelated to grocery) and product links are generic placeholder catalog pages (/product/details###.html). Domain has clearly expired and been repurposed; not the original service.</t>
        </is>
      </c>
      <c r="D15" s="13" t="inlineStr">
        <is>
          <t>eap-2</t>
        </is>
      </c>
      <c r="E15" s="13" t="inlineStr"/>
      <c r="F15" s="13" t="inlineStr"/>
      <c r="G15" s="13" t="inlineStr">
        <is>
          <t>eap</t>
        </is>
      </c>
    </row>
    <row r="16">
      <c r="A16" s="13" t="inlineStr"/>
      <c r="B16" s="13" t="inlineStr">
        <is>
          <t>True zero -- no online presence</t>
        </is>
      </c>
      <c r="C16" s="13" t="inlineStr">
        <is>
          <t>Named supermarkets (EZ Price Mart, Payless Supermarket, K&amp;K Island Pride, Formosa Supermarket, Happy Shop, MISCO) have no resolvable dedicated domains; search results explicitly note 'the search results do not include dedicated official websites for individual supermarkets in Majuro.'</t>
        </is>
      </c>
      <c r="D16" s="13" t="inlineStr">
        <is>
          <t>eap-2</t>
        </is>
      </c>
      <c r="E16" s="13" t="inlineStr">
        <is>
          <t>marshall_islands</t>
        </is>
      </c>
      <c r="F16" s="13" t="inlineStr">
        <is>
          <t>WebSearch 'Majuro Marshall Islands supermarket grocery store website'; direct domain guesses ezpricemart.com (timeout), formosasupermarket.com (NXDOMAIN)</t>
        </is>
      </c>
      <c r="G16" s="13" t="inlineStr">
        <is>
          <t>eap</t>
        </is>
      </c>
    </row>
    <row r="17">
      <c r="A17" s="13" t="inlineStr"/>
      <c r="B17" s="13" t="inlineStr">
        <is>
          <t>True zero -- no online presence</t>
        </is>
      </c>
      <c r="C17" s="13" t="inlineStr">
        <is>
          <t>Named stores (Punjas, MOEL, imart Bikenibeu) surface only on Facebook/directory listings, no dedicated e-commerce sites. A 'List of I-Kiribati Grocery eCommerce Websites' link from builtwith.com turned out to be a generic global grocery-brand directory, not Kiribati-specific -- false lead.</t>
        </is>
      </c>
      <c r="D17" s="13" t="inlineStr">
        <is>
          <t>eap-2</t>
        </is>
      </c>
      <c r="E17" s="13" t="inlineStr">
        <is>
          <t>kiribati</t>
        </is>
      </c>
      <c r="F17" s="13" t="inlineStr">
        <is>
          <t>WebSearch 'Tarawa Kiribati supermarket online shopping website'; domain guesses imart.ki (NXDOMAIN), punjas.com.fj (NXDOMAIN)</t>
        </is>
      </c>
      <c r="G17" s="13" t="inlineStr">
        <is>
          <t>eap</t>
        </is>
      </c>
    </row>
    <row r="18">
      <c r="A18" s="13" t="inlineStr"/>
      <c r="B18" s="13" t="inlineStr">
        <is>
          <t>True zero -- no online presence</t>
        </is>
      </c>
      <c r="C18" s="13" t="inlineStr">
        <is>
          <t>Pago Supermarket, KS Mart, TSM Mart have no discoverable websites; Cost.U.Less American Samoa's only web presence is a Facebook page.</t>
        </is>
      </c>
      <c r="D18" s="13" t="inlineStr">
        <is>
          <t>eap-2</t>
        </is>
      </c>
      <c r="E18" s="13" t="inlineStr">
        <is>
          <t>american_samoa</t>
        </is>
      </c>
      <c r="F18" s="13" t="inlineStr">
        <is>
          <t>WebSearch 'Pago Pago American Samoa supermarket online shopping website'</t>
        </is>
      </c>
      <c r="G18" s="13" t="inlineStr">
        <is>
          <t>eap</t>
        </is>
      </c>
    </row>
    <row r="19">
      <c r="A19" s="13" t="inlineStr"/>
      <c r="B19" s="13" t="inlineStr">
        <is>
          <t>True zero -- no online presence</t>
        </is>
      </c>
      <c r="C19" s="13" t="inlineStr">
        <is>
          <t>Welcome Supermarket, K-Supermarket have no discoverable dedicated domains beyond directory/aggregator listing pages (evendo.com, cybo.com).</t>
        </is>
      </c>
      <c r="D19" s="13" t="inlineStr">
        <is>
          <t>eap-2</t>
        </is>
      </c>
      <c r="E19" s="13" t="inlineStr">
        <is>
          <t>northern_mariana_islands</t>
        </is>
      </c>
      <c r="F19" s="13" t="inlineStr">
        <is>
          <t>WebSearch 'Saipan supermarket grocery store online shopping website CNMI'</t>
        </is>
      </c>
      <c r="G19" s="13" t="inlineStr">
        <is>
          <t>eap</t>
        </is>
      </c>
    </row>
    <row r="20">
      <c r="A20" s="13" t="inlineStr">
        <is>
          <t>https://stats-sdmx-disseminate.pacificdata.org (SPC Pacific Data Hub, the region's official statistics portal)</t>
        </is>
      </c>
      <c r="B20" s="13" t="inlineStr">
        <is>
          <t>Live and queryable, but no item-level retail price dataflow exists</t>
        </is>
      </c>
      <c r="C20" s="13" t="inlineStr">
        <is>
          <t>Full SDMX dataflow listing pulled (GET /rest/dataflow -&gt; 200, 189KB, 100+ dataflows). Checked every price-adjacent one: DF_COMMODITY_PRICES (SPC,1.0) is global commodity benchmark data (aluminum, coal, EU/US banana reference prices) with NO country dimension at all -- not usable per-country. DF_CPI (SPC,3.2) has GEO_PICT covering AS/FM/GU/KI/MH/NR/PF/PW/TO/TV/WS (11 of my 12 -- everything except MP) but COMMODITY is division-level only (01-13, the 13 COICOP divisions), i.e. an all-food inflation index, not item-level prices -- confirmed via GET .../rest/data/SPC,DF_CPI,3.2/all. DF_HHEXP (SPC,1.0) is COICOP-SUBCLASS-level (e.g. '01_1_1_002') but is Household Income and Expenditure Survey EXPENDITURE data (INDICATOR=HHEXP/HHEXPPROP, no accompanying quantity field), covering TO/KI/MH/VU/WF among Pacific countries -- genuinely detailed by commodity but not convertible to a per-unit price without a quantity denominator the dataflow doesn't carry. No dataflow in the full catalog (scanned for PRICE/CPI/FOOD/MARKET keywords) provides country-level, item/leaf-resolution, per-unit retail or wholesale prices. This closes off what the brief flagged as the single best-possible outcome for this shard -- it is real, it is live, but it does not solve the corpus gap.</t>
        </is>
      </c>
      <c r="D20" s="13" t="inlineStr">
        <is>
          <t>eap-2</t>
        </is>
      </c>
      <c r="E20" s="13" t="inlineStr"/>
      <c r="F20" s="13" t="inlineStr"/>
      <c r="G20" s="13" t="inlineStr">
        <is>
          <t>eap</t>
        </is>
      </c>
    </row>
    <row r="21">
      <c r="A21" s="13" t="inlineStr">
        <is>
          <t>kamis.or.kr / data.go.kr (KAMIS OpenAPI)</t>
        </is>
      </c>
      <c r="B21" s="13" t="inlineStr">
        <is>
          <t>Registration-gated OpenAPI key (not a WAF)</t>
        </is>
      </c>
      <c r="C21" s="13" t="inlineStr">
        <is>
          <t>Both kamis.or.kr's own Open-API guide and its data.go.kr public-data-portal mirror require a signed-up member account plus an issued cert_key/cert_id before any endpoint returns data -- no unauthenticated read path on either domain. Matches and reconfirms the 2026-08-05 finding recorded in project memory.</t>
        </is>
      </c>
      <c r="D21" s="13" t="inlineStr">
        <is>
          <t>eap-3</t>
        </is>
      </c>
      <c r="E21" s="13" t="inlineStr"/>
      <c r="F21" s="13" t="inlineStr"/>
      <c r="G21" s="13" t="inlineStr">
        <is>
          <t>eap</t>
        </is>
      </c>
    </row>
    <row r="22">
      <c r="A22" s="13" t="inlineStr">
        <is>
          <t>www.bi.go.id/hargapangan/*</t>
        </is>
      </c>
      <c r="B22" s="13" t="inlineStr">
        <is>
          <t>JS grid (DevExtreme), no plain-GET data endpoint found</t>
        </is>
      </c>
      <c r="C22" s="13" t="inlineStr">
        <is>
          <t>8 price-table views all render client-side via a DevExtreme datagrid; raw HTML has no embedded JSON and no obvious REST path guessed within budget (tried common /api/, /Data/ prefixes implicitly via page source grep, none present in static HTML).</t>
        </is>
      </c>
      <c r="D22" s="13" t="inlineStr">
        <is>
          <t>eap-3</t>
        </is>
      </c>
      <c r="E22" s="13" t="inlineStr"/>
      <c r="F22" s="13" t="inlineStr"/>
      <c r="G22" s="13" t="inlineStr">
        <is>
          <t>eap</t>
        </is>
      </c>
    </row>
    <row r="23">
      <c r="A23" s="13" t="inlineStr">
        <is>
          <t>data.moa.gov.cn/nyb/pc/index.jsp, ncpscxx.moa.gov.cn</t>
        </is>
      </c>
      <c r="B23" s="13" t="inlineStr">
        <is>
          <t>JS-SPA shell, unconfirmed backend + possible CN egress issues</t>
        </is>
      </c>
      <c r="C23" s="13" t="inlineStr">
        <is>
          <t>200 OK on both but content reads as an app bootstrap rather than server-rendered data; repo history separately documents GFW-style TLS stalls for other *.cn hosts from non-CN egress (metro.cn), so even a found endpoint may need in-country network access.</t>
        </is>
      </c>
      <c r="D23" s="13" t="inlineStr">
        <is>
          <t>eap-3</t>
        </is>
      </c>
      <c r="E23" s="13" t="inlineStr"/>
      <c r="F23" s="13" t="inlineStr"/>
      <c r="G23" s="13" t="inlineStr">
        <is>
          <t>eap</t>
        </is>
      </c>
    </row>
    <row r="24">
      <c r="A24" s="13" t="inlineStr">
        <is>
          <t>www.ifpri.org/project/fresh-food-price-analysis-papua-new-guinea/</t>
        </is>
      </c>
      <c r="B24" s="13" t="inlineStr">
        <is>
          <t>JS-rendered page, 212-byte stub on curl</t>
        </is>
      </c>
      <c r="C24" s="13" t="inlineStr">
        <is>
          <t>Plain curl with browser UA returned only 212 bytes; the actual price-database tool referenced by IFPRI's own description was not located as a separate static URL within budget.</t>
        </is>
      </c>
      <c r="D24" s="13" t="inlineStr">
        <is>
          <t>eap-3</t>
        </is>
      </c>
      <c r="E24" s="13" t="inlineStr"/>
      <c r="F24" s="13" t="inlineStr"/>
      <c r="G24" s="13" t="inlineStr">
        <is>
          <t>eap</t>
        </is>
      </c>
    </row>
    <row r="25">
      <c r="A25" s="13" t="inlineStr">
        <is>
          <t>www.gurkerl.at, www.knuspr.de</t>
        </is>
      </c>
      <c r="B25" s="13" t="inlineStr">
        <is>
          <t>Cloudflare interactive challenge (Rohlik-stack tenant)</t>
        </is>
      </c>
      <c r="C25" s="13" t="inlineStr">
        <is>
          <t>curl 403 'Just a moment...' AND Playwright 403 'Just a moment...' on both AT and DE Rohlik-family domains - confirmed both channels, same signature, same underlying platform</t>
        </is>
      </c>
      <c r="D25" s="13" t="inlineStr">
        <is>
          <t>eca-1</t>
        </is>
      </c>
      <c r="E25" s="13" t="inlineStr"/>
      <c r="F25" s="13" t="inlineStr"/>
      <c r="G25" s="13" t="inlineStr">
        <is>
          <t>eca</t>
        </is>
      </c>
    </row>
    <row r="26">
      <c r="A26" s="13" t="inlineStr">
        <is>
          <t>billa.at, spar.at, interspar.at, selver.ee, iki.lt, small.kz, courses u.com, picard.fr, monoprix.fr, profi.ro, pametno.rs, pametno.si, supermarket.mt, hofer.si</t>
        </is>
      </c>
      <c r="B26" s="13" t="inlineStr">
        <is>
          <t>Cloudflare strict / interactive challenge (assorted tenants)</t>
        </is>
      </c>
      <c r="C26" s="13" t="inlineStr">
        <is>
          <t>curl 403 title 'Just a moment...' or 'Attention Required! | Cloudflare' - each is a distinct tenant, listed together only because the signature is identical; Selver and IKI additionally Playwright-confirmed 403</t>
        </is>
      </c>
      <c r="D26" s="13" t="inlineStr">
        <is>
          <t>eca-1</t>
        </is>
      </c>
      <c r="E26" s="13" t="inlineStr"/>
      <c r="F26" s="13" t="inlineStr"/>
      <c r="G26" s="13" t="inlineStr">
        <is>
          <t>eca</t>
        </is>
      </c>
    </row>
    <row r="27">
      <c r="A27" s="13" t="inlineStr">
        <is>
          <t>ah.be, delhaize.be</t>
        </is>
      </c>
      <c r="B27" s="13" t="inlineStr">
        <is>
          <t>Akamai bot manager (shared tenant)</t>
        </is>
      </c>
      <c r="C27" s="13" t="inlineStr">
        <is>
          <t>curl 403 'Access Denied' with an errors.edgesuite.net reference ID on both - same Akamai tenant, one bypass would unlock both</t>
        </is>
      </c>
      <c r="D27" s="13" t="inlineStr">
        <is>
          <t>eca-1</t>
        </is>
      </c>
      <c r="E27" s="13" t="inlineStr"/>
      <c r="F27" s="13" t="inlineStr"/>
      <c r="G27" s="13" t="inlineStr">
        <is>
          <t>eca</t>
        </is>
      </c>
    </row>
    <row r="28">
      <c r="A28" s="13" t="inlineStr">
        <is>
          <t>hofer.at, hofer.si</t>
        </is>
      </c>
      <c r="B28" s="13" t="inlineStr">
        <is>
          <t>Akamai/CDN bot manager (Aldi Sued shared tenant)</t>
        </is>
      </c>
      <c r="C28" s="13" t="inlineStr">
        <is>
          <t>curl 403 'Access Denied' 366-byte body, byte-identical across .at and .si TLDs</t>
        </is>
      </c>
      <c r="D28" s="13" t="inlineStr">
        <is>
          <t>eca-1</t>
        </is>
      </c>
      <c r="E28" s="13" t="inlineStr"/>
      <c r="F28" s="13" t="inlineStr"/>
      <c r="G28" s="13" t="inlineStr">
        <is>
          <t>eca</t>
        </is>
      </c>
    </row>
    <row r="29">
      <c r="A29" s="13" t="inlineStr">
        <is>
          <t>www.coop.ch</t>
        </is>
      </c>
      <c r="B29" s="13" t="inlineStr">
        <is>
          <t>DataDome bot protection</t>
        </is>
      </c>
      <c r="C29" s="13" t="inlineStr">
        <is>
          <t>curl 200 but 767-byte body reads 'Please enable JS and disable any ad blocker' with an embedded DataDome 'dd' config object - classic DataDome signature per known_blockers.md</t>
        </is>
      </c>
      <c r="D29" s="13" t="inlineStr">
        <is>
          <t>eca-1</t>
        </is>
      </c>
      <c r="E29" s="13" t="inlineStr"/>
      <c r="F29" s="13" t="inlineStr"/>
      <c r="G29" s="13" t="inlineStr">
        <is>
          <t>eca</t>
        </is>
      </c>
    </row>
    <row r="30">
      <c r="A30" s="13" t="inlineStr">
        <is>
          <t>www.migros.ch, www.leshop.ch</t>
        </is>
      </c>
      <c r="B30" s="13" t="inlineStr">
        <is>
          <t>Generic WAF 'maintenance' interstitial (shared tenant)</t>
        </is>
      </c>
      <c r="C30" s="13" t="inlineStr">
        <is>
          <t>curl 403, byte-identical 213.6KB 'maintenance'-titled body on two unrelated Swiss retail domains simultaneously - strongly suggests a shared WAF vendor template, not genuine site maintenance</t>
        </is>
      </c>
      <c r="D30" s="13" t="inlineStr">
        <is>
          <t>eca-1</t>
        </is>
      </c>
      <c r="E30" s="13" t="inlineStr"/>
      <c r="F30" s="13" t="inlineStr"/>
      <c r="G30" s="13" t="inlineStr">
        <is>
          <t>eca</t>
        </is>
      </c>
    </row>
    <row r="31">
      <c r="A31" s="13" t="inlineStr">
        <is>
          <t>www.kaufland.de</t>
        </is>
      </c>
      <c r="B31" s="13" t="inlineStr">
        <is>
          <t>Branded WAF block page</t>
        </is>
      </c>
      <c r="C31" s="13" t="inlineStr">
        <is>
          <t>curl 403, explicit title 'Kaufland.de - Zugriff blockiert' (Access blocked) - contrast with kaufland.ro which is NOT blocked, confirming per-country WAF posture</t>
        </is>
      </c>
      <c r="D31" s="13" t="inlineStr">
        <is>
          <t>eca-1</t>
        </is>
      </c>
      <c r="E31" s="13" t="inlineStr"/>
      <c r="F31" s="13" t="inlineStr"/>
      <c r="G31" s="13" t="inlineStr">
        <is>
          <t>eca</t>
        </is>
      </c>
    </row>
    <row r="32">
      <c r="A32" s="13" t="inlineStr">
        <is>
          <t>www.nemlig.com</t>
        </is>
      </c>
      <c r="B32" s="13" t="inlineStr">
        <is>
          <t>Queue-it virtual waiting room</t>
        </is>
      </c>
      <c r="C32" s="13" t="inlineStr">
        <is>
          <t>curl exceeded 50 redirects looping on a queueittoken parameter - a load-shedding queue mechanism, not a permanent bot wall</t>
        </is>
      </c>
      <c r="D32" s="13" t="inlineStr">
        <is>
          <t>eca-1</t>
        </is>
      </c>
      <c r="E32" s="13" t="inlineStr"/>
      <c r="F32" s="13" t="inlineStr"/>
      <c r="G32" s="13" t="inlineStr">
        <is>
          <t>eca</t>
        </is>
      </c>
    </row>
    <row r="33">
      <c r="A33" s="13" t="inlineStr">
        <is>
          <t>shop.rema1000.dk</t>
        </is>
      </c>
      <c r="B33" s="13" t="inlineStr">
        <is>
          <t>Geo-fence (explicit message)</t>
        </is>
      </c>
      <c r="C33" s="13" t="inlineStr">
        <is>
          <t>curl 403, 41-byte body: 'This site is not available in your region'</t>
        </is>
      </c>
      <c r="D33" s="13" t="inlineStr">
        <is>
          <t>eca-1</t>
        </is>
      </c>
      <c r="E33" s="13" t="inlineStr"/>
      <c r="F33" s="13" t="inlineStr"/>
      <c r="G33" s="13" t="inlineStr">
        <is>
          <t>eca</t>
        </is>
      </c>
    </row>
    <row r="34">
      <c r="A34" s="13" t="inlineStr">
        <is>
          <t>carrefour.ro, carrefour.be, carrefour.fr</t>
        </is>
      </c>
      <c r="B34" s="13" t="inlineStr">
        <is>
          <t>Cloudflare (Carrefour multi-country tenant)</t>
        </is>
      </c>
      <c r="C34" s="13" t="inlineStr">
        <is>
          <t>carrefour.ro: 403 'Attention Required! Cloudflare', confirmed via curl AND Playwright. carrefour.be: 403 'Attention Required! Cloudflare'. carrefour.fr: 403 with a 574KB Nuxt SPA shell (no product data, ambiguous but effectively blocked). Same corporate family, consistent WAF posture across 3 countries.</t>
        </is>
      </c>
      <c r="D34" s="13" t="inlineStr">
        <is>
          <t>eca-1</t>
        </is>
      </c>
      <c r="E34" s="13" t="inlineStr"/>
      <c r="F34" s="13" t="inlineStr"/>
      <c r="G34" s="13" t="inlineStr">
        <is>
          <t>eca</t>
        </is>
      </c>
    </row>
    <row r="35">
      <c r="A35" s="13" t="inlineStr">
        <is>
          <t>leclercdrive.fr</t>
        </is>
      </c>
      <c r="B35" s="13" t="inlineStr">
        <is>
          <t>TCP-layer connection reset</t>
        </is>
      </c>
      <c r="C35" s="13" t="inlineStr">
        <is>
          <t>curl error 35 'Recv failure: Connection reset by peer'</t>
        </is>
      </c>
      <c r="D35" s="13" t="inlineStr">
        <is>
          <t>eca-1</t>
        </is>
      </c>
      <c r="E35" s="13" t="inlineStr"/>
      <c r="F35" s="13" t="inlineStr"/>
      <c r="G35" s="13" t="inlineStr">
        <is>
          <t>eca</t>
        </is>
      </c>
    </row>
    <row r="36">
      <c r="A36" s="13" t="inlineStr">
        <is>
          <t>oda.com</t>
        </is>
      </c>
      <c r="B36" s="13" t="inlineStr">
        <is>
          <t>Connection timeout (unclear cause)</t>
        </is>
      </c>
      <c r="C36" s="13" t="inlineStr">
        <is>
          <t>curl error 28, 20s timeout, reproduced twice - possibly network-path or geo issue rather than a deliberate block, needs re-probe from a different network</t>
        </is>
      </c>
      <c r="D36" s="13" t="inlineStr">
        <is>
          <t>eca-1</t>
        </is>
      </c>
      <c r="E36" s="13" t="inlineStr"/>
      <c r="F36" s="13" t="inlineStr"/>
      <c r="G36" s="13" t="inlineStr">
        <is>
          <t>eca</t>
        </is>
      </c>
    </row>
    <row r="37">
      <c r="A37" s="13" t="inlineStr">
        <is>
          <t>sas.am</t>
        </is>
      </c>
      <c r="B37" s="13" t="inlineStr">
        <is>
          <t>Anubis proof-of-work bot challenge (new class, not previously in known_blockers.md)</t>
        </is>
      </c>
      <c r="C37" s="13" t="inlineStr">
        <is>
          <t>HTTP 200 body is an Anubis JS PoW challenge page (script id='anubis_challenge', {"rules":{"algorithm":"fast","difficulty":5}}, title 'Making sure you're not a bot!'). Bare curl cannot solve the PoW.</t>
        </is>
      </c>
      <c r="D37" s="13" t="inlineStr">
        <is>
          <t>eca-2</t>
        </is>
      </c>
      <c r="E37" s="13" t="inlineStr"/>
      <c r="F37" s="13" t="inlineStr"/>
      <c r="G37" s="13" t="inlineStr">
        <is>
          <t>eca</t>
        </is>
      </c>
    </row>
    <row r="38">
      <c r="A38" s="13" t="inlineStr">
        <is>
          <t>www.carrefour.ge</t>
        </is>
      </c>
      <c r="B38" s="13" t="inlineStr">
        <is>
          <t>Akamai (MAF Retail / Majid Al Futtaim stack)</t>
        </is>
      </c>
      <c r="C38" s="13" t="inlineStr">
        <is>
          <t>Apex has no A record; www subdomain resolves via mafretailprod.edgekey.net -&gt; HTTP 403 'Access Denied', server: AkamaiGHost, cart_api=v2 cookie set, edgesuite.net error reference.</t>
        </is>
      </c>
      <c r="D38" s="13" t="inlineStr">
        <is>
          <t>eca-2</t>
        </is>
      </c>
      <c r="E38" s="13" t="inlineStr"/>
      <c r="F38" s="13" t="inlineStr"/>
      <c r="G38" s="13" t="inlineStr">
        <is>
          <t>eca</t>
        </is>
      </c>
    </row>
    <row r="39">
      <c r="A39" s="13" t="inlineStr">
        <is>
          <t>posokanei.gov.gr</t>
        </is>
      </c>
      <c r="B39" s="13" t="inlineStr">
        <is>
          <t>Plain 403, no CDN vendor fingerprint (likely Greece-only IP allowlist / country fence)</t>
        </is>
      </c>
      <c r="C39" s="13" t="inlineStr">
        <is>
          <t>HTTP 403, 134-byte generic body, no cf-ray/server/Akamai headers. Reproduced on /, /robots.txt, and a guessed /api/v1/products path. Matches the 'Country-wide IP-fence cohort' pattern -- needs a Greek residential IP to confirm.</t>
        </is>
      </c>
      <c r="D39" s="13" t="inlineStr">
        <is>
          <t>eca-2</t>
        </is>
      </c>
      <c r="E39" s="13" t="inlineStr"/>
      <c r="F39" s="13" t="inlineStr"/>
      <c r="G39" s="13" t="inlineStr">
        <is>
          <t>eca</t>
        </is>
      </c>
    </row>
    <row r="40">
      <c r="A40" s="13" t="inlineStr">
        <is>
          <t>sklavenitis.com.cy</t>
        </is>
      </c>
      <c r="B40" s="13" t="inlineStr">
        <is>
          <t>Parked domain (not a WAF)</t>
        </is>
      </c>
      <c r="C40" s="13" t="inlineStr">
        <is>
          <t>HTTP 200, title 'www.sklavenitis.com.cy - Domain for Leasing'. The live site has moved to sklavenitiscyprus.com.cy (reachable via a redirect from papantoniou.com.cy).</t>
        </is>
      </c>
      <c r="D40" s="13" t="inlineStr">
        <is>
          <t>eca-2</t>
        </is>
      </c>
      <c r="E40" s="13" t="inlineStr"/>
      <c r="F40" s="13" t="inlineStr"/>
      <c r="G40" s="13" t="inlineStr">
        <is>
          <t>eca</t>
        </is>
      </c>
    </row>
    <row r="41">
      <c r="A41" s="13" t="inlineStr">
        <is>
          <t>cactus.lu</t>
        </is>
      </c>
      <c r="B41" s="13" t="inlineStr">
        <is>
          <t>F5 BIG-IP ASM WAF (new class, not previously in known_blockers.md)</t>
        </is>
      </c>
      <c r="C41" s="13" t="inlineStr">
        <is>
          <t>HTTP 200, 244-byte body: 'Request Rejected... The requested URL was rejected. Please consult with your administrator. Your support ID is: &lt;id&gt;'. Classic F5 ASM signature.</t>
        </is>
      </c>
      <c r="D41" s="13" t="inlineStr">
        <is>
          <t>eca-2</t>
        </is>
      </c>
      <c r="E41" s="13" t="inlineStr"/>
      <c r="F41" s="13" t="inlineStr"/>
      <c r="G41" s="13" t="inlineStr">
        <is>
          <t>eca</t>
        </is>
      </c>
    </row>
    <row r="42">
      <c r="A42" s="13" t="inlineStr">
        <is>
          <t>www.sezamo.it, www.kifli.hu</t>
        </is>
      </c>
      <c r="B42" s="13" t="inlineStr">
        <is>
          <t>Cloudflare interactive challenge (Rohlik-family, posture drift)</t>
        </is>
      </c>
      <c r="C42" s="13" t="inlineStr">
        <is>
          <t>Both HTTP 403 with the Cloudflare 'Just a moment...' interstitial, including on the documented /services/frontend-service/products endpoint for sezamo.it. Both were previously flagged elsewhere as open/verified Rohlik endpoints -- WAF posture appears to have tightened region-wide since. Worth a dedicated curl_cffi impersonate re-test before writing off.</t>
        </is>
      </c>
      <c r="D42" s="13" t="inlineStr">
        <is>
          <t>eca-2</t>
        </is>
      </c>
      <c r="E42" s="13" t="inlineStr"/>
      <c r="F42" s="13" t="inlineStr"/>
      <c r="G42" s="13" t="inlineStr">
        <is>
          <t>eca</t>
        </is>
      </c>
    </row>
    <row r="43">
      <c r="A43" s="13" t="inlineStr">
        <is>
          <t>www.alphamega.com.cy, www.supermarketcy.com.cy, www.e-food.gr</t>
        </is>
      </c>
      <c r="B43" s="13" t="inlineStr">
        <is>
          <t>Cloudflare interactive challenge</t>
        </is>
      </c>
      <c r="C43" s="13" t="inlineStr">
        <is>
          <t>All three return HTTP 403 with the same 'Just a moment...' / noindex / CSP-challenges.cloudflare.com signature.</t>
        </is>
      </c>
      <c r="D43" s="13" t="inlineStr">
        <is>
          <t>eca-2</t>
        </is>
      </c>
      <c r="E43" s="13" t="inlineStr"/>
      <c r="F43" s="13" t="inlineStr"/>
      <c r="G43" s="13" t="inlineStr">
        <is>
          <t>eca</t>
        </is>
      </c>
    </row>
    <row r="44">
      <c r="A44" s="13" t="inlineStr">
        <is>
          <t>gladen.bg, mohira.tj, frunze.online</t>
        </is>
      </c>
      <c r="B44" s="13" t="inlineStr">
        <is>
          <t>Unreachable (TCP timeout / DNS NXDOMAIN, not a WAF)</t>
        </is>
      </c>
      <c r="C44" s="13" t="inlineStr">
        <is>
          <t>gladen.bg: TCP connect to 185.55.229.31:443 times out on 3 attempts. mohira.tj and frunze.online: DNS NXDOMAIN via 8.8.8.8. Re-probe from a different network before treating as structurally dead (except frunze.online/mohira.tj which look genuinely retired).</t>
        </is>
      </c>
      <c r="D44" s="13" t="inlineStr">
        <is>
          <t>eca-2</t>
        </is>
      </c>
      <c r="E44" s="13" t="inlineStr"/>
      <c r="F44" s="13" t="inlineStr"/>
      <c r="G44" s="13" t="inlineStr">
        <is>
          <t>eca</t>
        </is>
      </c>
    </row>
    <row r="45">
      <c r="A45" s="13" t="inlineStr">
        <is>
          <t>korpa.ba, usporedilica.hr, spar.hr, rohlik.cz</t>
        </is>
      </c>
      <c r="B45" s="13" t="inlineStr">
        <is>
          <t>Cloudflare interactive challenge (cf-mitigated: challenge / 'Just a moment...')</t>
        </is>
      </c>
      <c r="C45" s="13" t="inlineStr">
        <is>
          <t>korpa.ba and usporedilica.hr and spar.hr: curl 403 'Just a moment...' stub; korpa.ba additionally confirmed 403 on Playwright headless render (hard block per project convention). rohlik.cz: curl 403 with explicit 'cf-mitigated: challenge' header and CSP referencing challenges.cloudflare.com.</t>
        </is>
      </c>
      <c r="D45" s="13" t="inlineStr">
        <is>
          <t>eca-3</t>
        </is>
      </c>
      <c r="E45" s="13" t="inlineStr"/>
      <c r="F45" s="13" t="inlineStr"/>
      <c r="G45" s="13" t="inlineStr">
        <is>
          <t>eca</t>
        </is>
      </c>
    </row>
    <row r="46">
      <c r="A46" s="13" t="inlineStr">
        <is>
          <t>coop.nl, plus.nl, consum.es, shop.coop.co.uk</t>
        </is>
      </c>
      <c r="B46" s="13" t="inlineStr">
        <is>
          <t>Imperva Incapsula JS-challenge stub</t>
        </is>
      </c>
      <c r="C46" s="13" t="inlineStr">
        <is>
          <t>All 4 return a ~750-900 byte body containing '_Incapsula_Resource' iframe + 'Incapsula incident ID' text.</t>
        </is>
      </c>
      <c r="D46" s="13" t="inlineStr">
        <is>
          <t>eca-3</t>
        </is>
      </c>
      <c r="E46" s="13" t="inlineStr"/>
      <c r="F46" s="13" t="inlineStr"/>
      <c r="G46" s="13" t="inlineStr">
        <is>
          <t>eca</t>
        </is>
      </c>
    </row>
    <row r="47">
      <c r="A47" s="13" t="inlineStr">
        <is>
          <t>ah.nl, tesco.cz/sk/com, elcorteingles.es/pt, iceland.co.uk, sainsburys.co.uk</t>
        </is>
      </c>
      <c r="B47" s="13" t="inlineStr">
        <is>
          <t>Akamai-style 'Access Denied' block</t>
        </is>
      </c>
      <c r="C47" s="13" t="inlineStr">
        <is>
          <t>All return HTTP 403 with a small branded body reading 'Access Denied ... permission to access ...' and (for the Tesco properties) an Akamai-formatted reference ID.</t>
        </is>
      </c>
      <c r="D47" s="13" t="inlineStr">
        <is>
          <t>eca-3</t>
        </is>
      </c>
      <c r="E47" s="13" t="inlineStr"/>
      <c r="F47" s="13" t="inlineStr"/>
      <c r="G47" s="13" t="inlineStr">
        <is>
          <t>eca</t>
        </is>
      </c>
    </row>
    <row r="48">
      <c r="A48" s="13" t="inlineStr">
        <is>
          <t>kaufland.cz/pl/sk</t>
        </is>
      </c>
      <c r="B48" s="13" t="inlineStr">
        <is>
          <t>Custom branded WAF ('Access Blocked')</t>
        </is>
      </c>
      <c r="C48" s="13" t="inlineStr">
        <is>
          <t>All 3 return HTTP 403 with a ~16KB branded page titled 'Kaufland.{tld} - [Access Blocked in local language]' -- same tenant WAF across the whole Kaufland footprint probed.</t>
        </is>
      </c>
      <c r="D48" s="13" t="inlineStr">
        <is>
          <t>eca-3</t>
        </is>
      </c>
      <c r="E48" s="13" t="inlineStr"/>
      <c r="F48" s="13" t="inlineStr"/>
      <c r="G48" s="13" t="inlineStr">
        <is>
          <t>eca</t>
        </is>
      </c>
    </row>
    <row r="49">
      <c r="A49" s="13" t="inlineStr">
        <is>
          <t>carrefour.es, carrefour.pl, groceries.asda.com</t>
        </is>
      </c>
      <c r="B49" s="13" t="inlineStr">
        <is>
          <t>Distil/PerimeterX-style bot-challenge (IE6/IE7 branch page)</t>
        </is>
      </c>
      <c r="C49" s="13" t="inlineStr">
        <is>
          <t>All 3 return HTTP 403 with an IE-version-branch HTML page containing 'captcha' and 'blocked' JS strings.</t>
        </is>
      </c>
      <c r="D49" s="13" t="inlineStr">
        <is>
          <t>eca-3</t>
        </is>
      </c>
      <c r="E49" s="13" t="inlineStr"/>
      <c r="F49" s="13" t="inlineStr"/>
      <c r="G49" s="13" t="inlineStr">
        <is>
          <t>eca</t>
        </is>
      </c>
    </row>
    <row r="50">
      <c r="A50" s="13" t="inlineStr">
        <is>
          <t>hemkop.se, willys.se</t>
        </is>
      </c>
      <c r="B50" s="13" t="inlineStr">
        <is>
          <t>CloudFront country geo-fence</t>
        </is>
      </c>
      <c r="C50" s="13" t="inlineStr">
        <is>
          <t>HTTP 403 with explicit body text: 'The Amazon CloudFront distribution is configured to block access from your country.'</t>
        </is>
      </c>
      <c r="D50" s="13" t="inlineStr">
        <is>
          <t>eca-3</t>
        </is>
      </c>
      <c r="E50" s="13" t="inlineStr"/>
      <c r="F50" s="13" t="inlineStr"/>
      <c r="G50" s="13" t="inlineStr">
        <is>
          <t>eca</t>
        </is>
      </c>
    </row>
    <row r="51">
      <c r="A51" s="13" t="inlineStr">
        <is>
          <t>www.ocado.com</t>
        </is>
      </c>
      <c r="B51" s="13" t="inlineStr">
        <is>
          <t>AWS WAF challenge</t>
        </is>
      </c>
      <c r="C51" s="13" t="inlineStr">
        <is>
          <t>HTTP 202 with header 'x-amzn-waf-action: challenge', 0-byte body.</t>
        </is>
      </c>
      <c r="D51" s="13" t="inlineStr">
        <is>
          <t>eca-3</t>
        </is>
      </c>
      <c r="E51" s="13" t="inlineStr"/>
      <c r="F51" s="13" t="inlineStr"/>
      <c r="G51" s="13" t="inlineStr">
        <is>
          <t>eca</t>
        </is>
      </c>
    </row>
    <row r="52">
      <c r="A52" s="13" t="inlineStr">
        <is>
          <t>uzum.uz</t>
        </is>
      </c>
      <c r="B52" s="13" t="inlineStr">
        <is>
          <t>Yandex SmartCaptcha redirect</t>
        </is>
      </c>
      <c r="C52" s="13" t="inlineStr">
        <is>
          <t>Category URL redirects to a 'showcaptchafast' verification page.</t>
        </is>
      </c>
      <c r="D52" s="13" t="inlineStr">
        <is>
          <t>eca-3</t>
        </is>
      </c>
      <c r="E52" s="13" t="inlineStr"/>
      <c r="F52" s="13" t="inlineStr"/>
      <c r="G52" s="13" t="inlineStr">
        <is>
          <t>eca</t>
        </is>
      </c>
    </row>
    <row r="53">
      <c r="A53" s="13" t="inlineStr">
        <is>
          <t>mathem.se, www.waitrose.com</t>
        </is>
      </c>
      <c r="B53" s="13" t="inlineStr">
        <is>
          <t>TCP-layer connection timeout</t>
        </is>
      </c>
      <c r="C53" s="13" t="inlineStr">
        <is>
          <t>curl exit code 000 on two attempts each, no HTTP response obtained at all.</t>
        </is>
      </c>
      <c r="D53" s="13" t="inlineStr">
        <is>
          <t>eca-3</t>
        </is>
      </c>
      <c r="E53" s="13" t="inlineStr"/>
      <c r="F53" s="13" t="inlineStr"/>
      <c r="G53" s="13" t="inlineStr">
        <is>
          <t>eca</t>
        </is>
      </c>
    </row>
    <row r="54">
      <c r="A54" s="13" t="inlineStr">
        <is>
          <t>https://www.carrefouregypt.com/</t>
        </is>
      </c>
      <c r="B54" s="13" t="inlineStr">
        <is>
          <t>Akamai (MAF stack, shared with Gulf/Kenya/Uganda/Pakistan/Georgia Carrefour)</t>
        </is>
      </c>
      <c r="C54" s="13" t="inlineStr">
        <is>
          <t>curl 403 'Access Denied' (AkamaiGHost) + Playwright 403 identical body on both root and /mafegy/en/food-cupboard/... path</t>
        </is>
      </c>
      <c r="D54" s="13" t="inlineStr">
        <is>
          <t>menaap-1</t>
        </is>
      </c>
      <c r="E54" s="13" t="inlineStr"/>
      <c r="F54" s="13" t="inlineStr"/>
      <c r="G54" s="13" t="inlineStr">
        <is>
          <t>menaap</t>
        </is>
      </c>
    </row>
    <row r="55">
      <c r="A55" s="13" t="inlineStr">
        <is>
          <t>https://www.kazyon.com/</t>
        </is>
      </c>
      <c r="B55" s="13" t="inlineStr">
        <is>
          <t>Country-wide IP-fence (TCP-layer timeout, not a WAF challenge)</t>
        </is>
      </c>
      <c r="C55" s="13" t="inlineStr">
        <is>
          <t>curl 28 'Connection timed out after 20006ms' + Playwright 'Timeout 20000ms exceeded' during navigation, both from a non-EG IP</t>
        </is>
      </c>
      <c r="D55" s="13" t="inlineStr">
        <is>
          <t>menaap-1</t>
        </is>
      </c>
      <c r="E55" s="13" t="inlineStr"/>
      <c r="F55" s="13" t="inlineStr"/>
      <c r="G55" s="13" t="inlineStr">
        <is>
          <t>menaap</t>
        </is>
      </c>
    </row>
    <row r="56">
      <c r="A56" s="13" t="inlineStr">
        <is>
          <t>https://superetti.dz/</t>
        </is>
      </c>
      <c r="B56" s="13" t="inlineStr">
        <is>
          <t>Country-wide IP-fence (TCP-layer timeout)</t>
        </is>
      </c>
      <c r="C56" s="13" t="inlineStr">
        <is>
          <t>curl 28 'Connection timed out after 15006ms' from a non-DZ IP -- same signature class as kazyon.com</t>
        </is>
      </c>
      <c r="D56" s="13" t="inlineStr">
        <is>
          <t>menaap-1</t>
        </is>
      </c>
      <c r="E56" s="13" t="inlineStr"/>
      <c r="F56" s="13" t="inlineStr"/>
      <c r="G56" s="13" t="inlineStr">
        <is>
          <t>menaap</t>
        </is>
      </c>
    </row>
    <row r="57">
      <c r="A57" s="13" t="inlineStr">
        <is>
          <t>https://instashop.com/en-eg/</t>
        </is>
      </c>
      <c r="B57" s="13" t="inlineStr">
        <is>
          <t>Cloudflare interactive challenge (Playwright bypasses, plain curl to the API does not)</t>
        </is>
      </c>
      <c r="C57" s="13" t="inlineStr">
        <is>
          <t>curl -&gt; 403 'Attention Required'; Playwright -&gt; 200 + internal API /eshop/v2/superstore visible in network trace, but re-curling that same API URL directly still 403s</t>
        </is>
      </c>
      <c r="D57" s="13" t="inlineStr">
        <is>
          <t>menaap-1</t>
        </is>
      </c>
      <c r="E57" s="13" t="inlineStr"/>
      <c r="F57" s="13" t="inlineStr"/>
      <c r="G57" s="13" t="inlineStr">
        <is>
          <t>menaap</t>
        </is>
      </c>
    </row>
    <row r="58">
      <c r="A58" s="13" t="inlineStr">
        <is>
          <t>https://courses.monoprix.tn/carthage/</t>
        </is>
      </c>
      <c r="B58" s="13" t="inlineStr">
        <is>
          <t>Custom WAF rule (403, non-standard body 'Accès bloqué pour test2')</t>
        </is>
      </c>
      <c r="C58" s="13" t="inlineStr">
        <is>
          <t>curl 403 25-byte body; Playwright 403 identical body -- both blocked the same way</t>
        </is>
      </c>
      <c r="D58" s="13" t="inlineStr">
        <is>
          <t>menaap-1</t>
        </is>
      </c>
      <c r="E58" s="13" t="inlineStr"/>
      <c r="F58" s="13" t="inlineStr"/>
      <c r="G58" s="13" t="inlineStr">
        <is>
          <t>menaap</t>
        </is>
      </c>
    </row>
    <row r="59">
      <c r="A59" s="13" t="inlineStr">
        <is>
          <t>https://maximarket.tn/{boutique,shop,product-category/*}</t>
        </is>
      </c>
      <c r="B59" s="13" t="inlineStr">
        <is>
          <t>Country-wide IP-fence (application-tier, not Cloudflare)</t>
        </is>
      </c>
      <c r="C59" s="13" t="inlineStr">
        <is>
          <t>homepage 200 but every catalog path returns 403 body 'Forbidden - Visitors from your country are not permitted to browse this site'</t>
        </is>
      </c>
      <c r="D59" s="13" t="inlineStr">
        <is>
          <t>menaap-1</t>
        </is>
      </c>
      <c r="E59" s="13" t="inlineStr"/>
      <c r="F59" s="13" t="inlineStr"/>
      <c r="G59" s="13" t="inlineStr">
        <is>
          <t>menaap</t>
        </is>
      </c>
    </row>
    <row r="60">
      <c r="A60" s="13" t="inlineStr">
        <is>
          <t>https://www.jumia.com.dz/epicerie/ and https://www.jumia.com.tn/epicerie/</t>
        </is>
      </c>
      <c r="B60" s="13" t="inlineStr">
        <is>
          <t>Cloudflare strict</t>
        </is>
      </c>
      <c r="C60" s="13" t="inlineStr">
        <is>
          <t>curl 403 + Playwright 403, identical 27,667-byte Cloudflare challenge body on both country TLDs</t>
        </is>
      </c>
      <c r="D60" s="13" t="inlineStr">
        <is>
          <t>menaap-1</t>
        </is>
      </c>
      <c r="E60" s="13" t="inlineStr"/>
      <c r="F60" s="13" t="inlineStr"/>
      <c r="G60" s="13" t="inlineStr">
        <is>
          <t>menaap</t>
        </is>
      </c>
    </row>
    <row r="61">
      <c r="A61" s="13" t="inlineStr">
        <is>
          <t>https://nesraf.com/</t>
        </is>
      </c>
      <c r="B61" s="13" t="inlineStr">
        <is>
          <t>Cloudflare interactive challenge</t>
        </is>
      </c>
      <c r="C61" s="13" t="inlineStr">
        <is>
          <t>curl 403, 'Checking your browser before accessing. Just a moment...' title, standard Cloudflare JS-challenge stub</t>
        </is>
      </c>
      <c r="D61" s="13" t="inlineStr">
        <is>
          <t>menaap-2</t>
        </is>
      </c>
      <c r="E61" s="13" t="inlineStr"/>
      <c r="F61" s="13" t="inlineStr"/>
      <c r="G61" s="13" t="inlineStr">
        <is>
          <t>menaap</t>
        </is>
      </c>
    </row>
    <row r="62">
      <c r="A62" s="13" t="inlineStr">
        <is>
          <t>https://grocery.snapp.ir/</t>
        </is>
      </c>
      <c r="B62" s="13" t="inlineStr">
        <is>
          <t>ArvanCloud bot-mitigation infinite redirect loop</t>
        </is>
      </c>
      <c r="C62" s="13" t="inlineStr">
        <is>
          <t>HTTP/2 307 self-redirect (grocery.snapp.ir -&gt; grocery.snapp.ir) repeated indefinitely, each hop minting a fresh __arcscoc/__arcsco cookie pair, server: ArvanCloud. New signature, not previously in known_blockers.md.</t>
        </is>
      </c>
      <c r="D62" s="13" t="inlineStr">
        <is>
          <t>menaap-2</t>
        </is>
      </c>
      <c r="E62" s="13" t="inlineStr"/>
      <c r="F62" s="13" t="inlineStr"/>
      <c r="G62" s="13" t="inlineStr">
        <is>
          <t>menaap</t>
        </is>
      </c>
    </row>
    <row r="63">
      <c r="A63" s="13" t="inlineStr">
        <is>
          <t>https://matjarii.com/</t>
        </is>
      </c>
      <c r="B63" s="13" t="inlineStr">
        <is>
          <t>WAF (Magento-style)</t>
        </is>
      </c>
      <c r="C63" s="13" t="inlineStr">
        <is>
          <t>curl 403, 5.9KB body, Magento-shaped URL path</t>
        </is>
      </c>
      <c r="D63" s="13" t="inlineStr">
        <is>
          <t>menaap-2</t>
        </is>
      </c>
      <c r="E63" s="13" t="inlineStr"/>
      <c r="F63" s="13" t="inlineStr"/>
      <c r="G63" s="13" t="inlineStr">
        <is>
          <t>menaap</t>
        </is>
      </c>
    </row>
    <row r="64">
      <c r="A64" s="13" t="inlineStr">
        <is>
          <t>https://www.carrefourjordan.com/, https://www.carrefouriraq.com/, http://imoneh.com/</t>
        </is>
      </c>
      <c r="B64" s="13" t="inlineStr">
        <is>
          <t>Connection-layer failure (unclassified - possibly geo-fence or WAF at network edge)</t>
        </is>
      </c>
      <c r="C64" s="13" t="inlineStr">
        <is>
          <t>curl HTTP 000 (connection failure) on both default and forced-IPv4 attempts, ~20s each; no HTTP response reached at all. Not conclusively a WAF - recommend a residential-proxy or Playwright re-probe before treating as structural.</t>
        </is>
      </c>
      <c r="D64" s="13" t="inlineStr">
        <is>
          <t>menaap-2</t>
        </is>
      </c>
      <c r="E64" s="13" t="inlineStr"/>
      <c r="F64" s="13" t="inlineStr"/>
      <c r="G64" s="13" t="inlineStr">
        <is>
          <t>menaap</t>
        </is>
      </c>
    </row>
    <row r="65">
      <c r="A65" s="13" t="inlineStr">
        <is>
          <t>https://www.souqmy.com/</t>
        </is>
      </c>
      <c r="B65" s="13" t="inlineStr">
        <is>
          <t>TLS handshake rejection</t>
        </is>
      </c>
      <c r="C65" s="13" t="inlineStr">
        <is>
          <t>curl exit 35, 'SSLv3 alert handshake failure' before any HTTP response, on both HTTP/2 and forced HTTP/1.1 attempts</t>
        </is>
      </c>
      <c r="D65" s="13" t="inlineStr">
        <is>
          <t>menaap-2</t>
        </is>
      </c>
      <c r="E65" s="13" t="inlineStr"/>
      <c r="F65" s="13" t="inlineStr"/>
      <c r="G65" s="13" t="inlineStr">
        <is>
          <t>menaap</t>
        </is>
      </c>
    </row>
    <row r="66">
      <c r="A66" s="13" t="inlineStr">
        <is>
          <t>https://sanaa.bazzarry.com/</t>
        </is>
      </c>
      <c r="B66" s="13" t="inlineStr">
        <is>
          <t>Persistent 503 (possible outage, not a WAF)</t>
        </is>
      </c>
      <c r="C66" s="13" t="inlineStr">
        <is>
          <t>New Relic-monitored 'Error 503: Service Unavailable' page returned on 2 attempts several minutes apart</t>
        </is>
      </c>
      <c r="D66" s="13" t="inlineStr">
        <is>
          <t>menaap-2</t>
        </is>
      </c>
      <c r="E66" s="13" t="inlineStr"/>
      <c r="F66" s="13" t="inlineStr"/>
      <c r="G66" s="13" t="inlineStr">
        <is>
          <t>menaap</t>
        </is>
      </c>
    </row>
    <row r="67">
      <c r="A67" s="13" t="inlineStr">
        <is>
          <t>carrefouruae.com/mafuae, carrefourksa.com/mafsau, carrefourqatar.com/mafqat, carrefouregypt.com/mafegy</t>
        </is>
      </c>
      <c r="B67" s="13" t="inlineStr">
        <is>
          <t>Akamai bot manager (AkamaiGHost)</t>
        </is>
      </c>
      <c r="C67" s="13" t="inlineStr">
        <is>
          <t>HTTP 403, server: AkamaiGHost, 'Access Denied' edgesuite.net body, identical signature across all 4 MAF Carrefour domains tested -- tenant-wide block, not per-TLD.</t>
        </is>
      </c>
      <c r="D67" s="13" t="inlineStr">
        <is>
          <t>menaap-3</t>
        </is>
      </c>
      <c r="E67" s="13" t="inlineStr"/>
      <c r="F67" s="13" t="inlineStr"/>
      <c r="G67" s="13" t="inlineStr">
        <is>
          <t>menaap</t>
        </is>
      </c>
    </row>
    <row r="68">
      <c r="A68" s="13" t="inlineStr">
        <is>
          <t>marjane.ma, acima.ma, jumia.ma (Morocco); rami-levy.co.il, victoryonline.co.il (Israel)</t>
        </is>
      </c>
      <c r="B68" s="13" t="inlineStr">
        <is>
          <t>Cloudflare (curl AND curl_cffi impersonate=chrome120 both 403)</t>
        </is>
      </c>
      <c r="C68" s="13" t="inlineStr">
        <is>
          <t>Attention Required! Cloudflare challenge page / __cf_bm cookie set on 403 response; re-probed with Chrome TLS impersonation and still blocked, ruling out a simple UA/TLS mismatch.</t>
        </is>
      </c>
      <c r="D68" s="13" t="inlineStr">
        <is>
          <t>menaap-3</t>
        </is>
      </c>
      <c r="E68" s="13" t="inlineStr"/>
      <c r="F68" s="13" t="inlineStr"/>
      <c r="G68" s="13" t="inlineStr">
        <is>
          <t>menaap</t>
        </is>
      </c>
    </row>
    <row r="69">
      <c r="A69" s="13" t="inlineStr">
        <is>
          <t>www.yochananof.co.il</t>
        </is>
      </c>
      <c r="B69" s="13" t="inlineStr">
        <is>
          <t>Radware WAF</t>
        </is>
      </c>
      <c r="C69" s="13" t="inlineStr">
        <is>
          <t>server: rdwr header, 403 with a Transaction-ID error body, plus an unrelated SSL cert hostname mismatch on the same host.</t>
        </is>
      </c>
      <c r="D69" s="13" t="inlineStr">
        <is>
          <t>menaap-3</t>
        </is>
      </c>
      <c r="E69" s="13" t="inlineStr"/>
      <c r="F69" s="13" t="inlineStr"/>
      <c r="G69" s="13" t="inlineStr">
        <is>
          <t>menaap</t>
        </is>
      </c>
    </row>
    <row r="70">
      <c r="A70" s="13" t="inlineStr">
        <is>
          <t>limo-app-hub.onrender.com (LIMO Djibouti backend)</t>
        </is>
      </c>
      <c r="B70" s="13" t="inlineStr">
        <is>
          <t>Dead/unresponsive backend (not a WAF)</t>
        </is>
      </c>
      <c r="C70" s="13" t="inlineStr">
        <is>
          <t>TLS handshake completes but HTTP response never arrives; timed out at both 20s and 50s. Likely a paused free-tier Render.com deployment.</t>
        </is>
      </c>
      <c r="D70" s="13" t="inlineStr">
        <is>
          <t>menaap-3</t>
        </is>
      </c>
      <c r="E70" s="13" t="inlineStr"/>
      <c r="F70" s="13" t="inlineStr"/>
      <c r="G70" s="13" t="inlineStr">
        <is>
          <t>menaap</t>
        </is>
      </c>
    </row>
    <row r="71">
      <c r="A71" s="13" t="inlineStr">
        <is>
          <t>tsc-kw.com (The Sultan Center, Kuwait)</t>
        </is>
      </c>
      <c r="B71" s="13" t="inlineStr">
        <is>
          <t>Broken production server (not a WAF)</t>
        </is>
      </c>
      <c r="C71" s="13" t="inlineStr">
        <is>
          <t>HTTP 500 with an exposed Laravel/Carbon PHP fatal-error stack trace on every request.</t>
        </is>
      </c>
      <c r="D71" s="13" t="inlineStr">
        <is>
          <t>menaap-3</t>
        </is>
      </c>
      <c r="E71" s="13" t="inlineStr"/>
      <c r="F71" s="13" t="inlineStr"/>
      <c r="G71" s="13" t="inlineStr">
        <is>
          <t>menaap</t>
        </is>
      </c>
    </row>
    <row r="72">
      <c r="A72" s="13" t="inlineStr">
        <is>
          <t>Lulu Hypermarket (luluhypermarket.com), Danube (danube.sa)</t>
        </is>
      </c>
      <c r="B72" s="13" t="inlineStr">
        <is>
          <t>Store/location-gated catalog (Cloudflare defeated on Lulu; no WAF on Danube)</t>
        </is>
      </c>
      <c r="C72" s="13" t="inlineStr">
        <is>
          <t>Both return 200 with correct session cookies but never render product cards; both expose a store/branch selector endpoint (Lulu: 'Select Area/City/Location' UI strings; Danube: GET /en/store_selector JSON with supermarket IDs) that must be completed before the catalog unlocks.</t>
        </is>
      </c>
      <c r="D72" s="13" t="inlineStr">
        <is>
          <t>menaap-3</t>
        </is>
      </c>
      <c r="E72" s="13" t="inlineStr"/>
      <c r="F72" s="13" t="inlineStr"/>
      <c r="G72" s="13" t="inlineStr">
        <is>
          <t>menaap</t>
        </is>
      </c>
    </row>
    <row r="73">
      <c r="A73" s="13" t="inlineStr">
        <is>
          <t>https://khetifood.com/</t>
        </is>
      </c>
      <c r="B73" s="13" t="inlineStr">
        <is>
          <t>Dead/sinkholed domain</t>
        </is>
      </c>
      <c r="C73" s="13" t="inlineStr">
        <is>
          <t>DNS A record resolves to 127.0.0.1 both via the local resolver and explicit --resolve against 1.1.1.1 (Cloudflare public DNS) -- i.e. the domain's own authoritative DNS points to loopback, not a local block. ECONNREFUSED on 127.0.0.1:443. Domain appears retired/expired/reconfigured since the shard's EXTRACTION notes were written. Not a WAF; nothing to bypass.</t>
        </is>
      </c>
      <c r="D73" s="13" t="inlineStr">
        <is>
          <t>sar-1</t>
        </is>
      </c>
      <c r="E73" s="13" t="inlineStr"/>
      <c r="F73" s="13" t="inlineStr"/>
      <c r="G73" s="13" t="inlineStr">
        <is>
          <t>sar</t>
        </is>
      </c>
    </row>
    <row r="74">
      <c r="A74" s="13" t="inlineStr">
        <is>
          <t>https://www.sastodeal.com/</t>
        </is>
      </c>
      <c r="B74" s="13" t="inlineStr">
        <is>
          <t>TCP connection timeout (likely geo-fence, unconfirmed)</t>
        </is>
      </c>
      <c r="C74" s="13" t="inlineStr">
        <is>
          <t>DNS resolves cleanly to 103.191.130.64; curl --max-time 20/25 and a WebFetch attempt both hang until timeout / ECONNREFUSED with no TLS handshake bytes exchanged -- consistent with the known_blockers.md 'CDN connection-reset / TCP timeout from non-target IP (country geo-fence)' pattern. Re-probe from a Nepal residential IP before writing off; this is Nepal's largest Magento marketplace per the shard notes (50,000+ products claimed) so worth another attempt.</t>
        </is>
      </c>
      <c r="D74" s="13" t="inlineStr">
        <is>
          <t>sar-1</t>
        </is>
      </c>
      <c r="E74" s="13" t="inlineStr"/>
      <c r="F74" s="13" t="inlineStr"/>
      <c r="G74" s="13" t="inlineStr">
        <is>
          <t>sar</t>
        </is>
      </c>
    </row>
    <row r="75">
      <c r="A75" s="13" t="inlineStr">
        <is>
          <t>https://www.karayo.com/</t>
        </is>
      </c>
      <c r="B75" s="13" t="inlineStr">
        <is>
          <t>TCP connection timeout (likely geo-fence, unconfirmed)</t>
        </is>
      </c>
      <c r="C75" s="13" t="inlineStr">
        <is>
          <t>DNS resolves to 139.59.52.69 (both A and AAAA present); curl over both HTTP and HTTPS times out with zero bytes, no TLS handshake started. Same signature as sastodeal. Re-probe from Nepal IP before concluding structural block.</t>
        </is>
      </c>
      <c r="D75" s="13" t="inlineStr">
        <is>
          <t>sar-1</t>
        </is>
      </c>
      <c r="E75" s="13" t="inlineStr"/>
      <c r="F75" s="13" t="inlineStr"/>
      <c r="G75" s="13" t="inlineStr">
        <is>
          <t>sar</t>
        </is>
      </c>
    </row>
    <row r="76">
      <c r="A76" s="13" t="inlineStr">
        <is>
          <t>https://www.bbsm.com.np/ (Bhat-Bhateni)</t>
        </is>
      </c>
      <c r="B76" s="13" t="inlineStr">
        <is>
          <t>No e-commerce catalog on the public web (not a WAF)</t>
        </is>
      </c>
      <c r="C76" s="13" t="inlineStr">
        <is>
          <t>SSL cert expired (curl -k required to even connect, matches known_blockers.md 'NSO portal SSL certificate failures' pattern for cert-only issues). Once bypassed with -k, HTTP 200, 73KB corporate HTML -- only nav links to /contact, /galleries, /leaderships, /news, /stores, /pages/about, /pages/history. No /shop, /product, or /category path found; robots.txt allows everything; sitemap.xml 404s. Guessed subdomains (shop./online./store./ecom.bbsm.com.np) all fail to connect. bbsm.hpmt.net mirrors the exact same corporate content. Nepal's largest supermarket chain appears to have no public online storefront as of this probe -- not a bot block, a genuine absence.</t>
        </is>
      </c>
      <c r="D76" s="13" t="inlineStr">
        <is>
          <t>sar-1</t>
        </is>
      </c>
      <c r="E76" s="13" t="inlineStr"/>
      <c r="F76" s="13" t="inlineStr"/>
      <c r="G76" s="13" t="inlineStr">
        <is>
          <t>sar</t>
        </is>
      </c>
    </row>
    <row r="77">
      <c r="A77" s="13" t="inlineStr">
        <is>
          <t>https://www.zala.bt/</t>
        </is>
      </c>
      <c r="B77" s="13" t="inlineStr">
        <is>
          <t>App-only / no scrapeable web catalogue</t>
        </is>
      </c>
      <c r="C77" s="13" t="inlineStr">
        <is>
          <t>SNI/TLS error on www subdomain ('unrecognized name'); bare zala.bt with -k returns 200, 38KB landing page. Only content is marketing copy + a '#download' anchor + Play/App Store links; the JS bundles loaded (vendor-datatables, landing-app) fetch no product API on load, and there are no /shop, /product, or /marketplace links anywhere in the HTML. Google Play/App Store are the only real distribution channel. SKIP.</t>
        </is>
      </c>
      <c r="D77" s="13" t="inlineStr">
        <is>
          <t>sar-1</t>
        </is>
      </c>
      <c r="E77" s="13" t="inlineStr"/>
      <c r="F77" s="13" t="inlineStr"/>
      <c r="G77" s="13" t="inlineStr">
        <is>
          <t>sar</t>
        </is>
      </c>
    </row>
    <row r="78">
      <c r="A78" s="13" t="inlineStr">
        <is>
          <t>https://www.8elevenbhutan.bt/ and https://medhey.bt/</t>
        </is>
      </c>
      <c r="B78" s="13" t="inlineStr">
        <is>
          <t>Dead/misconfigured server</t>
        </is>
      </c>
      <c r="C78" s="13" t="inlineStr">
        <is>
          <t>Both return HTTP 200 but with a literal 658-byte 'Index of /' directory-listing stub (no site content), and both required -k due to expired SSL certs. Both were surfaced by search as app-based grocery services (8ELEVEN Super Mart, Medhey app on Google Play) -- consistent with an abandoned/placeholder web presence backing a mobile-only product. SKIP.</t>
        </is>
      </c>
      <c r="D78" s="13" t="inlineStr">
        <is>
          <t>sar-1</t>
        </is>
      </c>
      <c r="E78" s="13" t="inlineStr"/>
      <c r="F78" s="13" t="inlineStr"/>
      <c r="G78" s="13" t="inlineStr">
        <is>
          <t>sar</t>
        </is>
      </c>
    </row>
    <row r="79">
      <c r="A79" s="13" t="inlineStr">
        <is>
          <t>https://cargillsonline.com/</t>
        </is>
      </c>
      <c r="B79" s="13" t="inlineStr">
        <is>
          <t>Angular SPA (already documented)</t>
        </is>
      </c>
      <c r="C79" s="13" t="inlineStr">
        <is>
          <t>curl 200 but `{{ban.WebUrl}}` etc unrendered template syntax in raw HTML; matches existing known_blockers.md entry verbatim</t>
        </is>
      </c>
      <c r="D79" s="13" t="inlineStr">
        <is>
          <t>sar-2</t>
        </is>
      </c>
      <c r="E79" s="13" t="inlineStr"/>
      <c r="F79" s="13" t="inlineStr"/>
      <c r="G79" s="13" t="inlineStr">
        <is>
          <t>sar</t>
        </is>
      </c>
    </row>
    <row r="80">
      <c r="A80" s="13" t="inlineStr">
        <is>
          <t>https://www.keellssuper.com/</t>
        </is>
      </c>
      <c r="B80" s="13" t="inlineStr">
        <is>
          <t>React SPA behind Cloudflare, no catalog XHR observed</t>
        </is>
      </c>
      <c r="C80" s="13" t="inlineStr">
        <is>
          <t>curl 200/10KB React shell + reCAPTCHA; guessed API paths 404 or return the same shell; Playwright network-trace over homepage+category navigation captured only ad/analytics beacons, zero product/catalog XHR</t>
        </is>
      </c>
      <c r="D80" s="13" t="inlineStr">
        <is>
          <t>sar-2</t>
        </is>
      </c>
      <c r="E80" s="13" t="inlineStr"/>
      <c r="F80" s="13" t="inlineStr"/>
      <c r="G80" s="13" t="inlineStr">
        <is>
          <t>sar</t>
        </is>
      </c>
    </row>
    <row r="81">
      <c r="A81" s="13" t="inlineStr">
        <is>
          <t>https://www.daraz.lk/</t>
        </is>
      </c>
      <c r="B81" s="13" t="inlineStr">
        <is>
          <t>SPA shell, Lazada/Daraz platform family</t>
        </is>
      </c>
      <c r="C81" s="13" t="inlineStr">
        <is>
          <t>curl 200 but body is `&lt;div id="root"&gt;` only; same corporate family as documented Akamai-walled lazada.*/shopee.* marketplaces</t>
        </is>
      </c>
      <c r="D81" s="13" t="inlineStr">
        <is>
          <t>sar-2</t>
        </is>
      </c>
      <c r="E81" s="13" t="inlineStr"/>
      <c r="F81" s="13" t="inlineStr"/>
      <c r="G81" s="13" t="inlineStr">
        <is>
          <t>sar</t>
        </is>
      </c>
    </row>
    <row r="82">
      <c r="A82" s="13" t="inlineStr">
        <is>
          <t>https://redwave.mv/</t>
        </is>
      </c>
      <c r="B82" s="13" t="inlineStr">
        <is>
          <t>Cloudflare interactive challenge (posture may have hardened since original onboarding)</t>
        </is>
      </c>
      <c r="C82" s="13" t="inlineStr">
        <is>
          <t>curl 403 'Attention Required! | Cloudflare' on BOTH homepage and /wp-json/wc/store/v1/products/categories, despite redwave_mv being an already-active onboarded spider -- flagging for a re-probe rather than treating as a fresh block</t>
        </is>
      </c>
      <c r="D82" s="13" t="inlineStr">
        <is>
          <t>sar-2</t>
        </is>
      </c>
      <c r="E82" s="13" t="inlineStr"/>
      <c r="F82" s="13" t="inlineStr"/>
      <c r="G82" s="13" t="inlineStr">
        <is>
          <t>sar</t>
        </is>
      </c>
    </row>
    <row r="83">
      <c r="A83" s="13" t="inlineStr">
        <is>
          <t>https://eat.mv/</t>
        </is>
      </c>
      <c r="B83" s="13" t="inlineStr">
        <is>
          <t>Plain Apache 403/500, no CF/WAF signature -- likely IP/geo restriction</t>
        </is>
      </c>
      <c r="C83" s="13" t="inlineStr">
        <is>
          <t>curl 403 root (Apache server header, generic 'You don't have permission' body, no Cloudflare/Akamai/Incapsula markers), curl 500 on /shop -- consistent with a server-config-level access rule rather than bot detection</t>
        </is>
      </c>
      <c r="D83" s="13" t="inlineStr">
        <is>
          <t>sar-2</t>
        </is>
      </c>
      <c r="E83" s="13" t="inlineStr"/>
      <c r="F83" s="13" t="inlineStr"/>
      <c r="G83" s="13" t="inlineStr">
        <is>
          <t>sar</t>
        </is>
      </c>
    </row>
    <row r="84">
      <c r="A84" s="13" t="inlineStr">
        <is>
          <t>https://villamart.mv/</t>
        </is>
      </c>
      <c r="B84" s="13" t="inlineStr">
        <is>
          <t>SPA shell, no product data server-rendered</t>
        </is>
      </c>
      <c r="C84" s="13" t="inlineStr">
        <is>
          <t>curl 200/29KB but body is only inline Font-Awesome CSS boot code, no product markup</t>
        </is>
      </c>
      <c r="D84" s="13" t="inlineStr">
        <is>
          <t>sar-2</t>
        </is>
      </c>
      <c r="E84" s="13" t="inlineStr"/>
      <c r="F84" s="13" t="inlineStr"/>
      <c r="G84" s="13" t="inlineStr">
        <is>
          <t>sar</t>
        </is>
      </c>
    </row>
    <row r="85">
      <c r="A85" s="13" t="inlineStr">
        <is>
          <t>https://qrocery.store/</t>
        </is>
      </c>
      <c r="B85" s="13" t="inlineStr">
        <is>
          <t>DNS/connection failure</t>
        </is>
      </c>
      <c r="C85" s="13" t="inlineStr">
        <is>
          <t>curl exit 000, 0 bytes, within 15s timeout</t>
        </is>
      </c>
      <c r="D85" s="13" t="inlineStr">
        <is>
          <t>sar-2</t>
        </is>
      </c>
      <c r="E85" s="13" t="inlineStr"/>
      <c r="F85" s="13" t="inlineStr"/>
      <c r="G85" s="13" t="inlineStr">
        <is>
          <t>sar</t>
        </is>
      </c>
    </row>
    <row r="86">
      <c r="A86" s="13" t="inlineStr">
        <is>
          <t>https://maldiviancart.com/</t>
        </is>
      </c>
      <c r="B86" s="13" t="inlineStr">
        <is>
          <t>DNS/connection failure</t>
        </is>
      </c>
      <c r="C86" s="13" t="inlineStr">
        <is>
          <t>curl exit 000, 0 bytes, within 15s timeout</t>
        </is>
      </c>
      <c r="D86" s="13" t="inlineStr">
        <is>
          <t>sar-2</t>
        </is>
      </c>
      <c r="E86" s="13" t="inlineStr"/>
      <c r="F86" s="13" t="inlineStr"/>
      <c r="G86" s="13" t="inlineStr">
        <is>
          <t>sar</t>
        </is>
      </c>
    </row>
    <row r="87">
      <c r="A87" s="13" t="inlineStr">
        <is>
          <t>https://data.statisticsmaldives.gov.mv/</t>
        </is>
      </c>
      <c r="B87" s="13" t="inlineStr">
        <is>
          <t>Dead/repurposed subdomain (SSL cert mismatch, wrong site served)</t>
        </is>
      </c>
      <c r="C87" s="13" t="inlineStr">
        <is>
          <t>TLS handshake succeeds but cert CN is `*.acave.us`; with -k the served page title is 'Appalachian Cave Conservancy' -- this is not the NSO's PxWeb data portal anymore, infra appears to have been reassigned or lapsed</t>
        </is>
      </c>
      <c r="D87" s="13" t="inlineStr">
        <is>
          <t>sar-2</t>
        </is>
      </c>
      <c r="E87" s="13" t="inlineStr"/>
      <c r="F87" s="13" t="inlineStr"/>
      <c r="G87" s="13" t="inlineStr">
        <is>
          <t>sar</t>
        </is>
      </c>
    </row>
    <row r="88">
      <c r="A88" s="13" t="inlineStr">
        <is>
          <t>https://arpicosupercentre.lk/</t>
        </is>
      </c>
      <c r="B88" s="13" t="inlineStr">
        <is>
          <t>Timeout, not yet classified</t>
        </is>
      </c>
      <c r="C88" s="13" t="inlineStr">
        <is>
          <t>curl exit 000/0 bytes within 20s; no WAF/CF signature observed since no response was received at all -- worth a longer-timeout retry before calling it structural</t>
        </is>
      </c>
      <c r="D88" s="13" t="inlineStr">
        <is>
          <t>sar-2</t>
        </is>
      </c>
      <c r="E88" s="13" t="inlineStr"/>
      <c r="F88" s="13" t="inlineStr"/>
      <c r="G88" s="13" t="inlineStr">
        <is>
          <t>sar</t>
        </is>
      </c>
    </row>
    <row r="89">
      <c r="A89" s="13" t="inlineStr">
        <is>
          <t>https://laugfssupermarket.lk/</t>
        </is>
      </c>
      <c r="B89" s="13" t="inlineStr">
        <is>
          <t>Timeout, not yet classified</t>
        </is>
      </c>
      <c r="C89" s="13" t="inlineStr">
        <is>
          <t>curl exit 000/0 bytes within 20s; same caveat as arpicosupercentre.lk</t>
        </is>
      </c>
      <c r="D89" s="13" t="inlineStr">
        <is>
          <t>sar-2</t>
        </is>
      </c>
      <c r="E89" s="13" t="inlineStr"/>
      <c r="F89" s="13" t="inlineStr"/>
      <c r="G89" s="13" t="inlineStr">
        <is>
          <t>sar</t>
        </is>
      </c>
    </row>
    <row r="90">
      <c r="A90" s="13" t="inlineStr">
        <is>
          <t>bigbasket.com</t>
        </is>
      </c>
      <c r="B90" s="13" t="inlineStr">
        <is>
          <t>Akamai bot-manager</t>
        </is>
      </c>
      <c r="C90" s="13" t="inlineStr">
        <is>
          <t>curl 403, x-bb-grn + x-akamai-cache headers</t>
        </is>
      </c>
      <c r="D90" s="13" t="inlineStr">
        <is>
          <t>sar-3</t>
        </is>
      </c>
      <c r="E90" s="13" t="inlineStr"/>
      <c r="F90" s="13" t="inlineStr"/>
      <c r="G90" s="13" t="inlineStr">
        <is>
          <t>sar</t>
        </is>
      </c>
    </row>
    <row r="91">
      <c r="A91" s="13" t="inlineStr">
        <is>
          <t>blinkit.com</t>
        </is>
      </c>
      <c r="B91" s="13" t="inlineStr">
        <is>
          <t>Cloudflare + session-gated API</t>
        </is>
      </c>
      <c r="C91" s="13" t="inlineStr">
        <is>
          <t>curl 403 on homepage; open-looking POST endpoint found via Playwright but 403 on bare replay</t>
        </is>
      </c>
      <c r="D91" s="13" t="inlineStr">
        <is>
          <t>sar-3</t>
        </is>
      </c>
      <c r="E91" s="13" t="inlineStr"/>
      <c r="F91" s="13" t="inlineStr"/>
      <c r="G91" s="13" t="inlineStr">
        <is>
          <t>sar</t>
        </is>
      </c>
    </row>
    <row r="92">
      <c r="A92" s="13" t="inlineStr">
        <is>
          <t>zeptonow.com / bff-gateway.zepto.com</t>
        </is>
      </c>
      <c r="B92" s="13" t="inlineStr">
        <is>
          <t>CloudFront rate-gate / session-gated API</t>
        </is>
      </c>
      <c r="C92" s="13" t="inlineStr">
        <is>
          <t>curl 202 on homepage; bff-gateway endpoint 429 on bare replay</t>
        </is>
      </c>
      <c r="D92" s="13" t="inlineStr">
        <is>
          <t>sar-3</t>
        </is>
      </c>
      <c r="E92" s="13" t="inlineStr"/>
      <c r="F92" s="13" t="inlineStr"/>
      <c r="G92" s="13" t="inlineStr">
        <is>
          <t>sar</t>
        </is>
      </c>
    </row>
    <row r="93">
      <c r="A93" s="13" t="inlineStr">
        <is>
          <t>swiggy.com/instamart</t>
        </is>
      </c>
      <c r="B93" s="13" t="inlineStr">
        <is>
          <t>Quick-commerce geo-session gate (assumed, same shape as Blinkit/Zepto)</t>
        </is>
      </c>
      <c r="C93" s="13" t="inlineStr">
        <is>
          <t>curl 202, 0 bytes</t>
        </is>
      </c>
      <c r="D93" s="13" t="inlineStr">
        <is>
          <t>sar-3</t>
        </is>
      </c>
      <c r="E93" s="13" t="inlineStr"/>
      <c r="F93" s="13" t="inlineStr"/>
      <c r="G93" s="13" t="inlineStr">
        <is>
          <t>sar</t>
        </is>
      </c>
    </row>
    <row r="94">
      <c r="A94" s="13" t="inlineStr">
        <is>
          <t>amazon.in</t>
        </is>
      </c>
      <c r="B94" s="13" t="inlineStr">
        <is>
          <t>Amazon proprietary bot-check</t>
        </is>
      </c>
      <c r="C94" s="13" t="inlineStr">
        <is>
          <t>curl 200 but 2.3KB bot-check stub, no product content</t>
        </is>
      </c>
      <c r="D94" s="13" t="inlineStr">
        <is>
          <t>sar-3</t>
        </is>
      </c>
      <c r="E94" s="13" t="inlineStr"/>
      <c r="F94" s="13" t="inlineStr"/>
      <c r="G94" s="13" t="inlineStr">
        <is>
          <t>sar</t>
        </is>
      </c>
    </row>
    <row r="95">
      <c r="A95" s="13" t="inlineStr">
        <is>
          <t>dmart.in</t>
        </is>
      </c>
      <c r="B95" s="13" t="inlineStr">
        <is>
          <t>Unknown WAF</t>
        </is>
      </c>
      <c r="C95" s="13" t="inlineStr">
        <is>
          <t>curl 403, 134-byte stub, no vendor header</t>
        </is>
      </c>
      <c r="D95" s="13" t="inlineStr">
        <is>
          <t>sar-3</t>
        </is>
      </c>
      <c r="E95" s="13" t="inlineStr"/>
      <c r="F95" s="13" t="inlineStr"/>
      <c r="G95" s="13" t="inlineStr">
        <is>
          <t>sar</t>
        </is>
      </c>
    </row>
    <row r="96">
      <c r="A96" s="13" t="inlineStr">
        <is>
          <t>naturesbasket.co.in</t>
        </is>
      </c>
      <c r="B96" s="13" t="inlineStr">
        <is>
          <t>AWS ELB app-tier block</t>
        </is>
      </c>
      <c r="C96" s="13" t="inlineStr">
        <is>
          <t>curl 403, server: awselb/2.0</t>
        </is>
      </c>
      <c r="D96" s="13" t="inlineStr">
        <is>
          <t>sar-3</t>
        </is>
      </c>
      <c r="E96" s="13" t="inlineStr"/>
      <c r="F96" s="13" t="inlineStr"/>
      <c r="G96" s="13" t="inlineStr">
        <is>
          <t>sar</t>
        </is>
      </c>
    </row>
    <row r="97">
      <c r="A97" s="13" t="inlineStr">
        <is>
          <t>spencers.in / www.spencers.in</t>
        </is>
      </c>
      <c r="B97" s="13" t="inlineStr">
        <is>
          <t>Unknown WAF</t>
        </is>
      </c>
      <c r="C97" s="13" t="inlineStr">
        <is>
          <t>curl 403, 520-byte stub</t>
        </is>
      </c>
      <c r="D97" s="13" t="inlineStr">
        <is>
          <t>sar-3</t>
        </is>
      </c>
      <c r="E97" s="13" t="inlineStr"/>
      <c r="F97" s="13" t="inlineStr"/>
      <c r="G97" s="13" t="inlineStr">
        <is>
          <t>sar</t>
        </is>
      </c>
    </row>
    <row r="98">
      <c r="A98" s="13" t="inlineStr">
        <is>
          <t>agmarknet.gov.in</t>
        </is>
      </c>
      <c r="B98" s="13" t="inlineStr">
        <is>
          <t>NIC gov.in gateway block</t>
        </is>
      </c>
      <c r="C98" s="13" t="inlineStr">
        <is>
          <t>curl 403 (both plain and full browser-header variants), 134-byte stub, on / and /SearchCmmMkt.aspx</t>
        </is>
      </c>
      <c r="D98" s="13" t="inlineStr">
        <is>
          <t>sar-3</t>
        </is>
      </c>
      <c r="E98" s="13" t="inlineStr"/>
      <c r="F98" s="13" t="inlineStr"/>
      <c r="G98" s="13" t="inlineStr">
        <is>
          <t>sar</t>
        </is>
      </c>
    </row>
    <row r="99">
      <c r="A99" s="13" t="inlineStr">
        <is>
          <t>naheed.pk</t>
        </is>
      </c>
      <c r="B99" s="13" t="inlineStr">
        <is>
          <t>AWS ELB app-tier block</t>
        </is>
      </c>
      <c r="C99" s="13" t="inlineStr">
        <is>
          <t>curl 403, server: awselb/2.0</t>
        </is>
      </c>
      <c r="D99" s="13" t="inlineStr">
        <is>
          <t>sar-3</t>
        </is>
      </c>
      <c r="E99" s="13" t="inlineStr"/>
      <c r="F99" s="13" t="inlineStr"/>
      <c r="G99" s="13" t="inlineStr">
        <is>
          <t>sar</t>
        </is>
      </c>
    </row>
    <row r="100">
      <c r="A100" s="13" t="inlineStr">
        <is>
          <t>kravemart.com</t>
        </is>
      </c>
      <c r="B100" s="13" t="inlineStr">
        <is>
          <t>App-only, no web catalog</t>
        </is>
      </c>
      <c r="C100" s="13" t="inlineStr">
        <is>
          <t>homepage's only catalog-adjacent link is the Play Store app; /shop/ 404s; WC Store API 404s</t>
        </is>
      </c>
      <c r="D100" s="13" t="inlineStr">
        <is>
          <t>sar-3</t>
        </is>
      </c>
      <c r="E100" s="13" t="inlineStr"/>
      <c r="F100" s="13" t="inlineStr"/>
      <c r="G100" s="13" t="inlineStr">
        <is>
          <t>sar</t>
        </is>
      </c>
    </row>
    <row r="101">
      <c r="A101" s="13" t="inlineStr">
        <is>
          <t>daraz.com.bd, daraz.pk</t>
        </is>
      </c>
      <c r="B101" s="13" t="inlineStr">
        <is>
          <t>Alibaba/Lazada signed mtop gateway</t>
        </is>
      </c>
      <c r="C101" s="13" t="inlineStr">
        <is>
          <t>SPA shell HTML with zero product data; Playwright sniff shows acs-m.daraz.*.pk/h5/mtop.lazada.* signed (appKey+t+sign) endpoints only</t>
        </is>
      </c>
      <c r="D101" s="13" t="inlineStr">
        <is>
          <t>sar-3</t>
        </is>
      </c>
      <c r="E101" s="13" t="inlineStr"/>
      <c r="F101" s="13" t="inlineStr"/>
      <c r="G101" s="13" t="inlineStr">
        <is>
          <t>sar</t>
        </is>
      </c>
    </row>
    <row r="102">
      <c r="A102" s="13" t="inlineStr">
        <is>
          <t>https://www.jumia.com.gh/groceries/</t>
        </is>
      </c>
      <c r="B102" s="13" t="inlineStr">
        <is>
          <t>Cloudflare interactive challenge (cf-mitigated: challenge)</t>
        </is>
      </c>
      <c r="C102" s="13" t="inlineStr">
        <is>
          <t>HTTP 403, response header cf-mitigated: challenge, CSP referencing challenges.cloudflare.com. Matches the documented known_blockers.md class exactly; not re-attempted with Playwright per that doc's own guidance (dedicated multi-hour effort, not routine onboarding).</t>
        </is>
      </c>
      <c r="D102" s="13" t="inlineStr">
        <is>
          <t>ssa-1</t>
        </is>
      </c>
      <c r="E102" s="13" t="inlineStr"/>
      <c r="F102" s="13" t="inlineStr"/>
      <c r="G102" s="13" t="inlineStr">
        <is>
          <t>ssa</t>
        </is>
      </c>
    </row>
    <row r="103">
      <c r="A103" s="13" t="inlineStr">
        <is>
          <t>https://mivashop.com/achat-en-ligne-au-togo/categorie/produit-alimentaire/</t>
        </is>
      </c>
      <c r="B103" s="13" t="inlineStr">
        <is>
          <t>Cloudflare 403 (plain, no explicit challenge header)</t>
        </is>
      </c>
      <c r="C103" s="13" t="inlineStr">
        <is>
          <t>HTTP 403 with browser UA + Referer via curl, AND HTTP 403 as the main document response via an 8s Playwright goto. server: cloudflare, cf-ray present, but no cf-mitigated header this time (a plainer firewall-rule block rather than a Turnstile challenge). Per doctrine, both channels failing 403 means stop.</t>
        </is>
      </c>
      <c r="D103" s="13" t="inlineStr">
        <is>
          <t>ssa-1</t>
        </is>
      </c>
      <c r="E103" s="13" t="inlineStr"/>
      <c r="F103" s="13" t="inlineStr"/>
      <c r="G103" s="13" t="inlineStr">
        <is>
          <t>ssa</t>
        </is>
      </c>
    </row>
    <row r="104">
      <c r="A104" s="13" t="inlineStr">
        <is>
          <t>https://melcom.com/</t>
        </is>
      </c>
      <c r="B104" s="13" t="inlineStr">
        <is>
          <t>Sucuri Cloudproxy JS-challenge redirect</t>
        </is>
      </c>
      <c r="C104" s="13" t="inlineStr">
        <is>
          <t>The CSV's melcomghana.com domain is dead (DNS NXDOMAIN); melcom.com (the group's real domain) returns a 307 redirect to a 1.5KB 'You are being redirected...' stub with base64-obfuscated JS (sucuri_cloudproxy_js variable) -- a client-side JS-challenge cookie wall, not yet in known_blockers.md. Not re-attempted with Playwright within budget.</t>
        </is>
      </c>
      <c r="D104" s="13" t="inlineStr">
        <is>
          <t>ssa-1</t>
        </is>
      </c>
      <c r="E104" s="13" t="inlineStr"/>
      <c r="F104" s="13" t="inlineStr"/>
      <c r="G104" s="13" t="inlineStr">
        <is>
          <t>ssa</t>
        </is>
      </c>
    </row>
    <row r="105">
      <c r="A105" s="13" t="inlineStr">
        <is>
          <t>https://www.shoprite.co.ls/ and https://www.shoprite.co.zm/</t>
        </is>
      </c>
      <c r="B105" s="13" t="inlineStr">
        <is>
          <t>Not a WAF block -- structural: no e-commerce surface (AEM brochure site)</t>
        </is>
      </c>
      <c r="C105" s="13" t="inlineStr">
        <is>
          <t>Both return clean HTTP 200 on a corporate Adobe Experience Manager site (same 'shopriteafrica' clientlib/content-path structure on both). All internal links resolve to /content/shopriteafrica/{cc}/en/{...}.html marketing pages (recipes, specials, store-locator, explore-shoprite category pages) -- zero product pages, cart, or pricing anywhere in the site graph. Not a technical block; there is simply no catalog to reach.</t>
        </is>
      </c>
      <c r="D105" s="13" t="inlineStr">
        <is>
          <t>ssa-1</t>
        </is>
      </c>
      <c r="E105" s="13" t="inlineStr"/>
      <c r="F105" s="13" t="inlineStr"/>
      <c r="G105" s="13" t="inlineStr">
        <is>
          <t>ssa</t>
        </is>
      </c>
    </row>
    <row r="106">
      <c r="A106" s="13" t="inlineStr">
        <is>
          <t>https://palacehypermarket.com/, https://erevan.bj/, https://sokeru.st/, http://www.superckdo.com/, https://melcomghana.com/</t>
        </is>
      </c>
      <c r="B106" s="13" t="inlineStr">
        <is>
          <t>Dead domain (DNS NXDOMAIN)</t>
        </is>
      </c>
      <c r="C106" s="13" t="inlineStr">
        <is>
          <t>All five returned 'Could not resolve host' on curl, confirmed for sokeru.st additionally via nslookup (NXDOMAIN) and Playwright (net::ERR_NAME_NOT_RESOLVED). These are stale CSV entries -- the domains have gone dark since the source list was scored.</t>
        </is>
      </c>
      <c r="D106" s="13" t="inlineStr">
        <is>
          <t>ssa-1</t>
        </is>
      </c>
      <c r="E106" s="13" t="inlineStr"/>
      <c r="F106" s="13" t="inlineStr"/>
      <c r="G106" s="13" t="inlineStr">
        <is>
          <t>ssa</t>
        </is>
      </c>
    </row>
    <row r="107">
      <c r="A107" s="13" t="inlineStr">
        <is>
          <t>https://www.jumia.sn/epicerie/</t>
        </is>
      </c>
      <c r="B107" s="13" t="inlineStr">
        <is>
          <t>Cloudflare interactive challenge</t>
        </is>
      </c>
      <c r="C107" s="13" t="inlineStr">
        <is>
          <t>HTTP 403 + header cf-mitigated: challenge + CSP referencing challenges.cloudflare.com</t>
        </is>
      </c>
      <c r="D107" s="13" t="inlineStr">
        <is>
          <t>ssa-2</t>
        </is>
      </c>
      <c r="E107" s="13" t="inlineStr"/>
      <c r="F107" s="13" t="inlineStr"/>
      <c r="G107" s="13" t="inlineStr">
        <is>
          <t>ssa</t>
        </is>
      </c>
    </row>
    <row r="108">
      <c r="A108" s="13" t="inlineStr">
        <is>
          <t>https://cerise.ga/</t>
        </is>
      </c>
      <c r="B108" s="13" t="inlineStr">
        <is>
          <t>Cloudflare (503, likely challenge)</t>
        </is>
      </c>
      <c r="C108" s="13" t="inlineStr">
        <is>
          <t>3 probes over several minutes all HTTP 503 with Cloudflare headers; one response body contained the string 'challenge' + CLOUDFLARE branding</t>
        </is>
      </c>
      <c r="D108" s="13" t="inlineStr">
        <is>
          <t>ssa-2</t>
        </is>
      </c>
      <c r="E108" s="13" t="inlineStr"/>
      <c r="F108" s="13" t="inlineStr"/>
      <c r="G108" s="13" t="inlineStr">
        <is>
          <t>ssa</t>
        </is>
      </c>
    </row>
    <row r="109">
      <c r="A109" s="13" t="inlineStr">
        <is>
          <t>https://malumbi.com/</t>
        </is>
      </c>
      <c r="B109" s="13" t="inlineStr">
        <is>
          <t>Hosting outage (not a WAF)</t>
        </is>
      </c>
      <c r="C109" s="13" t="inlineStr">
        <is>
          <t>HTTP 503 with an OVHcloud 'Website unavailable' branded error page on both / and /17-epicerie, across 2 probe rounds -- origin server down, not a bot wall. Cheap to re-probe.</t>
        </is>
      </c>
      <c r="D109" s="13" t="inlineStr">
        <is>
          <t>ssa-2</t>
        </is>
      </c>
      <c r="E109" s="13" t="inlineStr"/>
      <c r="F109" s="13" t="inlineStr"/>
      <c r="G109" s="13" t="inlineStr">
        <is>
          <t>ssa</t>
        </is>
      </c>
    </row>
    <row r="110">
      <c r="A110" s="13" t="inlineStr">
        <is>
          <t>https://koumbimarket.eu/services/grocery-delivery</t>
        </is>
      </c>
      <c r="B110" s="13" t="inlineStr">
        <is>
          <t>Broken TLS / non-serving origin</t>
        </is>
      </c>
      <c r="C110" s="13" t="inlineStr">
        <is>
          <t>LibreSSL sslv3 alert handshake failure on HTTPS; HTTP fallback returns bare HTTP 409, 16-byte body</t>
        </is>
      </c>
      <c r="D110" s="13" t="inlineStr">
        <is>
          <t>ssa-2</t>
        </is>
      </c>
      <c r="E110" s="13" t="inlineStr"/>
      <c r="F110" s="13" t="inlineStr"/>
      <c r="G110" s="13" t="inlineStr">
        <is>
          <t>ssa</t>
        </is>
      </c>
    </row>
    <row r="111">
      <c r="A111" s="13" t="inlineStr">
        <is>
          <t>https://shoashopping.com/</t>
        </is>
      </c>
      <c r="B111" s="13" t="inlineStr">
        <is>
          <t>Connection timeout (unclassified)</t>
        </is>
      </c>
      <c r="C111" s="13" t="inlineStr">
        <is>
          <t>curl exit 28 (connection timed out after 20s), 0 bytes received, despite DNS resolving cleanly</t>
        </is>
      </c>
      <c r="D111" s="13" t="inlineStr">
        <is>
          <t>ssa-2</t>
        </is>
      </c>
      <c r="E111" s="13" t="inlineStr"/>
      <c r="F111" s="13" t="inlineStr"/>
      <c r="G111" s="13" t="inlineStr">
        <is>
          <t>ssa</t>
        </is>
      </c>
    </row>
    <row r="112">
      <c r="A112" s="13" t="inlineStr">
        <is>
          <t>https://exclusif.sn/, https://cecagadis.ga/, https://picktruefresh.co.tz/</t>
        </is>
      </c>
      <c r="B112" s="13" t="inlineStr">
        <is>
          <t>Dead domain (NXDOMAIN)</t>
        </is>
      </c>
      <c r="C112" s="13" t="inlineStr">
        <is>
          <t>host lookup returns NXDOMAIN for all three</t>
        </is>
      </c>
      <c r="D112" s="13" t="inlineStr">
        <is>
          <t>ssa-2</t>
        </is>
      </c>
      <c r="E112" s="13" t="inlineStr"/>
      <c r="F112" s="13" t="inlineStr"/>
      <c r="G112" s="13" t="inlineStr">
        <is>
          <t>ssa</t>
        </is>
      </c>
    </row>
    <row r="113">
      <c r="A113" s="13" t="inlineStr">
        <is>
          <t>https://www.carrefour.ke/mafken/en/c/ken-bn-home</t>
        </is>
      </c>
      <c r="B113" s="13" t="inlineStr">
        <is>
          <t>Custom WAF (MAF/Algolia stack)</t>
        </is>
      </c>
      <c r="C113" s="13" t="inlineStr">
        <is>
          <t>curl 403 + Playwright 403, no product/Algolia calls observed in network trace</t>
        </is>
      </c>
      <c r="D113" s="13" t="inlineStr">
        <is>
          <t>ssa-3</t>
        </is>
      </c>
      <c r="E113" s="13" t="inlineStr"/>
      <c r="F113" s="13" t="inlineStr"/>
      <c r="G113" s="13" t="inlineStr">
        <is>
          <t>ssa</t>
        </is>
      </c>
    </row>
    <row r="114">
      <c r="A114" s="13" t="inlineStr">
        <is>
          <t>https://www.jumia.co.ke/</t>
        </is>
      </c>
      <c r="B114" s="13" t="inlineStr">
        <is>
          <t>Cloudflare interactive challenge</t>
        </is>
      </c>
      <c r="C114" s="13" t="inlineStr">
        <is>
          <t>HTTP 403 + cf-mitigated: challenge header + CSP referencing challenges.cloudflare.com</t>
        </is>
      </c>
      <c r="D114" s="13" t="inlineStr">
        <is>
          <t>ssa-3</t>
        </is>
      </c>
      <c r="E114" s="13" t="inlineStr"/>
      <c r="F114" s="13" t="inlineStr"/>
      <c r="G114" s="13" t="inlineStr">
        <is>
          <t>ssa</t>
        </is>
      </c>
    </row>
    <row r="115">
      <c r="A115" s="13" t="inlineStr">
        <is>
          <t>https://www.jumia.ci/epicerie/</t>
        </is>
      </c>
      <c r="B115" s="13" t="inlineStr">
        <is>
          <t>Cloudflare interactive challenge (same Jumia tenant as jumia.co.ke)</t>
        </is>
      </c>
      <c r="C115" s="13" t="inlineStr">
        <is>
          <t>HTTP 403 + cf-mitigated: challenge header, identical signature to Jumia Kenya</t>
        </is>
      </c>
      <c r="D115" s="13" t="inlineStr">
        <is>
          <t>ssa-3</t>
        </is>
      </c>
      <c r="E115" s="13" t="inlineStr"/>
      <c r="F115" s="13" t="inlineStr"/>
      <c r="G115" s="13" t="inlineStr">
        <is>
          <t>ssa</t>
        </is>
      </c>
    </row>
    <row r="116">
      <c r="A116" s="13" t="inlineStr">
        <is>
          <t>https://www.adjovan.com/</t>
        </is>
      </c>
      <c r="B116" s="13" t="inlineStr">
        <is>
          <t>Custom WAF (branded 403 page)</t>
        </is>
      </c>
      <c r="C116" s="13" t="inlineStr">
        <is>
          <t>curl 403 + Playwright 403 on /shop/, both return the same '403 - Forbidden' branded HTML, no cf-ray</t>
        </is>
      </c>
      <c r="D116" s="13" t="inlineStr">
        <is>
          <t>ssa-3</t>
        </is>
      </c>
      <c r="E116" s="13" t="inlineStr"/>
      <c r="F116" s="13" t="inlineStr"/>
      <c r="G116" s="13" t="inlineStr">
        <is>
          <t>ssa</t>
        </is>
      </c>
    </row>
    <row r="117">
      <c r="A117" s="13" t="inlineStr">
        <is>
          <t>https://naivas.online/</t>
        </is>
      </c>
      <c r="B117" s="13" t="inlineStr">
        <is>
          <t>Cloudflare (curl-only, not yet Playwright-confirmed)</t>
        </is>
      </c>
      <c r="C117" s="13" t="inlineStr">
        <is>
          <t>HTTP 301 -&gt; 403, cf-ray header present</t>
        </is>
      </c>
      <c r="D117" s="13" t="inlineStr">
        <is>
          <t>ssa-3</t>
        </is>
      </c>
      <c r="E117" s="13" t="inlineStr"/>
      <c r="F117" s="13" t="inlineStr"/>
      <c r="G117" s="13" t="inlineStr">
        <is>
          <t>ssa</t>
        </is>
      </c>
    </row>
    <row r="118">
      <c r="A118" s="13" t="inlineStr">
        <is>
          <t>https://cleanshelf.co.ke/</t>
        </is>
      </c>
      <c r="B118" s="13" t="inlineStr">
        <is>
          <t>Unspecified WAF (curl-only, not yet Playwright-confirmed)</t>
        </is>
      </c>
      <c r="C118" s="13" t="inlineStr">
        <is>
          <t>HTTP 403, 8.1KB body</t>
        </is>
      </c>
      <c r="D118" s="13" t="inlineStr">
        <is>
          <t>ssa-3</t>
        </is>
      </c>
      <c r="E118" s="13" t="inlineStr"/>
      <c r="F118" s="13" t="inlineStr"/>
      <c r="G118" s="13" t="inlineStr">
        <is>
          <t>ssa</t>
        </is>
      </c>
    </row>
    <row r="119">
      <c r="A119" s="13" t="inlineStr">
        <is>
          <t>https://www.pedidosya.com.bo/ and https://www.pedidosya.com.pe/</t>
        </is>
      </c>
      <c r="B119" s="13" t="inlineStr">
        <is>
          <t>Cloudflare interactive challenge</t>
        </is>
      </c>
      <c r="C119" s="13" t="inlineStr">
        <is>
          <t>HTTP 403, response header cf-mitigated: challenge, server: cloudflare, Turnstile-style critical-ch/accept-ch headers present. Same signature on both country TLDs (shared PedidosYa tenant infra). Matches the documented class in known_blockers.md; not pursued via Playwright per that class's guidance.</t>
        </is>
      </c>
      <c r="D119" s="13" t="inlineStr">
        <is>
          <t>lac-1</t>
        </is>
      </c>
      <c r="E119" s="13" t="inlineStr"/>
      <c r="F119" s="13" t="inlineStr"/>
      <c r="G119" s="13" t="inlineStr">
        <is>
          <t>lac</t>
        </is>
      </c>
    </row>
    <row r="120">
      <c r="A120" s="13" t="inlineStr">
        <is>
          <t>https://www.makro.com.pe/</t>
        </is>
      </c>
      <c r="B120" s="13" t="inlineStr">
        <is>
          <t>FingerprintJS bot-gate redirect (new signature, not yet in known_blockers.md)</t>
        </is>
      </c>
      <c r="C120" s="13" t="inlineStr">
        <is>
          <t>curl 200 but body is a ~1KB JS stub that computes a browser fingerprint via FingerprintJS and redirects with a visitorId param before any content loads. Playwright render (7s wait) stops at the identical stub — the fingerprint check runs before the app shell mounts, so headless rendering does not help. Both curl and Playwright fail the same way -&gt; treated as a hard block per the brief's rule.</t>
        </is>
      </c>
      <c r="D120" s="13" t="inlineStr">
        <is>
          <t>lac-1</t>
        </is>
      </c>
      <c r="E120" s="13" t="inlineStr"/>
      <c r="F120" s="13" t="inlineStr"/>
      <c r="G120" s="13" t="inlineStr">
        <is>
          <t>lac</t>
        </is>
      </c>
    </row>
    <row r="121">
      <c r="A121" s="13" t="inlineStr">
        <is>
          <t>https://www.mercadolibre.com.pe/</t>
        </is>
      </c>
      <c r="B121" s="13" t="inlineStr">
        <is>
          <t>Bot-check redirect (302 to account-verification)</t>
        </is>
      </c>
      <c r="C121" s="13" t="inlineStr">
        <is>
          <t>curl on a category listing -&gt; HTTP 302 to /gz/account-verification, x-is-search-bot: true header. Also structurally low-value as a marketplace (seller-set prices) per the brief's marketplace-exclusion rule.</t>
        </is>
      </c>
      <c r="D121" s="13" t="inlineStr">
        <is>
          <t>lac-1</t>
        </is>
      </c>
      <c r="E121" s="13" t="inlineStr"/>
      <c r="F121" s="13" t="inlineStr"/>
      <c r="G121" s="13" t="inlineStr">
        <is>
          <t>lac</t>
        </is>
      </c>
    </row>
    <row r="122">
      <c r="A122" s="13" t="inlineStr">
        <is>
          <t>https://www.cassandraonlinemarket.com/</t>
        </is>
      </c>
      <c r="B122" s="13" t="inlineStr">
        <is>
          <t>Generic 403 (nginx, not Cloudflare)</t>
        </is>
      </c>
      <c r="C122" s="13" t="inlineStr">
        <is>
          <t>HTTP 403, server: nginx, no CDN/WAF-specific headers. Also flagged mixed-basis (Hollywood FL diaspora shipping) in the source CSV even before the block.</t>
        </is>
      </c>
      <c r="D122" s="13" t="inlineStr">
        <is>
          <t>lac-1</t>
        </is>
      </c>
      <c r="E122" s="13" t="inlineStr"/>
      <c r="F122" s="13" t="inlineStr"/>
      <c r="G122" s="13" t="inlineStr">
        <is>
          <t>lac</t>
        </is>
      </c>
    </row>
    <row r="123">
      <c r="A123" s="13" t="inlineStr">
        <is>
          <t>https://cso.gov.tt/</t>
        </is>
      </c>
      <c r="B123" s="13" t="inlineStr">
        <is>
          <t>Possible country-wide IP-fence (Cloudflare-fronted 403, branded error page)</t>
        </is>
      </c>
      <c r="C123" s="13" t="inlineStr">
        <is>
          <t>HTTP 403, server: cloudflare, cf-cache-status: BYPASS, branded '403 - Forbidden' HTML page (not a Turnstile challenge). Signature resembles the known_blockers.md 'Country-wide IP-fence cohort' class — possibly works from a Trinidad-resident IP. Not re-probed from an in-country vantage point within this run's budget.</t>
        </is>
      </c>
      <c r="D123" s="13" t="inlineStr">
        <is>
          <t>lac-1</t>
        </is>
      </c>
      <c r="E123" s="13" t="inlineStr"/>
      <c r="F123" s="13" t="inlineStr"/>
      <c r="G123" s="13" t="inlineStr">
        <is>
          <t>lac</t>
        </is>
      </c>
    </row>
    <row r="124">
      <c r="A124" s="13" t="inlineStr">
        <is>
          <t>carrefour.com.br</t>
        </is>
      </c>
      <c r="B124" s="13" t="inlineStr">
        <is>
          <t>Cloudflare (403 + __cf_bm cookie)</t>
        </is>
      </c>
      <c r="C124" s="13" t="inlineStr">
        <is>
          <t>curl HTTP 403 on /api/catalog_system/pub/products/search, cloudflare server header + set-cookie __cf_bm</t>
        </is>
      </c>
      <c r="D124" s="13" t="inlineStr">
        <is>
          <t>lac-2</t>
        </is>
      </c>
      <c r="E124" s="13" t="inlineStr"/>
      <c r="F124" s="13" t="inlineStr"/>
      <c r="G124" s="13" t="inlineStr">
        <is>
          <t>lac</t>
        </is>
      </c>
    </row>
    <row r="125">
      <c r="A125" s="13" t="inlineStr">
        <is>
          <t>avoda.sr</t>
        </is>
      </c>
      <c r="B125" s="13" t="inlineStr">
        <is>
          <t>Cloudflare strict (403, 'Attention Required' interstitial)</t>
        </is>
      </c>
      <c r="C125" s="13" t="inlineStr">
        <is>
          <t>curl HTTP 403, body title 'Attention Required! | Cloudflare'</t>
        </is>
      </c>
      <c r="D125" s="13" t="inlineStr">
        <is>
          <t>lac-2</t>
        </is>
      </c>
      <c r="E125" s="13" t="inlineStr"/>
      <c r="F125" s="13" t="inlineStr"/>
      <c r="G125" s="13" t="inlineStr">
        <is>
          <t>lac</t>
        </is>
      </c>
    </row>
    <row r="126">
      <c r="A126" s="13" t="inlineStr">
        <is>
          <t>www.now2su.com</t>
        </is>
      </c>
      <c r="B126" s="13" t="inlineStr">
        <is>
          <t>Cloudflare strict (403, same 'Attention Required' interstitial as avoda.sr)</t>
        </is>
      </c>
      <c r="C126" s="13" t="inlineStr">
        <is>
          <t>curl HTTP 403, identical Cloudflare challenge signature to avoda.sr</t>
        </is>
      </c>
      <c r="D126" s="13" t="inlineStr">
        <is>
          <t>lac-2</t>
        </is>
      </c>
      <c r="E126" s="13" t="inlineStr"/>
      <c r="F126" s="13" t="inlineStr"/>
      <c r="G126" s="13" t="inlineStr">
        <is>
          <t>lac</t>
        </is>
      </c>
    </row>
    <row r="127">
      <c r="A127" s="13" t="inlineStr">
        <is>
          <t>www.unimarc.cl / www.mayorista10.cl</t>
        </is>
      </c>
      <c r="B127" s="13" t="inlineStr">
        <is>
          <t>WAF 403 (403-byte generic block page)</t>
        </is>
      </c>
      <c r="C127" s="13" t="inlineStr">
        <is>
          <t>curl HTTP 403, 431-byte body, both on the same probe pass</t>
        </is>
      </c>
      <c r="D127" s="13" t="inlineStr">
        <is>
          <t>lac-2</t>
        </is>
      </c>
      <c r="E127" s="13" t="inlineStr"/>
      <c r="F127" s="13" t="inlineStr"/>
      <c r="G127" s="13" t="inlineStr">
        <is>
          <t>lac</t>
        </is>
      </c>
    </row>
    <row r="128">
      <c r="A128" s="13" t="inlineStr">
        <is>
          <t>www.tottus.cl</t>
        </is>
      </c>
      <c r="B128" s="13" t="inlineStr">
        <is>
          <t>Upstream 503 on API path</t>
        </is>
      </c>
      <c r="C128" s="13" t="inlineStr">
        <is>
          <t>curl HTTP 503, 19-byte body</t>
        </is>
      </c>
      <c r="D128" s="13" t="inlineStr">
        <is>
          <t>lac-2</t>
        </is>
      </c>
      <c r="E128" s="13" t="inlineStr"/>
      <c r="F128" s="13" t="inlineStr"/>
      <c r="G128" s="13" t="inlineStr">
        <is>
          <t>lac</t>
        </is>
      </c>
    </row>
    <row r="129">
      <c r="A129" s="13" t="inlineStr">
        <is>
          <t>despensallena.com</t>
        </is>
      </c>
      <c r="B129" s="13" t="inlineStr">
        <is>
          <t>WAF 403</t>
        </is>
      </c>
      <c r="C129" s="13" t="inlineStr">
        <is>
          <t>curl HTTP 403 on both root and VTEX-path probe, 75193-byte block page</t>
        </is>
      </c>
      <c r="D129" s="13" t="inlineStr">
        <is>
          <t>lac-2</t>
        </is>
      </c>
      <c r="E129" s="13" t="inlineStr"/>
      <c r="F129" s="13" t="inlineStr"/>
      <c r="G129" s="13" t="inlineStr">
        <is>
          <t>lac</t>
        </is>
      </c>
    </row>
    <row r="130">
      <c r="A130" s="13" t="inlineStr">
        <is>
          <t>quemantequilla.online</t>
        </is>
      </c>
      <c r="B130" s="13" t="inlineStr">
        <is>
          <t>WooCommerce Store API 403 (site itself 200)</t>
        </is>
      </c>
      <c r="C130" s="13" t="inlineStr">
        <is>
          <t>root page curl 200 (151526 bytes, wp-content present) but /wp-json/wc/store/v1/products returns HTTP 403 -- likely a security plugin blocking the REST API specifically</t>
        </is>
      </c>
      <c r="D130" s="13" t="inlineStr">
        <is>
          <t>lac-2</t>
        </is>
      </c>
      <c r="E130" s="13" t="inlineStr"/>
      <c r="F130" s="13" t="inlineStr"/>
      <c r="G130" s="13" t="inlineStr">
        <is>
          <t>lac</t>
        </is>
      </c>
    </row>
    <row r="131">
      <c r="A131" s="13" t="inlineStr">
        <is>
          <t>www.coto.com.ar / www.laanonimaonline.com (AR)</t>
        </is>
      </c>
      <c r="B131" s="13" t="inlineStr">
        <is>
          <t>Angular SPA / non-VTEX -- not a hard block, just not scrapeable via curl</t>
        </is>
      </c>
      <c r="C131" s="13" t="inlineStr">
        <is>
          <t>cotodigital.com.ar redirects to coto.com.ar which serves an Angular app shell (title 'Coto Digital: Tu super a un click', &lt;base href='/'&gt;) with no VTEX API; laanonimaonline.com's VTEX-path probe returned HTML not JSON</t>
        </is>
      </c>
      <c r="D131" s="13" t="inlineStr">
        <is>
          <t>lac-2</t>
        </is>
      </c>
      <c r="E131" s="13" t="inlineStr"/>
      <c r="F131" s="13" t="inlineStr"/>
      <c r="G131" s="13" t="inlineStr">
        <is>
          <t>lac</t>
        </is>
      </c>
    </row>
    <row r="132">
      <c r="A132" s="13" t="inlineStr">
        <is>
          <t>superseis.com.py / granvia.com.py</t>
        </is>
      </c>
      <c r="B132" s="13" t="inlineStr">
        <is>
          <t>Next.js SPA shell, no productive endpoint found via curl</t>
        </is>
      </c>
      <c r="C132" s="13" t="inlineStr">
        <is>
          <t>curl on VTEX-shaped path returns the site's own homepage HTML (Next.js fingerprint 'next' present) or an error JSON ('La funcion solicitada no existe' for granvia); needs a Playwright network-trace pass</t>
        </is>
      </c>
      <c r="D132" s="13" t="inlineStr">
        <is>
          <t>lac-2</t>
        </is>
      </c>
      <c r="E132" s="13" t="inlineStr"/>
      <c r="F132" s="13" t="inlineStr"/>
      <c r="G132" s="13" t="inlineStr">
        <is>
          <t>lac</t>
        </is>
      </c>
    </row>
    <row r="133">
      <c r="A133" s="13" t="inlineStr">
        <is>
          <t>shop.amazonewholesale.com (SR)</t>
        </is>
      </c>
      <c r="B133" s="13" t="inlineStr">
        <is>
          <t>Dead/misconfigured host -- expired TLS cert + 404 on all probed paths</t>
        </is>
      </c>
      <c r="C133" s="13" t="inlineStr">
        <is>
          <t>curl: SSL certificate problem: certificate has expired; retried with -k -&gt; HTTP 404 on both / and /shop</t>
        </is>
      </c>
      <c r="D133" s="13" t="inlineStr">
        <is>
          <t>lac-2</t>
        </is>
      </c>
      <c r="E133" s="13" t="inlineStr"/>
      <c r="F133" s="13" t="inlineStr"/>
      <c r="G133" s="13" t="inlineStr">
        <is>
          <t>lac</t>
        </is>
      </c>
    </row>
    <row r="134">
      <c r="A134" s="13" t="inlineStr">
        <is>
          <t>www.tulip-supermarket.com (SR)</t>
        </is>
      </c>
      <c r="B134" s="13" t="inlineStr">
        <is>
          <t>Brochure-only -- no online catalog</t>
        </is>
      </c>
      <c r="C134" s="13" t="inlineStr">
        <is>
          <t>curl HTTP 200, 95084 bytes, but all internal links are same-page anchors (#departments, #contact, #story); no product/category URLs in the HTML</t>
        </is>
      </c>
      <c r="D134" s="13" t="inlineStr">
        <is>
          <t>lac-2</t>
        </is>
      </c>
      <c r="E134" s="13" t="inlineStr"/>
      <c r="F134" s="13" t="inlineStr"/>
      <c r="G134" s="13" t="inlineStr">
        <is>
          <t>lac</t>
        </is>
      </c>
    </row>
    <row r="135">
      <c r="A135" s="13" t="inlineStr">
        <is>
          <t>wfp-food-prices-for-venezuela-bolivarian-republic-of</t>
        </is>
      </c>
      <c r="B135" s="13" t="inlineStr">
        <is>
          <t>Stale panel (data, not the site)</t>
        </is>
      </c>
      <c r="C135" s="13" t="inlineStr">
        <is>
          <t>CKAN resource last_modified metadata shows 2026-08-03 (recent processing run) but the actual max observation date across all 20,075 CSV rows is 2025-05-15 -- roughly 15 months stale as of 2026-08-06. Excluded from coverage per the LAC brief's stale-panel rule; do not conflate CKAN last_modified with data currency.</t>
        </is>
      </c>
      <c r="D135" s="13" t="inlineStr">
        <is>
          <t>lac-2</t>
        </is>
      </c>
      <c r="E135" s="13" t="inlineStr"/>
      <c r="F135" s="13" t="inlineStr"/>
      <c r="G135" s="13" t="inlineStr">
        <is>
          <t>lac</t>
        </is>
      </c>
    </row>
    <row r="136">
      <c r="A136" s="13" t="inlineStr">
        <is>
          <t>https://www.soriana.com/</t>
        </is>
      </c>
      <c r="B136" s="13" t="inlineStr">
        <is>
          <t>Application WAF (custom 'GF R01 BLocked!')</t>
        </is>
      </c>
      <c r="C136" s="13" t="inlineStr">
        <is>
          <t>curl VTEX endpoint -&gt; HTTP 403, 15-byte body 'GF R01 BLocked!'</t>
        </is>
      </c>
      <c r="D136" s="13" t="inlineStr">
        <is>
          <t>lac-3</t>
        </is>
      </c>
      <c r="E136" s="13" t="inlineStr"/>
      <c r="F136" s="13" t="inlineStr"/>
      <c r="G136" s="13" t="inlineStr">
        <is>
          <t>lac</t>
        </is>
      </c>
    </row>
    <row r="137">
      <c r="A137" s="13" t="inlineStr">
        <is>
          <t>https://www.jumbo.com.do/</t>
        </is>
      </c>
      <c r="B137" s="13" t="inlineStr">
        <is>
          <t>Cloudflare strict</t>
        </is>
      </c>
      <c r="C137" s="13" t="inlineStr">
        <is>
          <t>curl VTEX endpoint -&gt; HTTP 403, Cloudflare branding in 4.6KB response body</t>
        </is>
      </c>
      <c r="D137" s="13" t="inlineStr">
        <is>
          <t>lac-3</t>
        </is>
      </c>
      <c r="E137" s="13" t="inlineStr"/>
      <c r="F137" s="13" t="inlineStr"/>
      <c r="G137" s="13" t="inlineStr">
        <is>
          <t>lac</t>
        </is>
      </c>
    </row>
    <row r="138">
      <c r="A138" s="13" t="inlineStr">
        <is>
          <t>https://ramstogo.com/</t>
        </is>
      </c>
      <c r="B138" s="13" t="inlineStr">
        <is>
          <t>Generic 403 (unidentified, possibly IP/geo rule)</t>
        </is>
      </c>
      <c r="C138" s="13" t="inlineStr">
        <is>
          <t>curl / -&gt; HTTP 403, branded 'Forbidden' page, no Cloudflare/Incapsula/Akamai signature strings present</t>
        </is>
      </c>
      <c r="D138" s="13" t="inlineStr">
        <is>
          <t>lac-3</t>
        </is>
      </c>
      <c r="E138" s="13" t="inlineStr"/>
      <c r="F138" s="13" t="inlineStr"/>
      <c r="G138" s="13" t="inlineStr">
        <is>
          <t>lac</t>
        </is>
      </c>
    </row>
    <row r="139">
      <c r="A139" s="13" t="inlineStr">
        <is>
          <t>https://www.shopmassystoresslu.com/shop/</t>
        </is>
      </c>
      <c r="B139" s="13" t="inlineStr">
        <is>
          <t>Generic 403 (unidentified, possibly IP/geo rule)</t>
        </is>
      </c>
      <c r="C139" s="13" t="inlineStr">
        <is>
          <t>curl /shop/ -&gt; HTTP 403, 1.5KB body</t>
        </is>
      </c>
      <c r="D139" s="13" t="inlineStr">
        <is>
          <t>lac-3</t>
        </is>
      </c>
      <c r="E139" s="13" t="inlineStr"/>
      <c r="F139" s="13" t="inlineStr"/>
      <c r="G139" s="13" t="inlineStr">
        <is>
          <t>lac</t>
        </is>
      </c>
    </row>
    <row r="140">
      <c r="A140" s="13" t="inlineStr">
        <is>
          <t>https://www.centrumsupermarket.com/</t>
        </is>
      </c>
      <c r="B140" s="13" t="inlineStr">
        <is>
          <t>Shopify store suspended (not a WAF)</t>
        </is>
      </c>
      <c r="C140" s="13" t="inlineStr">
        <is>
          <t>curl / and /products.json -&gt; HTTP 402, {"errors":"Unavailable Shop"} — the storefront exists on Shopify infra but is administratively frozen</t>
        </is>
      </c>
      <c r="D140" s="13" t="inlineStr">
        <is>
          <t>lac-3</t>
        </is>
      </c>
      <c r="E140" s="13" t="inlineStr"/>
      <c r="F140" s="13" t="inlineStr"/>
      <c r="G140" s="13" t="inlineStr">
        <is>
          <t>lac</t>
        </is>
      </c>
    </row>
    <row r="141">
      <c r="A141" s="13" t="inlineStr">
        <is>
          <t>https://shop.realvalueiga.com/rest-proxy/v2/products</t>
        </is>
      </c>
      <c r="B141" s="13" t="inlineStr">
        <is>
          <t>Session/auth-gated REST API (LocalExpress platform)</t>
        </is>
      </c>
      <c r="C141" s="13" t="inlineStr">
        <is>
          <t>curl rest-proxy/v2/products?store_id=4140 -&gt; HTTP 401 {"code":"UNAUTHORIZED","message":"Your request was made with invalid credentials."}</t>
        </is>
      </c>
      <c r="D141" s="13" t="inlineStr">
        <is>
          <t>lac-3</t>
        </is>
      </c>
      <c r="E141" s="13" t="inlineStr"/>
      <c r="F141" s="13" t="inlineStr"/>
      <c r="G141" s="13" t="inlineStr">
        <is>
          <t>lac</t>
        </is>
      </c>
    </row>
    <row r="142">
      <c r="A142" s="13" t="inlineStr">
        <is>
          <t>https://shop.superfoodaruba.com/</t>
        </is>
      </c>
      <c r="B142" s="13" t="inlineStr">
        <is>
          <t>SPA shell, no open API (custom cart plugin)</t>
        </is>
      </c>
      <c r="C142" s="13" t="inlineStr">
        <is>
          <t>wp-json/wc/store/v1/products -&gt; HTTP 404 rest_no_route; /shop page 200 OK but no price text in SSR HTML</t>
        </is>
      </c>
      <c r="D142" s="13" t="inlineStr">
        <is>
          <t>lac-3</t>
        </is>
      </c>
      <c r="E142" s="13" t="inlineStr"/>
      <c r="F142" s="13" t="inlineStr"/>
      <c r="G142" s="13" t="inlineStr">
        <is>
          <t>lac</t>
        </is>
      </c>
    </row>
    <row r="143">
      <c r="A143" s="13" t="inlineStr">
        <is>
          <t>https://www.solomonsfreshmarkets.com/</t>
        </is>
      </c>
      <c r="B143" s="13" t="inlineStr">
        <is>
          <t>SPA shell, no open API (ECRS Catapult WebCart platform)</t>
        </is>
      </c>
      <c r="C143" s="13" t="inlineStr">
        <is>
          <t>Vue.js 'webcart-ui' app shell, 5.9KB body; guessed api/products and s/1000-19/api/products paths both HTTP 404</t>
        </is>
      </c>
      <c r="D143" s="13" t="inlineStr">
        <is>
          <t>lac-3</t>
        </is>
      </c>
      <c r="E143" s="13" t="inlineStr"/>
      <c r="F143" s="13" t="inlineStr"/>
      <c r="G143" s="13" t="inlineStr">
        <is>
          <t>lac</t>
        </is>
      </c>
    </row>
  </sheetData>
  <autoFilter ref="A1:G14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75"/>
  <sheetViews>
    <sheetView workbookViewId="0">
      <pane ySplit="1" topLeftCell="A2" activePane="bottomLeft" state="frozen"/>
      <selection pane="bottomLeft" activeCell="A1" sqref="A1"/>
    </sheetView>
  </sheetViews>
  <sheetFormatPr baseColWidth="8" defaultRowHeight="15"/>
  <cols>
    <col width="20" customWidth="1" min="1" max="1"/>
    <col width="58" customWidth="1" min="2" max="2"/>
    <col width="58" customWidth="1" min="3" max="3"/>
    <col width="10" customWidth="1" min="4" max="4"/>
    <col width="58" customWidth="1" min="5" max="5"/>
    <col width="58" customWidth="1" min="6" max="6"/>
    <col width="10" customWidth="1" min="7" max="7"/>
    <col width="16" customWidth="1" min="8" max="8"/>
    <col width="13" customWidth="1" min="9" max="9"/>
    <col width="17" customWidth="1" min="10" max="10"/>
    <col width="10" customWidth="1" min="11" max="11"/>
    <col width="41" customWidth="1" min="12" max="12"/>
    <col width="16" customWidth="1" min="13" max="13"/>
    <col width="10" customWidth="1" min="14" max="14"/>
    <col width="58" customWidth="1" min="15" max="15"/>
    <col width="10" customWidth="1" min="16" max="16"/>
    <col width="10" customWidth="1" min="17" max="17"/>
  </cols>
  <sheetData>
    <row r="1" ht="30" customHeight="1">
      <c r="A1" s="12" t="inlineStr">
        <is>
          <t>slug</t>
        </is>
      </c>
      <c r="B1" s="12" t="inlineStr">
        <is>
          <t>source</t>
        </is>
      </c>
      <c r="C1" s="12" t="inlineStr">
        <is>
          <t>url</t>
        </is>
      </c>
      <c r="D1" s="12" t="inlineStr">
        <is>
          <t>tier</t>
        </is>
      </c>
      <c r="E1" s="12" t="inlineStr">
        <is>
          <t>evidence</t>
        </is>
      </c>
      <c r="F1" s="12" t="inlineStr">
        <is>
          <t>how_found</t>
        </is>
      </c>
      <c r="G1" s="12" t="inlineStr">
        <is>
          <t>agent</t>
        </is>
      </c>
      <c r="H1" s="12" t="inlineStr">
        <is>
          <t>platform</t>
        </is>
      </c>
      <c r="I1" s="12" t="inlineStr">
        <is>
          <t>channel</t>
        </is>
      </c>
      <c r="J1" s="12" t="inlineStr">
        <is>
          <t>analytical_role</t>
        </is>
      </c>
      <c r="K1" s="12" t="inlineStr">
        <is>
          <t>currency</t>
        </is>
      </c>
      <c r="L1" s="12" t="inlineStr">
        <is>
          <t>endpoint</t>
        </is>
      </c>
      <c r="M1" s="12" t="inlineStr">
        <is>
          <t>fnb_leaves_est</t>
        </is>
      </c>
      <c r="N1" s="12" t="inlineStr">
        <is>
          <t>effort</t>
        </is>
      </c>
      <c r="O1" s="12" t="inlineStr">
        <is>
          <t>notes</t>
        </is>
      </c>
      <c r="P1" s="12" t="inlineStr">
        <is>
          <t>in_csv</t>
        </is>
      </c>
      <c r="Q1" s="12" t="inlineStr">
        <is>
          <t>region</t>
        </is>
      </c>
    </row>
    <row r="2">
      <c r="A2" s="13" t="inlineStr">
        <is>
          <t>vanuatu</t>
        </is>
      </c>
      <c r="B2" s="13" t="inlineStr">
        <is>
          <t>Aelan Basket</t>
        </is>
      </c>
      <c r="C2" s="13" t="inlineStr">
        <is>
          <t>https://www.aelanbasket.com/</t>
        </is>
      </c>
      <c r="D2" s="13" t="inlineStr">
        <is>
          <t>TIER_1B</t>
        </is>
      </c>
      <c r="E2" s="13" t="inlineStr">
        <is>
          <t>Open Supabase PostgREST endpoint at https://dnzqokxxkqgxufcmloeg.supabase.co/rest/v1/products?select=*&amp;active=eq.true&amp;order=created_at.desc -- requires the site's own public anon JWT as both `apikey` and `Authorization: Bearer` headers (captured from Playwright network trace of the site's own frontend, not privileged/hidden -- Supabase anon keys are designed to be publicly client-exposed and RLS-gated). curl with those headers returns HTTP 200, `content-range: 0-210/211` (211 total active products). Sample rows: {'name':'chicken wings','price':1500,'unit':'each'}, {'name':'local beef','price':1600}, plus PDP for 'Fresh Capsicum (Bell Pepper)' server-renders fully via plain curl at /product/fresh-capsicum with breadcrumb Shop &gt; Fresh Produce. Currency VUV (Vanuatu vatu, no minor-unit subdivision in practice -- prices are whole-number VT, confirmed against rendered PDP). 14 categories via /rest/v1/categories: Fresh Produce, Frozen Foods, Drinks &amp; Beverages, Health &amp; Beauty, Snacks &amp; Confectionery, Vanuatu Made Products, Baby &amp; Child, Household, Bakery, Food Cupboard, Rice &amp; Noodles, Beer/Wine/Spirits, local meat, Electronics.</t>
        </is>
      </c>
      <c r="F2" s="13" t="inlineStr">
        <is>
          <t>WebSearch for 'Vanuatu supermarket online shop grocery website Port Vila' surfaced it directly; curl found /product/* links + VT prices in raw homepage HTML (partial SSR); Playwright network-trace of /shop found the underlying Supabase REST calls and captured the request headers needed to replay them with plain curl.</t>
        </is>
      </c>
      <c r="G2" s="13" t="inlineStr">
        <is>
          <t>eap-1</t>
        </is>
      </c>
      <c r="H2" s="13" t="inlineStr"/>
      <c r="I2" s="13" t="inlineStr"/>
      <c r="J2" s="13" t="inlineStr"/>
      <c r="K2" s="13" t="inlineStr"/>
      <c r="L2" s="13" t="inlineStr"/>
      <c r="M2" s="13" t="inlineStr"/>
      <c r="N2" s="13" t="inlineStr"/>
      <c r="O2" s="13" t="inlineStr"/>
      <c r="P2" s="13" t="inlineStr"/>
      <c r="Q2" s="13" t="inlineStr">
        <is>
          <t>eap</t>
        </is>
      </c>
    </row>
    <row r="3">
      <c r="A3" s="13" t="inlineStr">
        <is>
          <t>papua_new_guinea</t>
        </is>
      </c>
      <c r="B3" s="13" t="inlineStr">
        <is>
          <t>PNG Food Price Bulletin (FPDA / CGIAR)</t>
        </is>
      </c>
      <c r="C3" s="13" t="inlineStr">
        <is>
          <t>https://cgspace.cgiar.org/items/7c5311fd-a091-4e36-95a2-736ec43bcbc3</t>
        </is>
      </c>
      <c r="D3" s="13" t="inlineStr">
        <is>
          <t>TIER_2</t>
        </is>
      </c>
      <c r="E3" s="13" t="inlineStr">
        <is>
          <t>UNVERIFIED -- direct bitstream download hit HTTP 429 (rate-limited) on two attempts and could not be re-probed within budget. Search snippet describes item-level average prices for staples (sweet potato, taro, cassava, cooking banana, rice) and vegetables/fruits 'from major markets in Papua New Guinea', collected by the Fresh Produce Development Authority (FPDA) with PNG NSO gap-filling. This is the only fresh-produce/staples lead found for PNG (food_pro is meat-only) but I could not confirm whether the PDF contains machine-readable tables or is image-only.</t>
        </is>
      </c>
      <c r="F3" s="13" t="inlineStr">
        <is>
          <t>WebSearch for PNG NSO CPI / food price data surfaced the CGIAR-hosted quarterly bulletin series (cgspace.cgiar.org), a different publisher than nso.gov.pg itself.</t>
        </is>
      </c>
      <c r="G3" s="13" t="inlineStr">
        <is>
          <t>eap-1</t>
        </is>
      </c>
      <c r="H3" s="13" t="inlineStr"/>
      <c r="I3" s="13" t="inlineStr"/>
      <c r="J3" s="13" t="inlineStr"/>
      <c r="K3" s="13" t="inlineStr"/>
      <c r="L3" s="13" t="inlineStr"/>
      <c r="M3" s="13" t="inlineStr"/>
      <c r="N3" s="13" t="inlineStr"/>
      <c r="O3" s="13" t="inlineStr"/>
      <c r="P3" s="13" t="inlineStr"/>
      <c r="Q3" s="13" t="inlineStr">
        <is>
          <t>eap</t>
        </is>
      </c>
    </row>
    <row r="4">
      <c r="A4" s="13" t="inlineStr">
        <is>
          <t>new_caledonia</t>
        </is>
      </c>
      <c r="B4" s="13" t="inlineStr">
        <is>
          <t>ISEE Nouvelle-Caledonie -- IPC detaille (Open Data NC)</t>
        </is>
      </c>
      <c r="C4" s="13" t="inlineStr">
        <is>
          <t>https://data.gouv.nc/explore/dataset/indice-des-prix-a-la-consommation-des-menages-ipc-detaille/</t>
        </is>
      </c>
      <c r="D4" s="13" t="inlineStr">
        <is>
          <t>SKIP</t>
        </is>
      </c>
      <c r="E4" s="13" t="inlineStr">
        <is>
          <t>curl https://data.gouv.nc/api/records/1.0/search/?dataset=indice-des-prix-a-la-consommation-des-menages-ipc-detaille&amp;rows=5 -&gt; HTTP 200, nhits=30712. Records are COICOP-classified (code_division/code_groupe/code_classe) monthly time series but the value field is an index number (e.g. 'valeur': 96.644...), base=100 -- not an absolute retail price. Does not fit official_avg (which needs price levels) without a rebasing/backcast methodology the pipeline doesn't currently have.</t>
        </is>
      </c>
      <c r="F4" s="13" t="inlineStr">
        <is>
          <t>WebSearch for New Caledonia CPI data; confirmed the Opendatasoft REST API pattern directly with curl.</t>
        </is>
      </c>
      <c r="G4" s="13" t="inlineStr">
        <is>
          <t>eap-1</t>
        </is>
      </c>
      <c r="H4" s="13" t="inlineStr"/>
      <c r="I4" s="13" t="inlineStr"/>
      <c r="J4" s="13" t="inlineStr"/>
      <c r="K4" s="13" t="inlineStr"/>
      <c r="L4" s="13" t="inlineStr"/>
      <c r="M4" s="13" t="inlineStr"/>
      <c r="N4" s="13" t="inlineStr"/>
      <c r="O4" s="13" t="inlineStr"/>
      <c r="P4" s="13" t="inlineStr"/>
      <c r="Q4" s="13" t="inlineStr">
        <is>
          <t>eap</t>
        </is>
      </c>
    </row>
    <row r="5">
      <c r="A5" s="13" t="inlineStr">
        <is>
          <t>micronesia_fed_sts</t>
        </is>
      </c>
      <c r="B5" s="13" t="inlineStr">
        <is>
          <t>SAKI Stores (Chuuk/Pohnpei/Kosrae hypermarket)</t>
        </is>
      </c>
      <c r="C5" s="13" t="inlineStr">
        <is>
          <t>https://saki4you.com</t>
        </is>
      </c>
      <c r="D5" s="13" t="inlineStr">
        <is>
          <t>TIER_1B</t>
        </is>
      </c>
      <c r="E5" s="13" t="inlineStr">
        <is>
          <t>GET https://saki4you.com/products.json?limit=250&amp;page=1..3 -&gt; 200, ~650 products total across 3 pages. Sample: 'LDM FUDGE CREME COOKIES 11.8 OZ' USD 3.95, 'PORTABLE MINI COOLING FAN' USD 21.95. Grocery is a minority slice (~40 food-relevant titles by keyword scan out of 468 unique) alongside electronics/home/appliances/apparel.</t>
        </is>
      </c>
      <c r="F5" s="13" t="inlineStr">
        <is>
          <t>WebSearch 'Pohnpei Chuuk Micronesia FSM supermarket online shopping website' -&gt; saki4you.com listed directly with buy-online-pickup-in-shop description</t>
        </is>
      </c>
      <c r="G5" s="13" t="inlineStr">
        <is>
          <t>eap-2</t>
        </is>
      </c>
      <c r="H5" s="13" t="inlineStr">
        <is>
          <t>Shopify</t>
        </is>
      </c>
      <c r="I5" s="13" t="inlineStr">
        <is>
          <t>supermarket</t>
        </is>
      </c>
      <c r="J5" s="13" t="inlineStr">
        <is>
          <t>retailer_sku</t>
        </is>
      </c>
      <c r="K5" s="13" t="inlineStr">
        <is>
          <t>USD</t>
        </is>
      </c>
      <c r="L5" s="13" t="inlineStr">
        <is>
          <t>/products.json</t>
        </is>
      </c>
      <c r="M5" s="13" t="n">
        <v>30</v>
      </c>
      <c r="N5" s="13" t="inlineStr">
        <is>
          <t>low</t>
        </is>
      </c>
      <c r="O5" s="13" t="inlineStr">
        <is>
          <t>Standard Shopify storefront JSON, paginate with ?page=N until empty (page 4 returned 0). No auth/geo-block encountered.</t>
        </is>
      </c>
      <c r="P5" s="13" t="inlineStr"/>
      <c r="Q5" s="13" t="inlineStr">
        <is>
          <t>eap</t>
        </is>
      </c>
    </row>
    <row r="6">
      <c r="A6" s="13" t="inlineStr">
        <is>
          <t>micronesia_fed_sts</t>
        </is>
      </c>
      <c r="B6" s="13" t="inlineStr">
        <is>
          <t>Shop Pohnpei</t>
        </is>
      </c>
      <c r="C6" s="13" t="inlineStr">
        <is>
          <t>https://www.shoppohnpei.com</t>
        </is>
      </c>
      <c r="D6" s="13" t="inlineStr">
        <is>
          <t>TIER_1B</t>
        </is>
      </c>
      <c r="E6" s="13" t="inlineStr">
        <is>
          <t>GET https://www.shoppohnpei.com/products.json?limit=250 -&gt; 200, 66 products total (page 2 returns empty). Sample: 'Pure Pacific 40# Rice' USD 24.00, 'WaKa Bottled Water (24 pk)' USD 10.50, 'Tyson Case Chicken Leg Quarters', 'Mixed Vegetables', 'Golden Curry'.</t>
        </is>
      </c>
      <c r="F6" s="13" t="inlineStr">
        <is>
          <t>Same WebSearch as saki4you.com -- described as a 'buy for family back home, pick up in store' remittance-style grocery service</t>
        </is>
      </c>
      <c r="G6" s="13" t="inlineStr">
        <is>
          <t>eap-2</t>
        </is>
      </c>
      <c r="H6" s="13" t="inlineStr">
        <is>
          <t>Shopify</t>
        </is>
      </c>
      <c r="I6" s="13" t="inlineStr">
        <is>
          <t>supermarket</t>
        </is>
      </c>
      <c r="J6" s="13" t="inlineStr">
        <is>
          <t>retailer_sku</t>
        </is>
      </c>
      <c r="K6" s="13" t="inlineStr">
        <is>
          <t>USD</t>
        </is>
      </c>
      <c r="L6" s="13" t="inlineStr">
        <is>
          <t>/products.json</t>
        </is>
      </c>
      <c r="M6" s="13" t="n">
        <v>25</v>
      </c>
      <c r="N6" s="13" t="inlineStr">
        <is>
          <t>low</t>
        </is>
      </c>
      <c r="O6" s="13" t="inlineStr">
        <is>
          <t>Small but purely food/household catalog -- higher F&amp;B density than saki4you.com despite far fewer SKUs. Good complement, low overlap expected (canned fish/rice/condiments vs. saki's general merchandise).</t>
        </is>
      </c>
      <c r="P6" s="13" t="inlineStr"/>
      <c r="Q6" s="13" t="inlineStr">
        <is>
          <t>eap</t>
        </is>
      </c>
    </row>
    <row r="7">
      <c r="A7" s="13" t="inlineStr">
        <is>
          <t>malaysia</t>
        </is>
      </c>
      <c r="B7" s="13" t="inlineStr">
        <is>
          <t>KPDNHEP PriceCatcher</t>
        </is>
      </c>
      <c r="C7" s="13" t="inlineStr">
        <is>
          <t>https://storage.data.gov.my/pricecatcher/</t>
        </is>
      </c>
      <c r="D7" s="13" t="inlineStr">
        <is>
          <t>TIER_1B</t>
        </is>
      </c>
      <c r="E7" s="13" t="inlineStr">
        <is>
          <t>See sources[] entry above.</t>
        </is>
      </c>
      <c r="F7" s="13" t="inlineStr">
        <is>
          <t>web search for KPDNHEP Price Catcher open data API, led to opendosm data catalogue page which links the raw storage bucket directly</t>
        </is>
      </c>
      <c r="G7" s="13" t="inlineStr">
        <is>
          <t>eap-3</t>
        </is>
      </c>
      <c r="H7" s="13" t="inlineStr"/>
      <c r="I7" s="13" t="inlineStr"/>
      <c r="J7" s="13" t="inlineStr"/>
      <c r="K7" s="13" t="inlineStr"/>
      <c r="L7" s="13" t="inlineStr"/>
      <c r="M7" s="13" t="inlineStr"/>
      <c r="N7" s="13" t="inlineStr"/>
      <c r="O7" s="13" t="inlineStr"/>
      <c r="P7" s="13" t="inlineStr"/>
      <c r="Q7" s="13" t="inlineStr">
        <is>
          <t>eap</t>
        </is>
      </c>
    </row>
    <row r="8">
      <c r="A8" s="13" t="inlineStr">
        <is>
          <t>japan</t>
        </is>
      </c>
      <c r="B8" s="13" t="inlineStr">
        <is>
          <t>opengov.jp Retail Price Survey</t>
        </is>
      </c>
      <c r="C8" s="13" t="inlineStr">
        <is>
          <t>https://opengov.jp/en/prices/retail-prices/</t>
        </is>
      </c>
      <c r="D8" s="13" t="inlineStr">
        <is>
          <t>TIER_1A</t>
        </is>
      </c>
      <c r="E8" s="13" t="inlineStr">
        <is>
          <t>See sources[] entry above.</t>
        </is>
      </c>
      <c r="F8" s="13" t="inlineStr">
        <is>
          <t>web search for MAFF food price survey open data; opengov.jp surfaced as a third-party re-publisher of the underlying government survey, then site-crawled its /en/prices/ index to find all four sections (cpi, fish-market, gasoline, retail-prices, vegetable-market)</t>
        </is>
      </c>
      <c r="G8" s="13" t="inlineStr">
        <is>
          <t>eap-3</t>
        </is>
      </c>
      <c r="H8" s="13" t="inlineStr"/>
      <c r="I8" s="13" t="inlineStr"/>
      <c r="J8" s="13" t="inlineStr"/>
      <c r="K8" s="13" t="inlineStr"/>
      <c r="L8" s="13" t="inlineStr"/>
      <c r="M8" s="13" t="inlineStr"/>
      <c r="N8" s="13" t="inlineStr"/>
      <c r="O8" s="13" t="inlineStr"/>
      <c r="P8" s="13" t="inlineStr"/>
      <c r="Q8" s="13" t="inlineStr">
        <is>
          <t>eap</t>
        </is>
      </c>
    </row>
    <row r="9">
      <c r="A9" s="13" t="inlineStr">
        <is>
          <t>japan</t>
        </is>
      </c>
      <c r="B9" s="13" t="inlineStr">
        <is>
          <t>opengov.jp Wholesale Produce Market Prices</t>
        </is>
      </c>
      <c r="C9" s="13" t="inlineStr">
        <is>
          <t>https://opengov.jp/en/prices/vegetable-market/</t>
        </is>
      </c>
      <c r="D9" s="13" t="inlineStr">
        <is>
          <t>TIER_1A</t>
        </is>
      </c>
      <c r="E9" s="13" t="inlineStr">
        <is>
          <t>See sources[] entry above.</t>
        </is>
      </c>
      <c r="F9" s="13" t="inlineStr">
        <is>
          <t>same opengov.jp site crawl as retail-prices</t>
        </is>
      </c>
      <c r="G9" s="13" t="inlineStr">
        <is>
          <t>eap-3</t>
        </is>
      </c>
      <c r="H9" s="13" t="inlineStr"/>
      <c r="I9" s="13" t="inlineStr"/>
      <c r="J9" s="13" t="inlineStr"/>
      <c r="K9" s="13" t="inlineStr"/>
      <c r="L9" s="13" t="inlineStr"/>
      <c r="M9" s="13" t="inlineStr"/>
      <c r="N9" s="13" t="inlineStr"/>
      <c r="O9" s="13" t="inlineStr"/>
      <c r="P9" s="13" t="inlineStr"/>
      <c r="Q9" s="13" t="inlineStr">
        <is>
          <t>eap</t>
        </is>
      </c>
    </row>
    <row r="10">
      <c r="A10" s="13" t="inlineStr">
        <is>
          <t>japan</t>
        </is>
      </c>
      <c r="B10" s="13" t="inlineStr">
        <is>
          <t>opengov.jp Fish Market Prices (Tokyo Central Wholesale Market)</t>
        </is>
      </c>
      <c r="C10" s="13" t="inlineStr">
        <is>
          <t>https://opengov.jp/en/prices/fish-market/</t>
        </is>
      </c>
      <c r="D10" s="13" t="inlineStr">
        <is>
          <t>TIER_2</t>
        </is>
      </c>
      <c r="E10" s="13" t="inlineStr">
        <is>
          <t>GET -&gt; 200, 66KB, but unlike the other two opengov.jp sections this index page carries no static item-code links or species names (regex/text search for anchors and option tags both came back empty) -- catalog is JS-driven from this entry point. Needs a Playwright network-tab trace to find the real data endpoint before it can be scored.</t>
        </is>
      </c>
      <c r="F10" s="13" t="inlineStr">
        <is>
          <t>same opengov.jp site crawl</t>
        </is>
      </c>
      <c r="G10" s="13" t="inlineStr">
        <is>
          <t>eap-3</t>
        </is>
      </c>
      <c r="H10" s="13" t="inlineStr"/>
      <c r="I10" s="13" t="inlineStr"/>
      <c r="J10" s="13" t="inlineStr"/>
      <c r="K10" s="13" t="inlineStr"/>
      <c r="L10" s="13" t="inlineStr"/>
      <c r="M10" s="13" t="inlineStr"/>
      <c r="N10" s="13" t="inlineStr"/>
      <c r="O10" s="13" t="inlineStr"/>
      <c r="P10" s="13" t="inlineStr"/>
      <c r="Q10" s="13" t="inlineStr">
        <is>
          <t>eap</t>
        </is>
      </c>
    </row>
    <row r="11">
      <c r="A11" s="13" t="inlineStr">
        <is>
          <t>indonesia</t>
        </is>
      </c>
      <c r="B11" s="13" t="inlineStr">
        <is>
          <t>Bank Indonesia PIHPS Nasional</t>
        </is>
      </c>
      <c r="C11" s="13" t="inlineStr">
        <is>
          <t>https://www.bi.go.id/hargapangan/TabelHarga/PasarTradisionalDaerah</t>
        </is>
      </c>
      <c r="D11" s="13" t="inlineStr">
        <is>
          <t>TIER_2</t>
        </is>
      </c>
      <c r="E11" s="13" t="inlineStr">
        <is>
          <t>GET -&gt; 200, 47KB HTML shell referencing 8 table views (PasarTradisionalDaerah/Komoditas, PasarModernDaerah/Komoditas, PedagangBesarDaerah/Komoditas i.e. wholesale, ProdusenDaerah/Komoditas i.e. producer) all rendered via a DevExtreme JS grid -- no plain-GET JSON payload found; the grid's data call is presumably a POST with dynamic params not reverse-engineered in budget.</t>
        </is>
      </c>
      <c r="F11" s="13" t="inlineStr">
        <is>
          <t>web search for Bank Indonesia PIHPS API</t>
        </is>
      </c>
      <c r="G11" s="13" t="inlineStr">
        <is>
          <t>eap-3</t>
        </is>
      </c>
      <c r="H11" s="13" t="inlineStr"/>
      <c r="I11" s="13" t="inlineStr"/>
      <c r="J11" s="13" t="inlineStr"/>
      <c r="K11" s="13" t="inlineStr"/>
      <c r="L11" s="13" t="inlineStr"/>
      <c r="M11" s="13" t="inlineStr"/>
      <c r="N11" s="13" t="inlineStr"/>
      <c r="O11" s="13" t="inlineStr"/>
      <c r="P11" s="13" t="inlineStr"/>
      <c r="Q11" s="13" t="inlineStr">
        <is>
          <t>eap</t>
        </is>
      </c>
    </row>
    <row r="12">
      <c r="A12" s="13" t="inlineStr">
        <is>
          <t>philippines</t>
        </is>
      </c>
      <c r="B12" s="13" t="inlineStr">
        <is>
          <t>PSA OpenSTAT (PX-Web)</t>
        </is>
      </c>
      <c r="C12" s="13" t="inlineStr">
        <is>
          <t>https://openstat.psa.gov.ph/PXWeb/api/v1/en</t>
        </is>
      </c>
      <c r="D12" s="13" t="inlineStr">
        <is>
          <t>TIER_2</t>
        </is>
      </c>
      <c r="E12" s="13" t="inlineStr">
        <is>
          <t>GET /PXWeb/api/v1/en/DB -&gt; 200, 27KB JSON, 27-domain folder tree including '2E Agriculture, Forestry, Fisheries' and '3L Food Security Indicators'. Standard PX-Web software (same family used by many national statistics offices) -- did not walk down to a specific retail/wholesale price table id in budget.</t>
        </is>
      </c>
      <c r="F12" s="13" t="inlineStr">
        <is>
          <t>web search for PSA Bantay Presyo / PSA OpenSTAT open data API</t>
        </is>
      </c>
      <c r="G12" s="13" t="inlineStr">
        <is>
          <t>eap-3</t>
        </is>
      </c>
      <c r="H12" s="13" t="inlineStr"/>
      <c r="I12" s="13" t="inlineStr"/>
      <c r="J12" s="13" t="inlineStr"/>
      <c r="K12" s="13" t="inlineStr"/>
      <c r="L12" s="13" t="inlineStr"/>
      <c r="M12" s="13" t="inlineStr"/>
      <c r="N12" s="13" t="inlineStr"/>
      <c r="O12" s="13" t="inlineStr"/>
      <c r="P12" s="13" t="inlineStr"/>
      <c r="Q12" s="13" t="inlineStr">
        <is>
          <t>eap</t>
        </is>
      </c>
    </row>
    <row r="13">
      <c r="A13" s="13" t="inlineStr">
        <is>
          <t>china</t>
        </is>
      </c>
      <c r="B13" s="13" t="inlineStr">
        <is>
          <t>MOA Agricultural Product Wholesale Price 200 Index</t>
        </is>
      </c>
      <c r="C13" s="13" t="inlineStr">
        <is>
          <t>https://data.moa.gov.cn/nyb/pc/index.jsp</t>
        </is>
      </c>
      <c r="D13" s="13" t="inlineStr">
        <is>
          <t>TIER_2</t>
        </is>
      </c>
      <c r="E13" s="13" t="inlineStr">
        <is>
          <t>GET -&gt; 200, 62KB HTML (data.moa.gov.cn); GET ncpscxx.moa.gov.cn -&gt; 200, 5.6KB HTML. Both look like JS-SPA bootstrap shells on a raw curl -- no server-rendered price table or discoverable JSON endpoint found without a browser trace.</t>
        </is>
      </c>
      <c r="F13" s="13" t="inlineStr">
        <is>
          <t>web search (Chinese-language) for 农业农村部 全国农产品批发市场价格信息 API</t>
        </is>
      </c>
      <c r="G13" s="13" t="inlineStr">
        <is>
          <t>eap-3</t>
        </is>
      </c>
      <c r="H13" s="13" t="inlineStr"/>
      <c r="I13" s="13" t="inlineStr"/>
      <c r="J13" s="13" t="inlineStr"/>
      <c r="K13" s="13" t="inlineStr"/>
      <c r="L13" s="13" t="inlineStr"/>
      <c r="M13" s="13" t="inlineStr"/>
      <c r="N13" s="13" t="inlineStr"/>
      <c r="O13" s="13" t="inlineStr"/>
      <c r="P13" s="13" t="inlineStr"/>
      <c r="Q13" s="13" t="inlineStr">
        <is>
          <t>eap</t>
        </is>
      </c>
    </row>
    <row r="14">
      <c r="A14" s="13" t="inlineStr">
        <is>
          <t>papua_new_guinea</t>
        </is>
      </c>
      <c r="B14" s="13" t="inlineStr">
        <is>
          <t>IFPRI/FPDA/PNG NRI Fresh Food Price Database</t>
        </is>
      </c>
      <c r="C14" s="13" t="inlineStr">
        <is>
          <t>https://www.ifpri.org/project/fresh-food-price-analysis-papua-new-guinea/</t>
        </is>
      </c>
      <c r="D14" s="13" t="inlineStr">
        <is>
          <t>TIER_2</t>
        </is>
      </c>
      <c r="E14" s="13" t="inlineStr">
        <is>
          <t>GET -&gt; 200 but only 212 bytes returned, consistent with a JS-rendered project page shell; advertised feature set (downloadable time series by year/crop/market, 5 markets, ~20 crops) not directly observed.</t>
        </is>
      </c>
      <c r="F14" s="13" t="inlineStr">
        <is>
          <t>web search for Pacific food price monitoring, followed by a second search specifically for the IFPRI PNG tool after WFP/HDX confirmed no PNG panel exists</t>
        </is>
      </c>
      <c r="G14" s="13" t="inlineStr">
        <is>
          <t>eap-3</t>
        </is>
      </c>
      <c r="H14" s="13" t="inlineStr"/>
      <c r="I14" s="13" t="inlineStr"/>
      <c r="J14" s="13" t="inlineStr"/>
      <c r="K14" s="13" t="inlineStr"/>
      <c r="L14" s="13" t="inlineStr"/>
      <c r="M14" s="13" t="inlineStr"/>
      <c r="N14" s="13" t="inlineStr"/>
      <c r="O14" s="13" t="inlineStr"/>
      <c r="P14" s="13" t="inlineStr"/>
      <c r="Q14" s="13" t="inlineStr">
        <is>
          <t>eap</t>
        </is>
      </c>
    </row>
    <row r="15">
      <c r="A15" s="13" t="inlineStr">
        <is>
          <t>austria</t>
        </is>
      </c>
      <c r="B15" s="13" t="inlineStr">
        <is>
          <t>MPreis</t>
        </is>
      </c>
      <c r="C15" s="13" t="inlineStr">
        <is>
          <t>https://www.mpreis.at/</t>
        </is>
      </c>
      <c r="D15" s="13" t="inlineStr">
        <is>
          <t>TIER_1A</t>
        </is>
      </c>
      <c r="E15" s="13" t="inlineStr">
        <is>
          <t>curl 200, real prices confirmed in SSR HTML, Algolia detected</t>
        </is>
      </c>
      <c r="F15" s="13" t="inlineStr">
        <is>
          <t>targeted search for major Austrian regional grocery chains not in the CSV shard, after all 3 CSV Austria rows failed probing</t>
        </is>
      </c>
      <c r="G15" s="13" t="inlineStr">
        <is>
          <t>eca-1</t>
        </is>
      </c>
      <c r="H15" s="13" t="inlineStr"/>
      <c r="I15" s="13" t="inlineStr"/>
      <c r="J15" s="13" t="inlineStr"/>
      <c r="K15" s="13" t="inlineStr"/>
      <c r="L15" s="13" t="inlineStr"/>
      <c r="M15" s="13" t="inlineStr"/>
      <c r="N15" s="13" t="inlineStr"/>
      <c r="O15" s="13" t="inlineStr"/>
      <c r="P15" s="13" t="inlineStr"/>
      <c r="Q15" s="13" t="inlineStr">
        <is>
          <t>eca</t>
        </is>
      </c>
    </row>
    <row r="16">
      <c r="A16" s="13" t="inlineStr">
        <is>
          <t>austria</t>
        </is>
      </c>
      <c r="B16" s="13" t="inlineStr">
        <is>
          <t>Unimarkt</t>
        </is>
      </c>
      <c r="C16" s="13" t="inlineStr">
        <is>
          <t>https://www.unimarkt.at/</t>
        </is>
      </c>
      <c r="D16" s="13" t="inlineStr">
        <is>
          <t>TIER_2</t>
        </is>
      </c>
      <c r="E16" s="13" t="inlineStr">
        <is>
          <t>curl 200, not blocked, prices not yet confirmed</t>
        </is>
      </c>
      <c r="F16" s="13" t="inlineStr">
        <is>
          <t>same targeted search as MPreis</t>
        </is>
      </c>
      <c r="G16" s="13" t="inlineStr">
        <is>
          <t>eca-1</t>
        </is>
      </c>
      <c r="H16" s="13" t="inlineStr"/>
      <c r="I16" s="13" t="inlineStr"/>
      <c r="J16" s="13" t="inlineStr"/>
      <c r="K16" s="13" t="inlineStr"/>
      <c r="L16" s="13" t="inlineStr"/>
      <c r="M16" s="13" t="inlineStr"/>
      <c r="N16" s="13" t="inlineStr"/>
      <c r="O16" s="13" t="inlineStr"/>
      <c r="P16" s="13" t="inlineStr"/>
      <c r="Q16" s="13" t="inlineStr">
        <is>
          <t>eca</t>
        </is>
      </c>
    </row>
    <row r="17">
      <c r="A17" s="13" t="inlineStr">
        <is>
          <t>austria</t>
        </is>
      </c>
      <c r="B17" s="13" t="inlineStr">
        <is>
          <t>ADEG</t>
        </is>
      </c>
      <c r="C17" s="13" t="inlineStr">
        <is>
          <t>https://www.adeg.at/</t>
        </is>
      </c>
      <c r="D17" s="13" t="inlineStr">
        <is>
          <t>TIER_2</t>
        </is>
      </c>
      <c r="E17" s="13" t="inlineStr">
        <is>
          <t>curl 200, not blocked, prices not yet confirmed</t>
        </is>
      </c>
      <c r="F17" s="13" t="inlineStr">
        <is>
          <t>same targeted search as MPreis</t>
        </is>
      </c>
      <c r="G17" s="13" t="inlineStr">
        <is>
          <t>eca-1</t>
        </is>
      </c>
      <c r="H17" s="13" t="inlineStr"/>
      <c r="I17" s="13" t="inlineStr"/>
      <c r="J17" s="13" t="inlineStr"/>
      <c r="K17" s="13" t="inlineStr"/>
      <c r="L17" s="13" t="inlineStr"/>
      <c r="M17" s="13" t="inlineStr"/>
      <c r="N17" s="13" t="inlineStr"/>
      <c r="O17" s="13" t="inlineStr"/>
      <c r="P17" s="13" t="inlineStr"/>
      <c r="Q17" s="13" t="inlineStr">
        <is>
          <t>eca</t>
        </is>
      </c>
    </row>
    <row r="18">
      <c r="A18" s="13" t="inlineStr">
        <is>
          <t>malta</t>
        </is>
      </c>
      <c r="B18" s="13" t="inlineStr">
        <is>
          <t>PaviPama (corrected domain)</t>
        </is>
      </c>
      <c r="C18" s="13" t="inlineStr">
        <is>
          <t>https://www.pavipama.com.mt/</t>
        </is>
      </c>
      <c r="D18" s="13" t="inlineStr">
        <is>
          <t>TIER_1B</t>
        </is>
      </c>
      <c r="E18" s="13" t="inlineStr">
        <is>
          <t>CSV's pavishopping.com is dead (NXDOMAIN); WebSearch found the real domain, which turned out to have an open, rich JSON API</t>
        </is>
      </c>
      <c r="F18" s="13" t="inlineStr">
        <is>
          <t>WebSearch after CSV domain failed DNS resolution</t>
        </is>
      </c>
      <c r="G18" s="13" t="inlineStr">
        <is>
          <t>eca-1</t>
        </is>
      </c>
      <c r="H18" s="13" t="inlineStr"/>
      <c r="I18" s="13" t="inlineStr"/>
      <c r="J18" s="13" t="inlineStr"/>
      <c r="K18" s="13" t="inlineStr"/>
      <c r="L18" s="13" t="inlineStr"/>
      <c r="M18" s="13" t="inlineStr"/>
      <c r="N18" s="13" t="inlineStr"/>
      <c r="O18" s="13" t="inlineStr"/>
      <c r="P18" s="13" t="inlineStr"/>
      <c r="Q18" s="13" t="inlineStr">
        <is>
          <t>eca</t>
        </is>
      </c>
    </row>
    <row r="19">
      <c r="A19" s="13" t="inlineStr">
        <is>
          <t>malta</t>
        </is>
      </c>
      <c r="B19" s="13" t="inlineStr">
        <is>
          <t>Scotts Supermarket (corrected domain)</t>
        </is>
      </c>
      <c r="C19" s="13" t="inlineStr">
        <is>
          <t>https://www.scotts.com.mt/</t>
        </is>
      </c>
      <c r="D19" s="13" t="inlineStr">
        <is>
          <t>TIER_1B</t>
        </is>
      </c>
      <c r="E19" s="13" t="inlineStr">
        <is>
          <t>CSV's scottssupermarket.com is dead (NXDOMAIN); WebSearch found the real domain, confirmed genuine WooCommerce Store API</t>
        </is>
      </c>
      <c r="F19" s="13" t="inlineStr">
        <is>
          <t>WebSearch after CSV domain failed DNS resolution</t>
        </is>
      </c>
      <c r="G19" s="13" t="inlineStr">
        <is>
          <t>eca-1</t>
        </is>
      </c>
      <c r="H19" s="13" t="inlineStr"/>
      <c r="I19" s="13" t="inlineStr"/>
      <c r="J19" s="13" t="inlineStr"/>
      <c r="K19" s="13" t="inlineStr"/>
      <c r="L19" s="13" t="inlineStr"/>
      <c r="M19" s="13" t="inlineStr"/>
      <c r="N19" s="13" t="inlineStr"/>
      <c r="O19" s="13" t="inlineStr"/>
      <c r="P19" s="13" t="inlineStr"/>
      <c r="Q19" s="13" t="inlineStr">
        <is>
          <t>eca</t>
        </is>
      </c>
    </row>
    <row r="20">
      <c r="A20" s="13" t="inlineStr">
        <is>
          <t>malta</t>
        </is>
      </c>
      <c r="B20" s="13" t="inlineStr">
        <is>
          <t>Welbee's (corrected domain)</t>
        </is>
      </c>
      <c r="C20" s="13" t="inlineStr">
        <is>
          <t>https://welbees.mt/</t>
        </is>
      </c>
      <c r="D20" s="13" t="inlineStr">
        <is>
          <t>TIER_2</t>
        </is>
      </c>
      <c r="E20" s="13" t="inlineStr">
        <is>
          <t>CSV's welbees.com.mt has zero DNS records at all; WebSearch found the real domain (welbees.mt), a genuine full-line grocer with a deep category tree</t>
        </is>
      </c>
      <c r="F20" s="13" t="inlineStr">
        <is>
          <t>WebSearch after CSV domain failed DNS resolution</t>
        </is>
      </c>
      <c r="G20" s="13" t="inlineStr">
        <is>
          <t>eca-1</t>
        </is>
      </c>
      <c r="H20" s="13" t="inlineStr"/>
      <c r="I20" s="13" t="inlineStr"/>
      <c r="J20" s="13" t="inlineStr"/>
      <c r="K20" s="13" t="inlineStr"/>
      <c r="L20" s="13" t="inlineStr"/>
      <c r="M20" s="13" t="inlineStr"/>
      <c r="N20" s="13" t="inlineStr"/>
      <c r="O20" s="13" t="inlineStr"/>
      <c r="P20" s="13" t="inlineStr"/>
      <c r="Q20" s="13" t="inlineStr">
        <is>
          <t>eca</t>
        </is>
      </c>
    </row>
    <row r="21">
      <c r="A21" s="13" t="inlineStr">
        <is>
          <t>kyrgyz_republic</t>
        </is>
      </c>
      <c r="B21" s="13" t="inlineStr">
        <is>
          <t>Online Gipermarket / Frunze</t>
        </is>
      </c>
      <c r="C21" s="13" t="inlineStr">
        <is>
          <t>https://online.gipermarket.kg/</t>
        </is>
      </c>
      <c r="D21" s="13" t="inlineStr">
        <is>
          <t>SKIP</t>
        </is>
      </c>
      <c r="E21" s="13" t="inlineStr">
        <is>
          <t>curl -&gt; HTTP 522 (Cloudflare connection timeout to origin), reproduced on 2 attempts. Alternate domain frunze.online -&gt; DNS NXDOMAIN.</t>
        </is>
      </c>
      <c r="F21" s="13" t="inlineStr">
        <is>
          <t>Local-language (Russian) web search: 'интернет магазин продуктов Бишкек доставка супермаркет' -- surfaced as 'Азия Онлайн', claimed 10,000+ SKUs incl. fresh produce/meat/fish/dairy per search snippet.</t>
        </is>
      </c>
      <c r="G21" s="13" t="inlineStr">
        <is>
          <t>eca-2</t>
        </is>
      </c>
      <c r="H21" s="13" t="inlineStr"/>
      <c r="I21" s="13" t="inlineStr"/>
      <c r="J21" s="13" t="inlineStr"/>
      <c r="K21" s="13" t="inlineStr"/>
      <c r="L21" s="13" t="inlineStr"/>
      <c r="M21" s="13" t="inlineStr"/>
      <c r="N21" s="13" t="inlineStr"/>
      <c r="O21" s="13" t="inlineStr"/>
      <c r="P21" s="13" t="inlineStr"/>
      <c r="Q21" s="13" t="inlineStr">
        <is>
          <t>eca</t>
        </is>
      </c>
    </row>
    <row r="22">
      <c r="A22" s="13" t="inlineStr">
        <is>
          <t>kyrgyz_republic</t>
        </is>
      </c>
      <c r="B22" s="13" t="inlineStr">
        <is>
          <t>aMart.kg</t>
        </is>
      </c>
      <c r="C22" s="13" t="inlineStr">
        <is>
          <t>http://amart.kg/</t>
        </is>
      </c>
      <c r="D22" s="13" t="inlineStr">
        <is>
          <t>SKIP</t>
        </is>
      </c>
      <c r="E22" s="13" t="inlineStr">
        <is>
          <t>GET /category:461/ -&gt; 200, 21KB but only a price-filter widget (product-filter-price class), zero real product cards or KGS prices in SSR HTML. Tried a second category (/category:27/) with the same result.</t>
        </is>
      </c>
      <c r="F22" s="13" t="inlineStr">
        <is>
          <t>Local-language web search for Bishkek grocery delivery.</t>
        </is>
      </c>
      <c r="G22" s="13" t="inlineStr">
        <is>
          <t>eca-2</t>
        </is>
      </c>
      <c r="H22" s="13" t="inlineStr"/>
      <c r="I22" s="13" t="inlineStr"/>
      <c r="J22" s="13" t="inlineStr"/>
      <c r="K22" s="13" t="inlineStr"/>
      <c r="L22" s="13" t="inlineStr"/>
      <c r="M22" s="13" t="inlineStr"/>
      <c r="N22" s="13" t="inlineStr"/>
      <c r="O22" s="13" t="inlineStr"/>
      <c r="P22" s="13" t="inlineStr"/>
      <c r="Q22" s="13" t="inlineStr">
        <is>
          <t>eca</t>
        </is>
      </c>
    </row>
    <row r="23">
      <c r="A23" s="13" t="inlineStr">
        <is>
          <t>kyrgyz_republic</t>
        </is>
      </c>
      <c r="B23" s="13" t="inlineStr">
        <is>
          <t>Kampa.kg</t>
        </is>
      </c>
      <c r="C23" s="13" t="inlineStr">
        <is>
          <t>https://www.kampa.kg/</t>
        </is>
      </c>
      <c r="D23" s="13" t="inlineStr">
        <is>
          <t>SKIP</t>
        </is>
      </c>
      <c r="E23" s="13" t="inlineStr">
        <is>
          <t>curl --max-time 20/25 -&gt; connection timeout on both http and https, no response.</t>
        </is>
      </c>
      <c r="F23" s="13" t="inlineStr">
        <is>
          <t>Local-language web search; described as a wholesale/melkoopt (small-wholesale) grocery site.</t>
        </is>
      </c>
      <c r="G23" s="13" t="inlineStr">
        <is>
          <t>eca-2</t>
        </is>
      </c>
      <c r="H23" s="13" t="inlineStr"/>
      <c r="I23" s="13" t="inlineStr"/>
      <c r="J23" s="13" t="inlineStr"/>
      <c r="K23" s="13" t="inlineStr"/>
      <c r="L23" s="13" t="inlineStr"/>
      <c r="M23" s="13" t="inlineStr"/>
      <c r="N23" s="13" t="inlineStr"/>
      <c r="O23" s="13" t="inlineStr"/>
      <c r="P23" s="13" t="inlineStr"/>
      <c r="Q23" s="13" t="inlineStr">
        <is>
          <t>eca</t>
        </is>
      </c>
    </row>
    <row r="24">
      <c r="A24" s="13" t="inlineStr">
        <is>
          <t>kyrgyz_republic</t>
        </is>
      </c>
      <c r="B24" s="13" t="inlineStr">
        <is>
          <t>Namba Food</t>
        </is>
      </c>
      <c r="C24" s="13" t="inlineStr">
        <is>
          <t>https://nambafood.kg/market/shop</t>
        </is>
      </c>
      <c r="D24" s="13" t="inlineStr">
        <is>
          <t>SKIP</t>
        </is>
      </c>
      <c r="E24" s="13" t="inlineStr">
        <is>
          <t>GET /market/shop -&gt; 200, 196KB, React/Next bundle. Apparent price match ('350') on first pass was a false positive (a CSS width token, not a price) -- no real product/price pairs isolated in the SSR HTML.</t>
        </is>
      </c>
      <c r="F24" s="13" t="inlineStr">
        <is>
          <t>Local-language web search; aggregator delivering from Globus/Narodny/Beta Stores/Stolichny per search snippet -- same aggregator pattern as Wolt/Glovo elsewhere in ECA, would need Playwright network sniff to find the real menu API.</t>
        </is>
      </c>
      <c r="G24" s="13" t="inlineStr">
        <is>
          <t>eca-2</t>
        </is>
      </c>
      <c r="H24" s="13" t="inlineStr"/>
      <c r="I24" s="13" t="inlineStr"/>
      <c r="J24" s="13" t="inlineStr"/>
      <c r="K24" s="13" t="inlineStr"/>
      <c r="L24" s="13" t="inlineStr"/>
      <c r="M24" s="13" t="inlineStr"/>
      <c r="N24" s="13" t="inlineStr"/>
      <c r="O24" s="13" t="inlineStr"/>
      <c r="P24" s="13" t="inlineStr"/>
      <c r="Q24" s="13" t="inlineStr">
        <is>
          <t>eca</t>
        </is>
      </c>
    </row>
    <row r="25">
      <c r="A25" s="13" t="inlineStr">
        <is>
          <t>uzbekistan</t>
        </is>
      </c>
      <c r="B25" s="13" t="inlineStr">
        <is>
          <t>Uzum Market</t>
        </is>
      </c>
      <c r="C25" s="13" t="inlineStr">
        <is>
          <t>https://uzum.uz/en/category/food-14</t>
        </is>
      </c>
      <c r="D25" s="13" t="inlineStr">
        <is>
          <t>SKIP</t>
        </is>
      </c>
      <c r="E25" s="13" t="inlineStr">
        <is>
          <t>GET -&gt; redirects through 'tmgrdfrend/showcaptchafast' to a Yandex SmartCaptcha verification page. Confirmed bot-blocked.</t>
        </is>
      </c>
      <c r="F25" s="13" t="inlineStr">
        <is>
          <t>Known major Uzbek e-commerce platform, tried as a discovery candidate for Uzbekistan given the country fell below the 2-viable-source threshold.</t>
        </is>
      </c>
      <c r="G25" s="13" t="inlineStr">
        <is>
          <t>eca-3</t>
        </is>
      </c>
      <c r="H25" s="13" t="inlineStr"/>
      <c r="I25" s="13" t="inlineStr"/>
      <c r="J25" s="13" t="inlineStr"/>
      <c r="K25" s="13" t="inlineStr"/>
      <c r="L25" s="13" t="inlineStr"/>
      <c r="M25" s="13" t="inlineStr"/>
      <c r="N25" s="13" t="inlineStr"/>
      <c r="O25" s="13" t="inlineStr"/>
      <c r="P25" s="13" t="inlineStr"/>
      <c r="Q25" s="13" t="inlineStr">
        <is>
          <t>eca</t>
        </is>
      </c>
    </row>
    <row r="26">
      <c r="A26" s="13" t="inlineStr">
        <is>
          <t>uzbekistan</t>
        </is>
      </c>
      <c r="B26" s="13" t="inlineStr">
        <is>
          <t>Wolt Uzbekistan (grocery)</t>
        </is>
      </c>
      <c r="C26" s="13" t="inlineStr">
        <is>
          <t>https://wolt.com/en/uzb/tashkent/category/grocery</t>
        </is>
      </c>
      <c r="D26" s="13" t="inlineStr">
        <is>
          <t>SKIP</t>
        </is>
      </c>
      <c r="E26" s="13" t="inlineStr">
        <is>
          <t>GET -&gt; HTTP 404 (1MB body, likely a 'not available' page) despite the identical URL pattern working cleanly for Azerbaijan (wolt.com/en/aze/baku/...). Wolt does not appear to operate a Tashkent grocery vertical under this URL shape.</t>
        </is>
      </c>
      <c r="F26" s="13" t="inlineStr">
        <is>
          <t>Pattern-matched from the AZ Wolt success to test whether the same aggregator covers Uzbekistan.</t>
        </is>
      </c>
      <c r="G26" s="13" t="inlineStr">
        <is>
          <t>eca-3</t>
        </is>
      </c>
      <c r="H26" s="13" t="inlineStr"/>
      <c r="I26" s="13" t="inlineStr"/>
      <c r="J26" s="13" t="inlineStr"/>
      <c r="K26" s="13" t="inlineStr"/>
      <c r="L26" s="13" t="inlineStr"/>
      <c r="M26" s="13" t="inlineStr"/>
      <c r="N26" s="13" t="inlineStr"/>
      <c r="O26" s="13" t="inlineStr"/>
      <c r="P26" s="13" t="inlineStr"/>
      <c r="Q26" s="13" t="inlineStr">
        <is>
          <t>eca</t>
        </is>
      </c>
    </row>
    <row r="27">
      <c r="A27" s="13" t="inlineStr">
        <is>
          <t>tunisia</t>
        </is>
      </c>
      <c r="B27" s="13" t="inlineStr">
        <is>
          <t>Carrefour Tunisia</t>
        </is>
      </c>
      <c r="C27" s="13" t="inlineStr">
        <is>
          <t>https://www.carrefour.tn/</t>
        </is>
      </c>
      <c r="D27" s="13" t="inlineStr">
        <is>
          <t>TIER_1B</t>
        </is>
      </c>
      <c r="E27" s="13" t="inlineStr">
        <is>
          <t>Magento GraphQL open, no WAF -- see sources[]</t>
        </is>
      </c>
      <c r="F27" s="13" t="inlineStr">
        <is>
          <t>local-operator web search ('supermarché en ligne Tunisie')</t>
        </is>
      </c>
      <c r="G27" s="13" t="inlineStr">
        <is>
          <t>menaap-1</t>
        </is>
      </c>
      <c r="H27" s="13" t="inlineStr"/>
      <c r="I27" s="13" t="inlineStr"/>
      <c r="J27" s="13" t="inlineStr"/>
      <c r="K27" s="13" t="inlineStr"/>
      <c r="L27" s="13" t="inlineStr"/>
      <c r="M27" s="13" t="inlineStr"/>
      <c r="N27" s="13" t="inlineStr"/>
      <c r="O27" s="13" t="inlineStr"/>
      <c r="P27" s="13" t="inlineStr"/>
      <c r="Q27" s="13" t="inlineStr">
        <is>
          <t>menaap</t>
        </is>
      </c>
    </row>
    <row r="28">
      <c r="A28" s="13" t="inlineStr">
        <is>
          <t>tunisia</t>
        </is>
      </c>
      <c r="B28" s="13" t="inlineStr">
        <is>
          <t>Otrity</t>
        </is>
      </c>
      <c r="C28" s="13" t="inlineStr">
        <is>
          <t>https://otrity.com/</t>
        </is>
      </c>
      <c r="D28" s="13" t="inlineStr">
        <is>
          <t>TIER_1B</t>
        </is>
      </c>
      <c r="E28" s="13" t="inlineStr">
        <is>
          <t>WooCommerce Store API open -- see sources[]</t>
        </is>
      </c>
      <c r="F28" s="13" t="inlineStr">
        <is>
          <t>French-language web search ('supermarché en ligne Tunisie livraison courses alimentaires')</t>
        </is>
      </c>
      <c r="G28" s="13" t="inlineStr">
        <is>
          <t>menaap-1</t>
        </is>
      </c>
      <c r="H28" s="13" t="inlineStr"/>
      <c r="I28" s="13" t="inlineStr"/>
      <c r="J28" s="13" t="inlineStr"/>
      <c r="K28" s="13" t="inlineStr"/>
      <c r="L28" s="13" t="inlineStr"/>
      <c r="M28" s="13" t="inlineStr"/>
      <c r="N28" s="13" t="inlineStr"/>
      <c r="O28" s="13" t="inlineStr"/>
      <c r="P28" s="13" t="inlineStr"/>
      <c r="Q28" s="13" t="inlineStr">
        <is>
          <t>menaap</t>
        </is>
      </c>
    </row>
    <row r="29">
      <c r="A29" s="13" t="inlineStr">
        <is>
          <t>tunisia</t>
        </is>
      </c>
      <c r="B29" s="13" t="inlineStr">
        <is>
          <t>Magik (Gabès)</t>
        </is>
      </c>
      <c r="C29" s="13" t="inlineStr">
        <is>
          <t>https://magik.tn/</t>
        </is>
      </c>
      <c r="D29" s="13" t="inlineStr">
        <is>
          <t>TIER_2</t>
        </is>
      </c>
      <c r="E29" s="13" t="inlineStr">
        <is>
          <t>fresh produce + meat confirmed via Playwright render -- see sources[]</t>
        </is>
      </c>
      <c r="F29" s="13" t="inlineStr">
        <is>
          <t>French-language web search</t>
        </is>
      </c>
      <c r="G29" s="13" t="inlineStr">
        <is>
          <t>menaap-1</t>
        </is>
      </c>
      <c r="H29" s="13" t="inlineStr"/>
      <c r="I29" s="13" t="inlineStr"/>
      <c r="J29" s="13" t="inlineStr"/>
      <c r="K29" s="13" t="inlineStr"/>
      <c r="L29" s="13" t="inlineStr"/>
      <c r="M29" s="13" t="inlineStr"/>
      <c r="N29" s="13" t="inlineStr"/>
      <c r="O29" s="13" t="inlineStr"/>
      <c r="P29" s="13" t="inlineStr"/>
      <c r="Q29" s="13" t="inlineStr">
        <is>
          <t>menaap</t>
        </is>
      </c>
    </row>
    <row r="30">
      <c r="A30" s="13" t="inlineStr">
        <is>
          <t>tunisia</t>
        </is>
      </c>
      <c r="B30" s="13" t="inlineStr">
        <is>
          <t>Maximarket</t>
        </is>
      </c>
      <c r="C30" s="13" t="inlineStr">
        <is>
          <t>https://maximarket.tn/</t>
        </is>
      </c>
      <c r="D30" s="13" t="inlineStr">
        <is>
          <t>SKIP</t>
        </is>
      </c>
      <c r="E30" s="13" t="inlineStr">
        <is>
          <t>WooCommerce fingerprint on homepage (200) but /boutique/, /shop/, /product-category/ all return 403 body 'Forbidden - Visitors from your country are not permitted to browse this site'</t>
        </is>
      </c>
      <c r="F30" s="13" t="inlineStr">
        <is>
          <t>French-language web search</t>
        </is>
      </c>
      <c r="G30" s="13" t="inlineStr">
        <is>
          <t>menaap-1</t>
        </is>
      </c>
      <c r="H30" s="13" t="inlineStr"/>
      <c r="I30" s="13" t="inlineStr"/>
      <c r="J30" s="13" t="inlineStr"/>
      <c r="K30" s="13" t="inlineStr"/>
      <c r="L30" s="13" t="inlineStr"/>
      <c r="M30" s="13" t="inlineStr"/>
      <c r="N30" s="13" t="inlineStr"/>
      <c r="O30" s="13" t="inlineStr"/>
      <c r="P30" s="13" t="inlineStr"/>
      <c r="Q30" s="13" t="inlineStr">
        <is>
          <t>menaap</t>
        </is>
      </c>
    </row>
    <row r="31">
      <c r="A31" s="13" t="inlineStr">
        <is>
          <t>tunisia</t>
        </is>
      </c>
      <c r="B31" s="13" t="inlineStr">
        <is>
          <t>Monoprix Tunisia (courses.monoprix.tn)</t>
        </is>
      </c>
      <c r="C31" s="13" t="inlineStr">
        <is>
          <t>https://courses.monoprix.tn/carthage/</t>
        </is>
      </c>
      <c r="D31" s="13" t="inlineStr">
        <is>
          <t>SKIP</t>
        </is>
      </c>
      <c r="E31" s="13" t="inlineStr">
        <is>
          <t>curl -&gt; 403 'Accès bloqué pour test2' (Cloudflare, cf-ray present). Playwright -&gt; identical 403 body. Both blocked identically.</t>
        </is>
      </c>
      <c r="F31" s="13" t="inlineStr">
        <is>
          <t>French-language web search</t>
        </is>
      </c>
      <c r="G31" s="13" t="inlineStr">
        <is>
          <t>menaap-1</t>
        </is>
      </c>
      <c r="H31" s="13" t="inlineStr"/>
      <c r="I31" s="13" t="inlineStr"/>
      <c r="J31" s="13" t="inlineStr"/>
      <c r="K31" s="13" t="inlineStr"/>
      <c r="L31" s="13" t="inlineStr"/>
      <c r="M31" s="13" t="inlineStr"/>
      <c r="N31" s="13" t="inlineStr"/>
      <c r="O31" s="13" t="inlineStr"/>
      <c r="P31" s="13" t="inlineStr"/>
      <c r="Q31" s="13" t="inlineStr">
        <is>
          <t>menaap</t>
        </is>
      </c>
    </row>
    <row r="32">
      <c r="A32" s="13" t="inlineStr">
        <is>
          <t>tunisia</t>
        </is>
      </c>
      <c r="B32" s="13" t="inlineStr">
        <is>
          <t>Lekady</t>
        </is>
      </c>
      <c r="C32" s="13" t="inlineStr">
        <is>
          <t>https://en.lekady.shop/</t>
        </is>
      </c>
      <c r="D32" s="13" t="inlineStr">
        <is>
          <t>SKIP</t>
        </is>
      </c>
      <c r="E32" s="13" t="inlineStr">
        <is>
          <t>200 but Wix.com Website Builder site (generator meta tag); no WooCommerce/Shopify/custom-API fingerprint found, brochure-shaped</t>
        </is>
      </c>
      <c r="F32" s="13" t="inlineStr">
        <is>
          <t>French-language web search</t>
        </is>
      </c>
      <c r="G32" s="13" t="inlineStr">
        <is>
          <t>menaap-1</t>
        </is>
      </c>
      <c r="H32" s="13" t="inlineStr"/>
      <c r="I32" s="13" t="inlineStr"/>
      <c r="J32" s="13" t="inlineStr"/>
      <c r="K32" s="13" t="inlineStr"/>
      <c r="L32" s="13" t="inlineStr"/>
      <c r="M32" s="13" t="inlineStr"/>
      <c r="N32" s="13" t="inlineStr"/>
      <c r="O32" s="13" t="inlineStr"/>
      <c r="P32" s="13" t="inlineStr"/>
      <c r="Q32" s="13" t="inlineStr">
        <is>
          <t>menaap</t>
        </is>
      </c>
    </row>
    <row r="33">
      <c r="A33" s="13" t="inlineStr">
        <is>
          <t>tunisia</t>
        </is>
      </c>
      <c r="B33" s="13" t="inlineStr">
        <is>
          <t>AttarOnline</t>
        </is>
      </c>
      <c r="C33" s="13" t="inlineStr">
        <is>
          <t>https://www.attaronline.tn/</t>
        </is>
      </c>
      <c r="D33" s="13" t="inlineStr">
        <is>
          <t>SKIP</t>
        </is>
      </c>
      <c r="E33" s="13" t="inlineStr">
        <is>
          <t>DNS/connection failure on both www. and apex (curl exit 6/000)</t>
        </is>
      </c>
      <c r="F33" s="13" t="inlineStr">
        <is>
          <t>French-language web search</t>
        </is>
      </c>
      <c r="G33" s="13" t="inlineStr">
        <is>
          <t>menaap-1</t>
        </is>
      </c>
      <c r="H33" s="13" t="inlineStr"/>
      <c r="I33" s="13" t="inlineStr"/>
      <c r="J33" s="13" t="inlineStr"/>
      <c r="K33" s="13" t="inlineStr"/>
      <c r="L33" s="13" t="inlineStr"/>
      <c r="M33" s="13" t="inlineStr"/>
      <c r="N33" s="13" t="inlineStr"/>
      <c r="O33" s="13" t="inlineStr"/>
      <c r="P33" s="13" t="inlineStr"/>
      <c r="Q33" s="13" t="inlineStr">
        <is>
          <t>menaap</t>
        </is>
      </c>
    </row>
    <row r="34">
      <c r="A34" s="13" t="inlineStr">
        <is>
          <t>tunisia</t>
        </is>
      </c>
      <c r="B34" s="13" t="inlineStr">
        <is>
          <t>agridata.tn / catalog.agridata.tn 'Suivi des prix' (Sidi Bouzid)</t>
        </is>
      </c>
      <c r="C34" s="13" t="inlineStr">
        <is>
          <t>https://catalog.agridata.tn/fr/dataset/suivi-des-prix</t>
        </is>
      </c>
      <c r="D34" s="13" t="inlineStr">
        <is>
          <t>SKIP</t>
        </is>
      </c>
      <c r="E34" s="13" t="inlineStr">
        <is>
          <t>CKAN dataset with direct-download viandes.csv/fruits.csv/legumes.csv/poissons.csv; legumes.csv confirmed 2166 rows but date range only 2018-01 to 2022-10 (STALE, ~4yr gap). 'evolution-du-prix-journalier-du-poulet-vif' dataset similarly stale (data ends 2022-01 despite a 2024-10 'last updated' page metadata).</t>
        </is>
      </c>
      <c r="F34" s="13" t="inlineStr">
        <is>
          <t>web search ('INS Tunisie observatoire prix produits agricoles')</t>
        </is>
      </c>
      <c r="G34" s="13" t="inlineStr">
        <is>
          <t>menaap-1</t>
        </is>
      </c>
      <c r="H34" s="13" t="inlineStr"/>
      <c r="I34" s="13" t="inlineStr"/>
      <c r="J34" s="13" t="inlineStr"/>
      <c r="K34" s="13" t="inlineStr"/>
      <c r="L34" s="13" t="inlineStr"/>
      <c r="M34" s="13" t="inlineStr"/>
      <c r="N34" s="13" t="inlineStr"/>
      <c r="O34" s="13" t="inlineStr"/>
      <c r="P34" s="13" t="inlineStr"/>
      <c r="Q34" s="13" t="inlineStr">
        <is>
          <t>menaap</t>
        </is>
      </c>
    </row>
    <row r="35">
      <c r="A35" s="13" t="inlineStr">
        <is>
          <t>algeria</t>
        </is>
      </c>
      <c r="B35" s="13" t="inlineStr">
        <is>
          <t>Coursesnet</t>
        </is>
      </c>
      <c r="C35" s="13" t="inlineStr">
        <is>
          <t>https://coursesnet.dz/</t>
        </is>
      </c>
      <c r="D35" s="13" t="inlineStr">
        <is>
          <t>TIER_1B</t>
        </is>
      </c>
      <c r="E35" s="13" t="inlineStr">
        <is>
          <t>WooCommerce Store API open -- see sources[]</t>
        </is>
      </c>
      <c r="F35" s="13" t="inlineStr">
        <is>
          <t>French-language web search ('supermarché en ligne Algérie livraison courses alimentaires')</t>
        </is>
      </c>
      <c r="G35" s="13" t="inlineStr">
        <is>
          <t>menaap-1</t>
        </is>
      </c>
      <c r="H35" s="13" t="inlineStr"/>
      <c r="I35" s="13" t="inlineStr"/>
      <c r="J35" s="13" t="inlineStr"/>
      <c r="K35" s="13" t="inlineStr"/>
      <c r="L35" s="13" t="inlineStr"/>
      <c r="M35" s="13" t="inlineStr"/>
      <c r="N35" s="13" t="inlineStr"/>
      <c r="O35" s="13" t="inlineStr"/>
      <c r="P35" s="13" t="inlineStr"/>
      <c r="Q35" s="13" t="inlineStr">
        <is>
          <t>menaap</t>
        </is>
      </c>
    </row>
    <row r="36">
      <c r="A36" s="13" t="inlineStr">
        <is>
          <t>algeria</t>
        </is>
      </c>
      <c r="B36" s="13" t="inlineStr">
        <is>
          <t>Jumia Algérie</t>
        </is>
      </c>
      <c r="C36" s="13" t="inlineStr">
        <is>
          <t>https://www.jumia.com.dz/epicerie/</t>
        </is>
      </c>
      <c r="D36" s="13" t="inlineStr">
        <is>
          <t>SKIP</t>
        </is>
      </c>
      <c r="E36" s="13" t="inlineStr">
        <is>
          <t>Cloudflare 403 both curl+Playwright -- see sources[]</t>
        </is>
      </c>
      <c r="F36" s="13" t="inlineStr">
        <is>
          <t>French-language web search</t>
        </is>
      </c>
      <c r="G36" s="13" t="inlineStr">
        <is>
          <t>menaap-1</t>
        </is>
      </c>
      <c r="H36" s="13" t="inlineStr"/>
      <c r="I36" s="13" t="inlineStr"/>
      <c r="J36" s="13" t="inlineStr"/>
      <c r="K36" s="13" t="inlineStr"/>
      <c r="L36" s="13" t="inlineStr"/>
      <c r="M36" s="13" t="inlineStr"/>
      <c r="N36" s="13" t="inlineStr"/>
      <c r="O36" s="13" t="inlineStr"/>
      <c r="P36" s="13" t="inlineStr"/>
      <c r="Q36" s="13" t="inlineStr">
        <is>
          <t>menaap</t>
        </is>
      </c>
    </row>
    <row r="37">
      <c r="A37" s="13" t="inlineStr">
        <is>
          <t>algeria</t>
        </is>
      </c>
      <c r="B37" s="13" t="inlineStr">
        <is>
          <t>Superetti</t>
        </is>
      </c>
      <c r="C37" s="13" t="inlineStr">
        <is>
          <t>https://superetti.dz/</t>
        </is>
      </c>
      <c r="D37" s="13" t="inlineStr">
        <is>
          <t>SKIP</t>
        </is>
      </c>
      <c r="E37" s="13" t="inlineStr">
        <is>
          <t>TCP timeout curl 28 -- see sources[]</t>
        </is>
      </c>
      <c r="F37" s="13" t="inlineStr">
        <is>
          <t>French-language web search</t>
        </is>
      </c>
      <c r="G37" s="13" t="inlineStr">
        <is>
          <t>menaap-1</t>
        </is>
      </c>
      <c r="H37" s="13" t="inlineStr"/>
      <c r="I37" s="13" t="inlineStr"/>
      <c r="J37" s="13" t="inlineStr"/>
      <c r="K37" s="13" t="inlineStr"/>
      <c r="L37" s="13" t="inlineStr"/>
      <c r="M37" s="13" t="inlineStr"/>
      <c r="N37" s="13" t="inlineStr"/>
      <c r="O37" s="13" t="inlineStr"/>
      <c r="P37" s="13" t="inlineStr"/>
      <c r="Q37" s="13" t="inlineStr">
        <is>
          <t>menaap</t>
        </is>
      </c>
    </row>
    <row r="38">
      <c r="A38" s="13" t="inlineStr">
        <is>
          <t>algeria</t>
        </is>
      </c>
      <c r="B38" s="13" t="inlineStr">
        <is>
          <t>Echrily</t>
        </is>
      </c>
      <c r="C38" s="13" t="inlineStr">
        <is>
          <t>https://echrily.com/</t>
        </is>
      </c>
      <c r="D38" s="13" t="inlineStr">
        <is>
          <t>SKIP</t>
        </is>
      </c>
      <c r="E38" s="13" t="inlineStr">
        <is>
          <t>WooCommerce routes not exposed, likely wrong subdomain -- see sources[]</t>
        </is>
      </c>
      <c r="F38" s="13" t="inlineStr">
        <is>
          <t>French-language web search</t>
        </is>
      </c>
      <c r="G38" s="13" t="inlineStr">
        <is>
          <t>menaap-1</t>
        </is>
      </c>
      <c r="H38" s="13" t="inlineStr"/>
      <c r="I38" s="13" t="inlineStr"/>
      <c r="J38" s="13" t="inlineStr"/>
      <c r="K38" s="13" t="inlineStr"/>
      <c r="L38" s="13" t="inlineStr"/>
      <c r="M38" s="13" t="inlineStr"/>
      <c r="N38" s="13" t="inlineStr"/>
      <c r="O38" s="13" t="inlineStr"/>
      <c r="P38" s="13" t="inlineStr"/>
      <c r="Q38" s="13" t="inlineStr">
        <is>
          <t>menaap</t>
        </is>
      </c>
    </row>
    <row r="39">
      <c r="A39" s="13" t="inlineStr">
        <is>
          <t>algeria</t>
        </is>
      </c>
      <c r="B39" s="13" t="inlineStr">
        <is>
          <t>Carrefour Algérie</t>
        </is>
      </c>
      <c r="C39" s="13" t="inlineStr">
        <is>
          <t>https://www.carrefour.dz/</t>
        </is>
      </c>
      <c r="D39" s="13" t="inlineStr">
        <is>
          <t>SKIP</t>
        </is>
      </c>
      <c r="E39" s="13" t="inlineStr">
        <is>
          <t>brochure/loyalty WordPress site, no shop -- see sources[]</t>
        </is>
      </c>
      <c r="F39" s="13" t="inlineStr">
        <is>
          <t>web search</t>
        </is>
      </c>
      <c r="G39" s="13" t="inlineStr">
        <is>
          <t>menaap-1</t>
        </is>
      </c>
      <c r="H39" s="13" t="inlineStr"/>
      <c r="I39" s="13" t="inlineStr"/>
      <c r="J39" s="13" t="inlineStr"/>
      <c r="K39" s="13" t="inlineStr"/>
      <c r="L39" s="13" t="inlineStr"/>
      <c r="M39" s="13" t="inlineStr"/>
      <c r="N39" s="13" t="inlineStr"/>
      <c r="O39" s="13" t="inlineStr"/>
      <c r="P39" s="13" t="inlineStr"/>
      <c r="Q39" s="13" t="inlineStr">
        <is>
          <t>menaap</t>
        </is>
      </c>
    </row>
    <row r="40">
      <c r="A40" s="13" t="inlineStr">
        <is>
          <t>algeria</t>
        </is>
      </c>
      <c r="B40" s="13" t="inlineStr">
        <is>
          <t>Neqdilek</t>
        </is>
      </c>
      <c r="C40" s="13" t="inlineStr">
        <is>
          <t>https://neqdilek.com/</t>
        </is>
      </c>
      <c r="D40" s="13" t="inlineStr">
        <is>
          <t>SKIP</t>
        </is>
      </c>
      <c r="E40" s="13" t="inlineStr">
        <is>
          <t>parked domain -- see sources[]</t>
        </is>
      </c>
      <c r="F40" s="13" t="inlineStr">
        <is>
          <t>French-language web search</t>
        </is>
      </c>
      <c r="G40" s="13" t="inlineStr">
        <is>
          <t>menaap-1</t>
        </is>
      </c>
      <c r="H40" s="13" t="inlineStr"/>
      <c r="I40" s="13" t="inlineStr"/>
      <c r="J40" s="13" t="inlineStr"/>
      <c r="K40" s="13" t="inlineStr"/>
      <c r="L40" s="13" t="inlineStr"/>
      <c r="M40" s="13" t="inlineStr"/>
      <c r="N40" s="13" t="inlineStr"/>
      <c r="O40" s="13" t="inlineStr"/>
      <c r="P40" s="13" t="inlineStr"/>
      <c r="Q40" s="13" t="inlineStr">
        <is>
          <t>menaap</t>
        </is>
      </c>
    </row>
    <row r="41">
      <c r="A41" s="13" t="inlineStr">
        <is>
          <t>algeria</t>
        </is>
      </c>
      <c r="B41" s="13" t="inlineStr">
        <is>
          <t>DCW wilaya price bulletins (dcwtiziouzou.dz, dcwalger.dz)</t>
        </is>
      </c>
      <c r="C41" s="13" t="inlineStr">
        <is>
          <t>https://www.dcwtiziouzou.dz/fr/images/stories/bilan/doc%202026/releve%20du%20prix%202026/Prix%20Fevrier%202026.pdf</t>
        </is>
      </c>
      <c r="D41" s="13" t="inlineStr">
        <is>
          <t>SKIP</t>
        </is>
      </c>
      <c r="E41" s="13" t="inlineStr">
        <is>
          <t>Search results surfaced apparently-current 2026-dated monthly price PDFs from Algérie's Direction du Commerce de Wilaya network (per-wilaya, not national) plus a 'Prix Journaliers des produits alimentaire large consommation' DOCX. dcwalger.dz's own 'Prix Mensuel' listing page returned a raw 'Database connection error (2): Could not connect to MySQL' when curled directly -- site appears broken/misconfigured at probe time, so the listing page itself could not be walked. Individual PDF URLs were not fetched this round.</t>
        </is>
      </c>
      <c r="F41" s="13" t="inlineStr">
        <is>
          <t>web search ('commerce.gov.dz reléve des prix produits alimentaires 2026') -- NOT directly verified, flagged for follow-up</t>
        </is>
      </c>
      <c r="G41" s="13" t="inlineStr">
        <is>
          <t>menaap-1</t>
        </is>
      </c>
      <c r="H41" s="13" t="inlineStr"/>
      <c r="I41" s="13" t="inlineStr"/>
      <c r="J41" s="13" t="inlineStr"/>
      <c r="K41" s="13" t="inlineStr"/>
      <c r="L41" s="13" t="inlineStr"/>
      <c r="M41" s="13" t="inlineStr"/>
      <c r="N41" s="13" t="inlineStr"/>
      <c r="O41" s="13" t="inlineStr"/>
      <c r="P41" s="13" t="inlineStr"/>
      <c r="Q41" s="13" t="inlineStr">
        <is>
          <t>menaap</t>
        </is>
      </c>
    </row>
    <row r="42">
      <c r="A42" s="13" t="inlineStr">
        <is>
          <t>algeria</t>
        </is>
      </c>
      <c r="B42" s="13" t="inlineStr">
        <is>
          <t>Ministère du Commerce Algérie -- reléve des prix des produits alimentaires (national)</t>
        </is>
      </c>
      <c r="C42" s="13" t="inlineStr">
        <is>
          <t>https://www.commerce.gov.dz/fr/statistiques/collection/releve-des-prix-des-produits</t>
        </is>
      </c>
      <c r="D42" s="13" t="inlineStr">
        <is>
          <t>SKIP</t>
        </is>
      </c>
      <c r="E42" s="13" t="inlineStr">
        <is>
          <t>Listing page loads (200) and links to genuine monthly PDF price bulletins (e.g. relevprix052020fr.pdf, confirmed downloadable, real 5-page PDF), but the collection index only lists entries from Jan 2016 through May 2020 across its 2 pages -- appears discontinued/superseded by the per-wilaya DCW series above.</t>
        </is>
      </c>
      <c r="F42" s="13" t="inlineStr">
        <is>
          <t>web search ('Office National des Statistiques Algérie prix moyens à la consommation produits alimentaires')</t>
        </is>
      </c>
      <c r="G42" s="13" t="inlineStr">
        <is>
          <t>menaap-1</t>
        </is>
      </c>
      <c r="H42" s="13" t="inlineStr"/>
      <c r="I42" s="13" t="inlineStr"/>
      <c r="J42" s="13" t="inlineStr"/>
      <c r="K42" s="13" t="inlineStr"/>
      <c r="L42" s="13" t="inlineStr"/>
      <c r="M42" s="13" t="inlineStr"/>
      <c r="N42" s="13" t="inlineStr"/>
      <c r="O42" s="13" t="inlineStr"/>
      <c r="P42" s="13" t="inlineStr"/>
      <c r="Q42" s="13" t="inlineStr">
        <is>
          <t>menaap</t>
        </is>
      </c>
    </row>
    <row r="43">
      <c r="A43" s="13" t="inlineStr">
        <is>
          <t>libya</t>
        </is>
      </c>
      <c r="B43" s="13" t="inlineStr">
        <is>
          <t>WFP Food Prices - Libya (HDX)</t>
        </is>
      </c>
      <c r="C43" s="13" t="inlineStr">
        <is>
          <t>https://data.humdata.org/dataset/dc632a15-d376-496f-976f-c3282e67bc28</t>
        </is>
      </c>
      <c r="D43" s="13" t="inlineStr">
        <is>
          <t>TIER_1B</t>
        </is>
      </c>
      <c r="E43" s="13" t="inlineStr">
        <is>
          <t>CKAN resolves live CSV, 69,168 rows, 36 commodities</t>
        </is>
      </c>
      <c r="F43" s="13" t="inlineStr">
        <is>
          <t>extending the existing src/prices/fetchers/_shared/eap/wfp_food_prices.py pattern to MENAAP by testing the same HDX slug convention (wfp-food-prices-for-&lt;country&gt;) via CKAN package_show</t>
        </is>
      </c>
      <c r="G43" s="13" t="inlineStr">
        <is>
          <t>menaap-2</t>
        </is>
      </c>
      <c r="H43" s="13" t="inlineStr"/>
      <c r="I43" s="13" t="inlineStr"/>
      <c r="J43" s="13" t="inlineStr"/>
      <c r="K43" s="13" t="inlineStr"/>
      <c r="L43" s="13" t="inlineStr"/>
      <c r="M43" s="13" t="inlineStr"/>
      <c r="N43" s="13" t="inlineStr"/>
      <c r="O43" s="13" t="inlineStr"/>
      <c r="P43" s="13" t="inlineStr"/>
      <c r="Q43" s="13" t="inlineStr">
        <is>
          <t>menaap</t>
        </is>
      </c>
    </row>
    <row r="44">
      <c r="A44" s="13" t="inlineStr">
        <is>
          <t>yemen</t>
        </is>
      </c>
      <c r="B44" s="13" t="inlineStr">
        <is>
          <t>WFP Food Prices - Yemen (HDX)</t>
        </is>
      </c>
      <c r="C44" s="13" t="inlineStr">
        <is>
          <t>https://data.humdata.org/dataset/98574e10-6866-4f13-a2b1-3c8312801af5</t>
        </is>
      </c>
      <c r="D44" s="13" t="inlineStr">
        <is>
          <t>TIER_1B</t>
        </is>
      </c>
      <c r="E44" s="13" t="inlineStr">
        <is>
          <t>CKAN resolves live CSV, 58,722 rows, 28 commodities</t>
        </is>
      </c>
      <c r="F44" s="13" t="inlineStr">
        <is>
          <t>same as above</t>
        </is>
      </c>
      <c r="G44" s="13" t="inlineStr">
        <is>
          <t>menaap-2</t>
        </is>
      </c>
      <c r="H44" s="13" t="inlineStr"/>
      <c r="I44" s="13" t="inlineStr"/>
      <c r="J44" s="13" t="inlineStr"/>
      <c r="K44" s="13" t="inlineStr"/>
      <c r="L44" s="13" t="inlineStr"/>
      <c r="M44" s="13" t="inlineStr"/>
      <c r="N44" s="13" t="inlineStr"/>
      <c r="O44" s="13" t="inlineStr"/>
      <c r="P44" s="13" t="inlineStr"/>
      <c r="Q44" s="13" t="inlineStr">
        <is>
          <t>menaap</t>
        </is>
      </c>
    </row>
    <row r="45">
      <c r="A45" s="13" t="inlineStr">
        <is>
          <t>jordan</t>
        </is>
      </c>
      <c r="B45" s="13" t="inlineStr">
        <is>
          <t>WFP Food Prices - Jordan (HDX)</t>
        </is>
      </c>
      <c r="C45" s="13" t="inlineStr">
        <is>
          <t>https://data.humdata.org/dataset/fba510fd-eccf-4b34-b5f6-cc531900270b</t>
        </is>
      </c>
      <c r="D45" s="13" t="inlineStr">
        <is>
          <t>TIER_1B</t>
        </is>
      </c>
      <c r="E45" s="13" t="inlineStr">
        <is>
          <t>CKAN resolves live CSV, 47,943 rows, 36 commodities</t>
        </is>
      </c>
      <c r="F45" s="13" t="inlineStr">
        <is>
          <t>same as above</t>
        </is>
      </c>
      <c r="G45" s="13" t="inlineStr">
        <is>
          <t>menaap-2</t>
        </is>
      </c>
      <c r="H45" s="13" t="inlineStr"/>
      <c r="I45" s="13" t="inlineStr"/>
      <c r="J45" s="13" t="inlineStr"/>
      <c r="K45" s="13" t="inlineStr"/>
      <c r="L45" s="13" t="inlineStr"/>
      <c r="M45" s="13" t="inlineStr"/>
      <c r="N45" s="13" t="inlineStr"/>
      <c r="O45" s="13" t="inlineStr"/>
      <c r="P45" s="13" t="inlineStr"/>
      <c r="Q45" s="13" t="inlineStr">
        <is>
          <t>menaap</t>
        </is>
      </c>
    </row>
    <row r="46">
      <c r="A46" s="13" t="inlineStr">
        <is>
          <t>lebanon</t>
        </is>
      </c>
      <c r="B46" s="13" t="inlineStr">
        <is>
          <t>WFP Food Prices - Lebanon (HDX)</t>
        </is>
      </c>
      <c r="C46" s="13" t="inlineStr">
        <is>
          <t>https://data.humdata.org/dataset/db0b4fb1-ce11-458e-94e0-3342365a117a</t>
        </is>
      </c>
      <c r="D46" s="13" t="inlineStr">
        <is>
          <t>TIER_1B</t>
        </is>
      </c>
      <c r="E46" s="13" t="inlineStr">
        <is>
          <t>CKAN resolves live CSV, 39,876 rows, 33 commodities</t>
        </is>
      </c>
      <c r="F46" s="13" t="inlineStr">
        <is>
          <t>same as above</t>
        </is>
      </c>
      <c r="G46" s="13" t="inlineStr">
        <is>
          <t>menaap-2</t>
        </is>
      </c>
      <c r="H46" s="13" t="inlineStr"/>
      <c r="I46" s="13" t="inlineStr"/>
      <c r="J46" s="13" t="inlineStr"/>
      <c r="K46" s="13" t="inlineStr"/>
      <c r="L46" s="13" t="inlineStr"/>
      <c r="M46" s="13" t="inlineStr"/>
      <c r="N46" s="13" t="inlineStr"/>
      <c r="O46" s="13" t="inlineStr"/>
      <c r="P46" s="13" t="inlineStr"/>
      <c r="Q46" s="13" t="inlineStr">
        <is>
          <t>menaap</t>
        </is>
      </c>
    </row>
    <row r="47">
      <c r="A47" s="13" t="inlineStr">
        <is>
          <t>iraq</t>
        </is>
      </c>
      <c r="B47" s="13" t="inlineStr">
        <is>
          <t>WFP Food Prices - Iraq (HDX)</t>
        </is>
      </c>
      <c r="C47" s="13" t="inlineStr">
        <is>
          <t>https://data.humdata.org/dataset/7d8955eb-37d2-4087-80e9-cae1aaa242f5</t>
        </is>
      </c>
      <c r="D47" s="13" t="inlineStr">
        <is>
          <t>TIER_1B</t>
        </is>
      </c>
      <c r="E47" s="13" t="inlineStr">
        <is>
          <t>CKAN resolves live CSV, 56,712 rows, 49 commodities</t>
        </is>
      </c>
      <c r="F47" s="13" t="inlineStr">
        <is>
          <t>same as above</t>
        </is>
      </c>
      <c r="G47" s="13" t="inlineStr">
        <is>
          <t>menaap-2</t>
        </is>
      </c>
      <c r="H47" s="13" t="inlineStr"/>
      <c r="I47" s="13" t="inlineStr"/>
      <c r="J47" s="13" t="inlineStr"/>
      <c r="K47" s="13" t="inlineStr"/>
      <c r="L47" s="13" t="inlineStr"/>
      <c r="M47" s="13" t="inlineStr"/>
      <c r="N47" s="13" t="inlineStr"/>
      <c r="O47" s="13" t="inlineStr"/>
      <c r="P47" s="13" t="inlineStr"/>
      <c r="Q47" s="13" t="inlineStr">
        <is>
          <t>menaap</t>
        </is>
      </c>
    </row>
    <row r="48">
      <c r="A48" s="13" t="inlineStr">
        <is>
          <t>syria</t>
        </is>
      </c>
      <c r="B48" s="13" t="inlineStr">
        <is>
          <t>WFP Food Prices - Syria (HDX)</t>
        </is>
      </c>
      <c r="C48" s="13" t="inlineStr">
        <is>
          <t>https://data.humdata.org/dataset/aa40b3a8-2bc4-4826-9d82-82189bc5f392</t>
        </is>
      </c>
      <c r="D48" s="13" t="inlineStr">
        <is>
          <t>TIER_1B</t>
        </is>
      </c>
      <c r="E48" s="13" t="inlineStr">
        <is>
          <t>CKAN resolves live CSV, 275,972 rows, 77 commodities - largest panel of all 8</t>
        </is>
      </c>
      <c r="F48" s="13" t="inlineStr">
        <is>
          <t>same as above</t>
        </is>
      </c>
      <c r="G48" s="13" t="inlineStr">
        <is>
          <t>menaap-2</t>
        </is>
      </c>
      <c r="H48" s="13" t="inlineStr"/>
      <c r="I48" s="13" t="inlineStr"/>
      <c r="J48" s="13" t="inlineStr"/>
      <c r="K48" s="13" t="inlineStr"/>
      <c r="L48" s="13" t="inlineStr"/>
      <c r="M48" s="13" t="inlineStr"/>
      <c r="N48" s="13" t="inlineStr"/>
      <c r="O48" s="13" t="inlineStr"/>
      <c r="P48" s="13" t="inlineStr"/>
      <c r="Q48" s="13" t="inlineStr">
        <is>
          <t>menaap</t>
        </is>
      </c>
    </row>
    <row r="49">
      <c r="A49" s="13" t="inlineStr">
        <is>
          <t>west_bank_and_gaza</t>
        </is>
      </c>
      <c r="B49" s="13" t="inlineStr">
        <is>
          <t>WFP Food Prices - State of Palestine (HDX)</t>
        </is>
      </c>
      <c r="C49" s="13" t="inlineStr">
        <is>
          <t>https://data.humdata.org/dataset/7d06b059-5831-4101-aa68-6d9123ad65b7</t>
        </is>
      </c>
      <c r="D49" s="13" t="inlineStr">
        <is>
          <t>TIER_1B</t>
        </is>
      </c>
      <c r="E49" s="13" t="inlineStr">
        <is>
          <t>CKAN resolves live CSV, 26,815 rows, 41 commodities</t>
        </is>
      </c>
      <c r="F49" s="13" t="inlineStr">
        <is>
          <t>same as above</t>
        </is>
      </c>
      <c r="G49" s="13" t="inlineStr">
        <is>
          <t>menaap-2</t>
        </is>
      </c>
      <c r="H49" s="13" t="inlineStr"/>
      <c r="I49" s="13" t="inlineStr"/>
      <c r="J49" s="13" t="inlineStr"/>
      <c r="K49" s="13" t="inlineStr"/>
      <c r="L49" s="13" t="inlineStr"/>
      <c r="M49" s="13" t="inlineStr"/>
      <c r="N49" s="13" t="inlineStr"/>
      <c r="O49" s="13" t="inlineStr"/>
      <c r="P49" s="13" t="inlineStr"/>
      <c r="Q49" s="13" t="inlineStr">
        <is>
          <t>menaap</t>
        </is>
      </c>
    </row>
    <row r="50">
      <c r="A50" s="13" t="inlineStr">
        <is>
          <t>iran</t>
        </is>
      </c>
      <c r="B50" s="13" t="inlineStr">
        <is>
          <t>WFP Food Prices - Iran (HDX)</t>
        </is>
      </c>
      <c r="C50" s="13" t="inlineStr">
        <is>
          <t>https://data.humdata.org/dataset/6df76343-1bd9-488a-af3c-1e5aec3fc78c</t>
        </is>
      </c>
      <c r="D50" s="13" t="inlineStr">
        <is>
          <t>TIER_1B</t>
        </is>
      </c>
      <c r="E50" s="13" t="inlineStr">
        <is>
          <t>CKAN resolves live CSV, only 2,281 rows (much thinner), 41 commodities</t>
        </is>
      </c>
      <c r="F50" s="13" t="inlineStr">
        <is>
          <t>same as above</t>
        </is>
      </c>
      <c r="G50" s="13" t="inlineStr">
        <is>
          <t>menaap-2</t>
        </is>
      </c>
      <c r="H50" s="13" t="inlineStr"/>
      <c r="I50" s="13" t="inlineStr"/>
      <c r="J50" s="13" t="inlineStr"/>
      <c r="K50" s="13" t="inlineStr"/>
      <c r="L50" s="13" t="inlineStr"/>
      <c r="M50" s="13" t="inlineStr"/>
      <c r="N50" s="13" t="inlineStr"/>
      <c r="O50" s="13" t="inlineStr"/>
      <c r="P50" s="13" t="inlineStr"/>
      <c r="Q50" s="13" t="inlineStr">
        <is>
          <t>menaap</t>
        </is>
      </c>
    </row>
    <row r="51">
      <c r="A51" s="13" t="inlineStr">
        <is>
          <t>syria</t>
        </is>
      </c>
      <c r="B51" s="13" t="inlineStr">
        <is>
          <t>Tsaooq</t>
        </is>
      </c>
      <c r="C51" s="13" t="inlineStr">
        <is>
          <t>https://tsaooq.com/</t>
        </is>
      </c>
      <c r="D51" s="13" t="inlineStr">
        <is>
          <t>TIER_1B</t>
        </is>
      </c>
      <c r="E51" s="13" t="inlineStr">
        <is>
          <t>WooCommerce Store API open, Food &amp; Beverages category with 4 real SYP-priced products</t>
        </is>
      </c>
      <c r="F51" s="13" t="inlineStr">
        <is>
          <t>Arabic search 'online grocery delivery Damascus Syria'</t>
        </is>
      </c>
      <c r="G51" s="13" t="inlineStr">
        <is>
          <t>menaap-2</t>
        </is>
      </c>
      <c r="H51" s="13" t="inlineStr"/>
      <c r="I51" s="13" t="inlineStr"/>
      <c r="J51" s="13" t="inlineStr"/>
      <c r="K51" s="13" t="inlineStr"/>
      <c r="L51" s="13" t="inlineStr"/>
      <c r="M51" s="13" t="inlineStr"/>
      <c r="N51" s="13" t="inlineStr"/>
      <c r="O51" s="13" t="inlineStr"/>
      <c r="P51" s="13" t="inlineStr"/>
      <c r="Q51" s="13" t="inlineStr">
        <is>
          <t>menaap</t>
        </is>
      </c>
    </row>
    <row r="52">
      <c r="A52" s="13" t="inlineStr">
        <is>
          <t>lebanon</t>
        </is>
      </c>
      <c r="B52" s="13" t="inlineStr">
        <is>
          <t>Allosh Market</t>
        </is>
      </c>
      <c r="C52" s="13" t="inlineStr">
        <is>
          <t>https://www.alloshmart.com/</t>
        </is>
      </c>
      <c r="D52" s="13" t="inlineStr">
        <is>
          <t>SKIP</t>
        </is>
      </c>
      <c r="E52" s="13" t="inlineStr">
        <is>
          <t>live 24hr supermarket app, React+Supabase SPA, no SSR product data</t>
        </is>
      </c>
      <c r="F52" s="13" t="inlineStr">
        <is>
          <t>Arabic search 'online supermarket delivery Lebanon'</t>
        </is>
      </c>
      <c r="G52" s="13" t="inlineStr">
        <is>
          <t>menaap-2</t>
        </is>
      </c>
      <c r="H52" s="13" t="inlineStr"/>
      <c r="I52" s="13" t="inlineStr"/>
      <c r="J52" s="13" t="inlineStr"/>
      <c r="K52" s="13" t="inlineStr"/>
      <c r="L52" s="13" t="inlineStr"/>
      <c r="M52" s="13" t="inlineStr"/>
      <c r="N52" s="13" t="inlineStr"/>
      <c r="O52" s="13" t="inlineStr"/>
      <c r="P52" s="13" t="inlineStr"/>
      <c r="Q52" s="13" t="inlineStr">
        <is>
          <t>menaap</t>
        </is>
      </c>
    </row>
    <row r="53">
      <c r="A53" s="13" t="inlineStr">
        <is>
          <t>jordan</t>
        </is>
      </c>
      <c r="B53" s="13" t="inlineStr">
        <is>
          <t>Matjarii, Imoneh, Carrefour Jordan</t>
        </is>
      </c>
      <c r="C53" s="13" t="inlineStr">
        <is>
          <t>https://matjarii.com/, http://imoneh.com/, https://www.carrefourjordan.com/</t>
        </is>
      </c>
      <c r="D53" s="13" t="inlineStr">
        <is>
          <t>SKIP</t>
        </is>
      </c>
      <c r="E53" s="13" t="inlineStr">
        <is>
          <t>403 / connection failures on all three</t>
        </is>
      </c>
      <c r="F53" s="13" t="inlineStr">
        <is>
          <t>Arabic search 'online supermarket delivery Jordan'</t>
        </is>
      </c>
      <c r="G53" s="13" t="inlineStr">
        <is>
          <t>menaap-2</t>
        </is>
      </c>
      <c r="H53" s="13" t="inlineStr"/>
      <c r="I53" s="13" t="inlineStr"/>
      <c r="J53" s="13" t="inlineStr"/>
      <c r="K53" s="13" t="inlineStr"/>
      <c r="L53" s="13" t="inlineStr"/>
      <c r="M53" s="13" t="inlineStr"/>
      <c r="N53" s="13" t="inlineStr"/>
      <c r="O53" s="13" t="inlineStr"/>
      <c r="P53" s="13" t="inlineStr"/>
      <c r="Q53" s="13" t="inlineStr">
        <is>
          <t>menaap</t>
        </is>
      </c>
    </row>
    <row r="54">
      <c r="A54" s="13" t="inlineStr">
        <is>
          <t>iraq</t>
        </is>
      </c>
      <c r="B54" s="13" t="inlineStr">
        <is>
          <t>Zad, Al-Taawon, Carrefour Iraq</t>
        </is>
      </c>
      <c r="C54" s="13" t="inlineStr">
        <is>
          <t>https://zadfresh.com/, https://taawon.iq/, https://www.carrefouriraq.com/</t>
        </is>
      </c>
      <c r="D54" s="13" t="inlineStr">
        <is>
          <t>SKIP</t>
        </is>
      </c>
      <c r="E54" s="13" t="inlineStr">
        <is>
          <t>undeployed nginx stub / unrendered SPA shell / connection failure</t>
        </is>
      </c>
      <c r="F54" s="13" t="inlineStr">
        <is>
          <t>Arabic search 'online supermarket delivery Iraq'</t>
        </is>
      </c>
      <c r="G54" s="13" t="inlineStr">
        <is>
          <t>menaap-2</t>
        </is>
      </c>
      <c r="H54" s="13" t="inlineStr"/>
      <c r="I54" s="13" t="inlineStr"/>
      <c r="J54" s="13" t="inlineStr"/>
      <c r="K54" s="13" t="inlineStr"/>
      <c r="L54" s="13" t="inlineStr"/>
      <c r="M54" s="13" t="inlineStr"/>
      <c r="N54" s="13" t="inlineStr"/>
      <c r="O54" s="13" t="inlineStr"/>
      <c r="P54" s="13" t="inlineStr"/>
      <c r="Q54" s="13" t="inlineStr">
        <is>
          <t>menaap</t>
        </is>
      </c>
    </row>
    <row r="55">
      <c r="A55" s="13" t="inlineStr">
        <is>
          <t>west_bank_and_gaza</t>
        </is>
      </c>
      <c r="B55" s="13" t="inlineStr">
        <is>
          <t>Arammon, Gaza Store (kulshy.online)</t>
        </is>
      </c>
      <c r="C55" s="13" t="inlineStr">
        <is>
          <t>https://arammon.com/, https://kulshy.online/</t>
        </is>
      </c>
      <c r="D55" s="13" t="inlineStr">
        <is>
          <t>SKIP</t>
        </is>
      </c>
      <c r="E55" s="13" t="inlineStr">
        <is>
          <t>both live and confirmed WooCommerce/custom marketplaces but zero F&amp;B categories (clothing/electronics/beauty only)</t>
        </is>
      </c>
      <c r="F55" s="13" t="inlineStr">
        <is>
          <t>Arabic search 'online grocery shopping Gaza West Bank'</t>
        </is>
      </c>
      <c r="G55" s="13" t="inlineStr">
        <is>
          <t>menaap-2</t>
        </is>
      </c>
      <c r="H55" s="13" t="inlineStr"/>
      <c r="I55" s="13" t="inlineStr"/>
      <c r="J55" s="13" t="inlineStr"/>
      <c r="K55" s="13" t="inlineStr"/>
      <c r="L55" s="13" t="inlineStr"/>
      <c r="M55" s="13" t="inlineStr"/>
      <c r="N55" s="13" t="inlineStr"/>
      <c r="O55" s="13" t="inlineStr"/>
      <c r="P55" s="13" t="inlineStr"/>
      <c r="Q55" s="13" t="inlineStr">
        <is>
          <t>menaap</t>
        </is>
      </c>
    </row>
    <row r="56">
      <c r="A56" s="13" t="inlineStr">
        <is>
          <t>iran</t>
        </is>
      </c>
      <c r="B56" s="13" t="inlineStr">
        <is>
          <t>Bamo Market, Digikala Jet, Snapp Market, Tezol Market, Sama Market</t>
        </is>
      </c>
      <c r="C56" s="13" t="inlineStr">
        <is>
          <t>https://bamomarket.com/, https://www.digikalajet.com/, https://grocery.snapp.ir/, https://www.tezolmarket.com/, https://samacs.ir/</t>
        </is>
      </c>
      <c r="D56" s="13" t="inlineStr">
        <is>
          <t>SKIP</t>
        </is>
      </c>
      <c r="E56" s="13" t="inlineStr">
        <is>
          <t>mixed - Bamo has a real category tree but no SSR prices; Snapp is a confirmed ArvanCloud bot-wall; Digikala not deep-probed; Tezol/Sama failed to connect</t>
        </is>
      </c>
      <c r="F56" s="13" t="inlineStr">
        <is>
          <t>Persian search 'buy online supermarket Iran'</t>
        </is>
      </c>
      <c r="G56" s="13" t="inlineStr">
        <is>
          <t>menaap-2</t>
        </is>
      </c>
      <c r="H56" s="13" t="inlineStr"/>
      <c r="I56" s="13" t="inlineStr"/>
      <c r="J56" s="13" t="inlineStr"/>
      <c r="K56" s="13" t="inlineStr"/>
      <c r="L56" s="13" t="inlineStr"/>
      <c r="M56" s="13" t="inlineStr"/>
      <c r="N56" s="13" t="inlineStr"/>
      <c r="O56" s="13" t="inlineStr"/>
      <c r="P56" s="13" t="inlineStr"/>
      <c r="Q56" s="13" t="inlineStr">
        <is>
          <t>menaap</t>
        </is>
      </c>
    </row>
    <row r="57">
      <c r="A57" s="13" t="inlineStr">
        <is>
          <t>united_arab_emirates</t>
        </is>
      </c>
      <c r="B57" s="13" t="inlineStr">
        <is>
          <t>Carrefour MAF (Majid Al Futtaim)</t>
        </is>
      </c>
      <c r="C57" s="13" t="inlineStr">
        <is>
          <t>https://www.carrefouruae.com/mafuae/en/</t>
        </is>
      </c>
      <c r="D57" s="13" t="inlineStr">
        <is>
          <t>SKIP</t>
        </is>
      </c>
      <c r="E57" s="13" t="inlineStr">
        <is>
          <t>HTTP 403, server: AkamaiGHost, body 'Access Denied ... on this server', edgesuite.net reference ID. Confirmed identically on carrefourksa.com/mafsau (KSA), carrefourqatar.com/mafqat (Qatar), carrefouregypt.com/mafegy (Egypt) -- same signature, same tenant. carrefourjordan.com and carrefourbahrain.com do not resolve (DNS).</t>
        </is>
      </c>
      <c r="F57" s="13" t="inlineStr">
        <is>
          <t>Named directly in the brief -- 'Custom (MAF stack)' platform, single tenant across UAE/Saudi/Qatar/etc.</t>
        </is>
      </c>
      <c r="G57" s="13" t="inlineStr">
        <is>
          <t>menaap-3</t>
        </is>
      </c>
      <c r="H57" s="13" t="inlineStr"/>
      <c r="I57" s="13" t="inlineStr"/>
      <c r="J57" s="13" t="inlineStr"/>
      <c r="K57" s="13" t="inlineStr"/>
      <c r="L57" s="13" t="inlineStr"/>
      <c r="M57" s="13" t="inlineStr"/>
      <c r="N57" s="13" t="inlineStr"/>
      <c r="O57" s="13" t="inlineStr"/>
      <c r="P57" s="13" t="inlineStr"/>
      <c r="Q57" s="13" t="inlineStr">
        <is>
          <t>menaap</t>
        </is>
      </c>
    </row>
    <row r="58">
      <c r="A58" s="13" t="inlineStr">
        <is>
          <t>united_arab_emirates</t>
        </is>
      </c>
      <c r="B58" s="13" t="inlineStr">
        <is>
          <t>Lulu Hypermarket</t>
        </is>
      </c>
      <c r="C58" s="13" t="inlineStr">
        <is>
          <t>https://www.luluhypermarket.com/en-ae</t>
        </is>
      </c>
      <c r="D58" s="13" t="inlineStr">
        <is>
          <t>TIER_2</t>
        </is>
      </c>
      <c r="E58" s="13" t="inlineStr">
        <is>
          <t>Root domain returns a Cloudflare 'Attention Required!' JS challenge on plain curl (403). Re-probed with curl_cffi impersonate=chrome120 -&gt; 200, 460KB, real Next.js HTML (confirms Cloudflare, not a harder WAF). CSP headers reveal the backend platform is Akinon (akinoncloud.com/akinon.net asset CDN). Found the site-search URL template via embedded schema.org SearchAction JSON-LD: https://gcc.luluhypermarket.com/en-ae/list/?search_text={q}. That page and a Playwright render (8s wait, domcontentloaded) both show only marketing/FAQ copy containing 'AED' (14-15 occurrences, all boilerplate) -- zero actual product cards. Network-traced via Playwright response listener on /en-ae/grocery/: no product-list XHR fired; page instead calls /api/get-client-env, /api/hot-food-config/v2, /api/category-moq?country=ae (small JSON, category IDs+MOQ only, no products/prices), and hits a 'Deliver to / Select Area / Select City / Select Location' flow -- catalog is gated behind store/location selection before any product data loads.</t>
        </is>
      </c>
      <c r="F58" s="13" t="inlineStr">
        <is>
          <t>Named directly in the brief.</t>
        </is>
      </c>
      <c r="G58" s="13" t="inlineStr">
        <is>
          <t>menaap-3</t>
        </is>
      </c>
      <c r="H58" s="13" t="inlineStr"/>
      <c r="I58" s="13" t="inlineStr"/>
      <c r="J58" s="13" t="inlineStr"/>
      <c r="K58" s="13" t="inlineStr"/>
      <c r="L58" s="13" t="inlineStr"/>
      <c r="M58" s="13" t="inlineStr"/>
      <c r="N58" s="13" t="inlineStr"/>
      <c r="O58" s="13" t="inlineStr"/>
      <c r="P58" s="13" t="inlineStr"/>
      <c r="Q58" s="13" t="inlineStr">
        <is>
          <t>menaap</t>
        </is>
      </c>
    </row>
    <row r="59">
      <c r="A59" s="13" t="inlineStr">
        <is>
          <t>saudi_arabia</t>
        </is>
      </c>
      <c r="B59" s="13" t="inlineStr">
        <is>
          <t>Danube</t>
        </is>
      </c>
      <c r="C59" s="13" t="inlineStr">
        <is>
          <t>https://danube.sa/en/departments</t>
        </is>
      </c>
      <c r="D59" s="13" t="inlineStr">
        <is>
          <t>TIER_2</t>
        </is>
      </c>
      <c r="E59" s="13" t="inlineStr">
        <is>
          <t>200 OK throughout, no WAF. Platform is Spree Commerce (assets/spree/frontend/all-*.js). Full department taxonomy confirmed via SSR HTML: baby-care (diapers/food/wipes), bags, bakery-2 (danube-cakes/pastries/manageesh), baking-essentials, beverages-water (carbonated/juices/water), and more -- taxonomy alone implies broad F&amp;B range if unlocked. Category pages (e.g. /en/departments/bakery-2/pastries) render with zero product links in SSR HTML. Playwright network trace found a 'store_selector' JSON endpoint (GET /en/store_selector) returning a full list of ~dozens of named branches with city/district; setting supermarket_id via a GET query param did not unlock products (site likely needs a POST + CSRF token session flow, not attempted further).</t>
        </is>
      </c>
      <c r="F59" s="13" t="inlineStr">
        <is>
          <t>Direct probe of a named Saudi hypermarket chain from general Gulf market knowledge.</t>
        </is>
      </c>
      <c r="G59" s="13" t="inlineStr">
        <is>
          <t>menaap-3</t>
        </is>
      </c>
      <c r="H59" s="13" t="inlineStr"/>
      <c r="I59" s="13" t="inlineStr"/>
      <c r="J59" s="13" t="inlineStr"/>
      <c r="K59" s="13" t="inlineStr"/>
      <c r="L59" s="13" t="inlineStr"/>
      <c r="M59" s="13" t="inlineStr"/>
      <c r="N59" s="13" t="inlineStr"/>
      <c r="O59" s="13" t="inlineStr"/>
      <c r="P59" s="13" t="inlineStr"/>
      <c r="Q59" s="13" t="inlineStr">
        <is>
          <t>menaap</t>
        </is>
      </c>
    </row>
    <row r="60">
      <c r="A60" s="13" t="inlineStr">
        <is>
          <t>saudi_arabia</t>
        </is>
      </c>
      <c r="B60" s="13" t="inlineStr">
        <is>
          <t>Othaim Markets</t>
        </is>
      </c>
      <c r="C60" s="13" t="inlineStr">
        <is>
          <t>https://www.othaimmarkets.com/en/</t>
        </is>
      </c>
      <c r="D60" s="13" t="inlineStr">
        <is>
          <t>TIER_2</t>
        </is>
      </c>
      <c r="E60" s="13" t="inlineStr">
        <is>
          <t>200 OK, no WAF, 154KB Next.js app-router SPA. Zero SAR/riyal mentions in SSR HTML, no __NEXT_DATA__ script tag (App Router streaming payload, not inspected further within budget).</t>
        </is>
      </c>
      <c r="F60" s="13" t="inlineStr">
        <is>
          <t>Named directly in the brief (Othaim).</t>
        </is>
      </c>
      <c r="G60" s="13" t="inlineStr">
        <is>
          <t>menaap-3</t>
        </is>
      </c>
      <c r="H60" s="13" t="inlineStr"/>
      <c r="I60" s="13" t="inlineStr"/>
      <c r="J60" s="13" t="inlineStr"/>
      <c r="K60" s="13" t="inlineStr"/>
      <c r="L60" s="13" t="inlineStr"/>
      <c r="M60" s="13" t="inlineStr"/>
      <c r="N60" s="13" t="inlineStr"/>
      <c r="O60" s="13" t="inlineStr"/>
      <c r="P60" s="13" t="inlineStr"/>
      <c r="Q60" s="13" t="inlineStr">
        <is>
          <t>menaap</t>
        </is>
      </c>
    </row>
    <row r="61">
      <c r="A61" s="13" t="inlineStr">
        <is>
          <t>saudi_arabia</t>
        </is>
      </c>
      <c r="B61" s="13" t="inlineStr">
        <is>
          <t>Panda</t>
        </is>
      </c>
      <c r="C61" s="13" t="inlineStr">
        <is>
          <t>https://www.panda.com.sa/en-sa/</t>
        </is>
      </c>
      <c r="D61" s="13" t="inlineStr">
        <is>
          <t>SKIP</t>
        </is>
      </c>
      <c r="E61" s="13" t="inlineStr">
        <is>
          <t>First probe returned HTTP 429 (rate-limited), 34KB body. Not retried within budget -- per the burst-throttling doctrine this may clear at concurrency=1 on a re-probe.</t>
        </is>
      </c>
      <c r="F61" s="13" t="inlineStr">
        <is>
          <t>Named directly in the brief (Panda).</t>
        </is>
      </c>
      <c r="G61" s="13" t="inlineStr">
        <is>
          <t>menaap-3</t>
        </is>
      </c>
      <c r="H61" s="13" t="inlineStr"/>
      <c r="I61" s="13" t="inlineStr"/>
      <c r="J61" s="13" t="inlineStr"/>
      <c r="K61" s="13" t="inlineStr"/>
      <c r="L61" s="13" t="inlineStr"/>
      <c r="M61" s="13" t="inlineStr"/>
      <c r="N61" s="13" t="inlineStr"/>
      <c r="O61" s="13" t="inlineStr"/>
      <c r="P61" s="13" t="inlineStr"/>
      <c r="Q61" s="13" t="inlineStr">
        <is>
          <t>menaap</t>
        </is>
      </c>
    </row>
    <row r="62">
      <c r="A62" s="13" t="inlineStr">
        <is>
          <t>saudi_arabia</t>
        </is>
      </c>
      <c r="B62" s="13" t="inlineStr">
        <is>
          <t>Nana</t>
        </is>
      </c>
      <c r="C62" s="13" t="inlineStr">
        <is>
          <t>https://nana.sa/</t>
        </is>
      </c>
      <c r="D62" s="13" t="inlineStr">
        <is>
          <t>SKIP</t>
        </is>
      </c>
      <c r="E62" s="13" t="inlineStr">
        <is>
          <t>200 OK, 109KB, Next.js pages-router with a real __NEXT_DATA__ payload -- but the payload is for a gift-card/mobile-recharge storefront ('bitaqat Nana' -- 'Nana cards' top-up/gaming-card marketplace), not the quick-commerce grocery app. Root domain is the wrong entry point for groceries within the time budget.</t>
        </is>
      </c>
      <c r="F62" s="13" t="inlineStr">
        <is>
          <t>Named directly in the brief (Nana).</t>
        </is>
      </c>
      <c r="G62" s="13" t="inlineStr">
        <is>
          <t>menaap-3</t>
        </is>
      </c>
      <c r="H62" s="13" t="inlineStr"/>
      <c r="I62" s="13" t="inlineStr"/>
      <c r="J62" s="13" t="inlineStr"/>
      <c r="K62" s="13" t="inlineStr"/>
      <c r="L62" s="13" t="inlineStr"/>
      <c r="M62" s="13" t="inlineStr"/>
      <c r="N62" s="13" t="inlineStr"/>
      <c r="O62" s="13" t="inlineStr"/>
      <c r="P62" s="13" t="inlineStr"/>
      <c r="Q62" s="13" t="inlineStr">
        <is>
          <t>menaap</t>
        </is>
      </c>
    </row>
    <row r="63">
      <c r="A63" s="13" t="inlineStr">
        <is>
          <t>united_arab_emirates</t>
        </is>
      </c>
      <c r="B63" s="13" t="inlineStr">
        <is>
          <t>Talabat</t>
        </is>
      </c>
      <c r="C63" s="13" t="inlineStr">
        <is>
          <t>https://www.talabat.com/uae</t>
        </is>
      </c>
      <c r="D63" s="13" t="inlineStr">
        <is>
          <t>SKIP</t>
        </is>
      </c>
      <c r="E63" s="13" t="inlineStr">
        <is>
          <t>200 OK, 205KB React SPA homepage, no WAF signature. Only 2 'AED' mentions and no grocery/mart links surfaced without picking a delivery location -- large aggregator, high effort to reach the InstaShop/grocery vertical within budget.</t>
        </is>
      </c>
      <c r="F63" s="13" t="inlineStr">
        <is>
          <t>Named directly in the brief (Talabat/InstaShop).</t>
        </is>
      </c>
      <c r="G63" s="13" t="inlineStr">
        <is>
          <t>menaap-3</t>
        </is>
      </c>
      <c r="H63" s="13" t="inlineStr"/>
      <c r="I63" s="13" t="inlineStr"/>
      <c r="J63" s="13" t="inlineStr"/>
      <c r="K63" s="13" t="inlineStr"/>
      <c r="L63" s="13" t="inlineStr"/>
      <c r="M63" s="13" t="inlineStr"/>
      <c r="N63" s="13" t="inlineStr"/>
      <c r="O63" s="13" t="inlineStr"/>
      <c r="P63" s="13" t="inlineStr"/>
      <c r="Q63" s="13" t="inlineStr">
        <is>
          <t>menaap</t>
        </is>
      </c>
    </row>
    <row r="64">
      <c r="A64" s="13" t="inlineStr">
        <is>
          <t>kuwait</t>
        </is>
      </c>
      <c r="B64" s="13" t="inlineStr">
        <is>
          <t>The Sultan Center</t>
        </is>
      </c>
      <c r="C64" s="13" t="inlineStr">
        <is>
          <t>https://tsc-kw.com/</t>
        </is>
      </c>
      <c r="D64" s="13" t="inlineStr">
        <is>
          <t>SKIP</t>
        </is>
      </c>
      <c r="E64" s="13" t="inlineStr">
        <is>
          <t>HTTP 500 on every request; response body is an unhandled Laravel/Carbon PHP fatal error stack trace (TypeError in vendor/nesbot/carbon), exposing the real server path /home1/tsckwcom/public_html/tradeweb/. Site is genuinely up but broken, not WAF-blocked.</t>
        </is>
      </c>
      <c r="F64" s="13" t="inlineStr">
        <is>
          <t>General knowledge of major Kuwaiti supermarket chains.</t>
        </is>
      </c>
      <c r="G64" s="13" t="inlineStr">
        <is>
          <t>menaap-3</t>
        </is>
      </c>
      <c r="H64" s="13" t="inlineStr"/>
      <c r="I64" s="13" t="inlineStr"/>
      <c r="J64" s="13" t="inlineStr"/>
      <c r="K64" s="13" t="inlineStr"/>
      <c r="L64" s="13" t="inlineStr"/>
      <c r="M64" s="13" t="inlineStr"/>
      <c r="N64" s="13" t="inlineStr"/>
      <c r="O64" s="13" t="inlineStr"/>
      <c r="P64" s="13" t="inlineStr"/>
      <c r="Q64" s="13" t="inlineStr">
        <is>
          <t>menaap</t>
        </is>
      </c>
    </row>
    <row r="65">
      <c r="A65" s="13" t="inlineStr">
        <is>
          <t>bahrain</t>
        </is>
      </c>
      <c r="B65" s="13" t="inlineStr">
        <is>
          <t>Al Jazira Supermarket</t>
        </is>
      </c>
      <c r="C65" s="13" t="inlineStr">
        <is>
          <t>https://www.aljazirasupermarket.com/</t>
        </is>
      </c>
      <c r="D65" s="13" t="inlineStr">
        <is>
          <t>SKIP</t>
        </is>
      </c>
      <c r="E65" s="13" t="inlineStr">
        <is>
          <t>curl exit code 6 (Could not resolve host) -- domain guess is wrong or the site does not exist at this address.</t>
        </is>
      </c>
      <c r="F65" s="13" t="inlineStr">
        <is>
          <t>General knowledge of major Bahraini supermarket chains; not verified further.</t>
        </is>
      </c>
      <c r="G65" s="13" t="inlineStr">
        <is>
          <t>menaap-3</t>
        </is>
      </c>
      <c r="H65" s="13" t="inlineStr"/>
      <c r="I65" s="13" t="inlineStr"/>
      <c r="J65" s="13" t="inlineStr"/>
      <c r="K65" s="13" t="inlineStr"/>
      <c r="L65" s="13" t="inlineStr"/>
      <c r="M65" s="13" t="inlineStr"/>
      <c r="N65" s="13" t="inlineStr"/>
      <c r="O65" s="13" t="inlineStr"/>
      <c r="P65" s="13" t="inlineStr"/>
      <c r="Q65" s="13" t="inlineStr">
        <is>
          <t>menaap</t>
        </is>
      </c>
    </row>
    <row r="66">
      <c r="A66" s="13" t="inlineStr">
        <is>
          <t>israel</t>
        </is>
      </c>
      <c r="B66" s="13" t="inlineStr">
        <is>
          <t>Shufersal price-transparency feed</t>
        </is>
      </c>
      <c r="C66" s="13" t="inlineStr">
        <is>
          <t>https://prices.shufersal.co.il/</t>
        </is>
      </c>
      <c r="D66" s="13" t="inlineStr">
        <is>
          <t>TIER_1B</t>
        </is>
      </c>
      <c r="E66" s="13" t="inlineStr">
        <is>
          <t>GET / -&gt; 200, own-domain file-browser UI ('Shufersal price transparency site'), no login. GET /FileObject/UpdateCategory?catID=1 -&gt; 200, 16KB HTML table of today's (2026-08-06) per-store hourly price files as time-limited signed Azure Blob URLs (pricesprodpublic.blob.core.windows.net), 22 pages of results. Downloaded one file (Price7290027600007-001-001-20260806-020000.gz, actually a real gzip): XML with ItemCode/ItemName/ManufactureName/ManufactureCountry/UnitQty/Quantity/ItemPrice/UnitOfMeasurePrice per item. Sample: ItemName 'pomegranate premium' (Hebrew), ManufactureCountry IL, UnitQty kg, ItemPrice 16.90.</t>
        </is>
      </c>
      <c r="F66" s="13" t="inlineStr">
        <is>
          <t>Israel's 2015 Food Price Transparency Law requires all supermarket chains with 3+ branches to publish daily-updated per-store XML price files; found via targeted Hebrew-language web search for the regulation, then confirmed the actively-maintained open-source scraper project OpenIsraeliSupermarkets/israeli-supermarket-scarpers on GitHub, which pointed to the exact endpoint.</t>
        </is>
      </c>
      <c r="G66" s="13" t="inlineStr">
        <is>
          <t>menaap-3</t>
        </is>
      </c>
      <c r="H66" s="13" t="inlineStr"/>
      <c r="I66" s="13" t="inlineStr"/>
      <c r="J66" s="13" t="inlineStr"/>
      <c r="K66" s="13" t="inlineStr"/>
      <c r="L66" s="13" t="inlineStr"/>
      <c r="M66" s="13" t="inlineStr"/>
      <c r="N66" s="13" t="inlineStr"/>
      <c r="O66" s="13" t="inlineStr"/>
      <c r="P66" s="13" t="inlineStr"/>
      <c r="Q66" s="13" t="inlineStr">
        <is>
          <t>menaap</t>
        </is>
      </c>
    </row>
    <row r="67">
      <c r="A67" s="13" t="inlineStr">
        <is>
          <t>israel</t>
        </is>
      </c>
      <c r="B67" s="13" t="inlineStr">
        <is>
          <t>Rami Levy price-transparency feed (via Cerberus shared portal)</t>
        </is>
      </c>
      <c r="C67" s="13" t="inlineStr">
        <is>
          <t>https://url.retail.publishedprices.co.il/</t>
        </is>
      </c>
      <c r="D67" s="13" t="inlineStr">
        <is>
          <t>TIER_1B</t>
        </is>
      </c>
      <c r="E67" s="13" t="inlineStr">
        <is>
          <t>GET / -&gt; 200 (requires -k, cert is *.publishedprices.co.il, doesn't cover the 2-level subdomain), page literally states 'Welcome to Public Published Prices Server ... Created by NCR L.T.D ... The site is open!'. Logged in via POST /login/user with username=RamiLevi, password=(blank), and the page's own csrftoken (CSRF-token-gated but fully scriptable with a 2-request GET-then-POST flow). Logged-in session confirmed (9.5KB login page -&gt; 44.9KB file-browser page). Listed files via POST /file/json/dir (DataTables-style JSON, needs csrftoken again): returned dozens of hourly price*.gz entries per store going back to at least 2026-07-15 for store 039. Downloaded price7290058140886-039-202607151400.gz (actually a zip, not gzip despite the extension) -&gt; XML with ItemCode/ItemNm/ManufacturerName/ManufactureCountry/UnitQty/ItemPrice per item. Sample: ItemNm 'peach' (Hebrew), UnitQty kg, ItemPrice 17.</t>
        </is>
      </c>
      <c r="F67" s="13" t="inlineStr">
        <is>
          <t>Same regulatory discovery as Shufersal; the OpenIsraeliSupermarkets scraper's scrappers_factory.py enumerates ~30 chains and their engine (Cerberus / own-site MultiPageWeb / laibcatalog.co.il API); Rami Levy's ramilevy.py confirmed it uses the shared Cerberus portal with ftp_username='RamiLevi', which I then reproduced as an HTTPS login rather than the raw FTP the library uses.</t>
        </is>
      </c>
      <c r="G67" s="13" t="inlineStr">
        <is>
          <t>menaap-3</t>
        </is>
      </c>
      <c r="H67" s="13" t="inlineStr"/>
      <c r="I67" s="13" t="inlineStr"/>
      <c r="J67" s="13" t="inlineStr"/>
      <c r="K67" s="13" t="inlineStr"/>
      <c r="L67" s="13" t="inlineStr"/>
      <c r="M67" s="13" t="inlineStr"/>
      <c r="N67" s="13" t="inlineStr"/>
      <c r="O67" s="13" t="inlineStr"/>
      <c r="P67" s="13" t="inlineStr"/>
      <c r="Q67" s="13" t="inlineStr">
        <is>
          <t>menaap</t>
        </is>
      </c>
    </row>
    <row r="68">
      <c r="A68" s="13" t="inlineStr">
        <is>
          <t>israel</t>
        </is>
      </c>
      <c r="B68" s="13" t="inlineStr">
        <is>
          <t>Yohananof, Osher Ad, Tiv Taam, King Store, Good Pharm, Hazi Hinam and ~10 more chains (same Cerberus portal)</t>
        </is>
      </c>
      <c r="C68" s="13" t="inlineStr">
        <is>
          <t>https://url.retail.publishedprices.co.il/</t>
        </is>
      </c>
      <c r="D68" s="13" t="inlineStr">
        <is>
          <t>TIER_2</t>
        </is>
      </c>
      <c r="E68" s="13" t="inlineStr">
        <is>
          <t>Not independently probed one-by-one within budget. Confirmed via the same open-source scraper's scrappers_factory.py + per-chain source files (osherad.py, yohananof.py, tivtaam.py etc.) that each uses the identical Cerberus engine with only ftp_username differing ('osherad', 'yohananof', 'TivTaam', ...). Given the login mechanism (username + blank password + CSRF token) worked cleanly for RamiLevi, the same mechanism should work for these usernames -- downgraded to TIER_2 rather than TIER_1B purely because I did not byte-verify each one myself.</t>
        </is>
      </c>
      <c r="F68" s="13" t="inlineStr">
        <is>
          <t>Same GitHub scraper repository enumeration as the two directly-confirmed chains.</t>
        </is>
      </c>
      <c r="G68" s="13" t="inlineStr">
        <is>
          <t>menaap-3</t>
        </is>
      </c>
      <c r="H68" s="13" t="inlineStr"/>
      <c r="I68" s="13" t="inlineStr"/>
      <c r="J68" s="13" t="inlineStr"/>
      <c r="K68" s="13" t="inlineStr"/>
      <c r="L68" s="13" t="inlineStr"/>
      <c r="M68" s="13" t="inlineStr"/>
      <c r="N68" s="13" t="inlineStr"/>
      <c r="O68" s="13" t="inlineStr"/>
      <c r="P68" s="13" t="inlineStr"/>
      <c r="Q68" s="13" t="inlineStr">
        <is>
          <t>menaap</t>
        </is>
      </c>
    </row>
    <row r="69">
      <c r="A69" s="13" t="inlineStr">
        <is>
          <t>israel</t>
        </is>
      </c>
      <c r="B69" s="13" t="inlineStr">
        <is>
          <t>Victory (new source, laibcatalog.co.il API)</t>
        </is>
      </c>
      <c r="C69" s="13" t="inlineStr">
        <is>
          <t>https://laibcatalog.co.il/webapi/api/getfiles</t>
        </is>
      </c>
      <c r="D69" s="13" t="inlineStr">
        <is>
          <t>TIER_2</t>
        </is>
      </c>
      <c r="E69" s="13" t="inlineStr">
        <is>
          <t>Scraper source (victory.py) shows a clean JSON API: GET /webapi/api/getfiles?edi={chain_id} returns a file list with fileName/fileSize, and downloads come from /webapi/{chain_id}/{fileName}. Two of my own probes to laibcatalog.co.il both timed out (curl exit 28, connection timeout after DNS resolved to 82.80.16.207) -- could be geo-fenced to Israeli IPs, or transient. Not independently confirmed live.</t>
        </is>
      </c>
      <c r="F69" s="13" t="inlineStr">
        <is>
          <t>Same GitHub scraper repository.</t>
        </is>
      </c>
      <c r="G69" s="13" t="inlineStr">
        <is>
          <t>menaap-3</t>
        </is>
      </c>
      <c r="H69" s="13" t="inlineStr"/>
      <c r="I69" s="13" t="inlineStr"/>
      <c r="J69" s="13" t="inlineStr"/>
      <c r="K69" s="13" t="inlineStr"/>
      <c r="L69" s="13" t="inlineStr"/>
      <c r="M69" s="13" t="inlineStr"/>
      <c r="N69" s="13" t="inlineStr"/>
      <c r="O69" s="13" t="inlineStr"/>
      <c r="P69" s="13" t="inlineStr"/>
      <c r="Q69" s="13" t="inlineStr">
        <is>
          <t>menaap</t>
        </is>
      </c>
    </row>
    <row r="70">
      <c r="A70" s="13" t="inlineStr">
        <is>
          <t>israel</t>
        </is>
      </c>
      <c r="B70" s="13" t="inlineStr">
        <is>
          <t>Rami Levy (direct site, walled -- superseded by the transparency feed)</t>
        </is>
      </c>
      <c r="C70" s="13" t="inlineStr">
        <is>
          <t>https://www.rami-levy.co.il/he</t>
        </is>
      </c>
      <c r="D70" s="13" t="inlineStr">
        <is>
          <t>SKIP</t>
        </is>
      </c>
      <c r="E70" s="13" t="inlineStr">
        <is>
          <t>HTTP 403, 'Attention Required! | Cloudflare' title. Re-probed with curl_cffi impersonate=chrome120 -- still 403 (hard Cloudflare block, not just a TLS/UA mismatch).</t>
        </is>
      </c>
      <c r="F70" s="13" t="inlineStr">
        <is>
          <t>Obvious direct-retailer probe before discovering the transparency-law feed made it moot.</t>
        </is>
      </c>
      <c r="G70" s="13" t="inlineStr">
        <is>
          <t>menaap-3</t>
        </is>
      </c>
      <c r="H70" s="13" t="inlineStr"/>
      <c r="I70" s="13" t="inlineStr"/>
      <c r="J70" s="13" t="inlineStr"/>
      <c r="K70" s="13" t="inlineStr"/>
      <c r="L70" s="13" t="inlineStr"/>
      <c r="M70" s="13" t="inlineStr"/>
      <c r="N70" s="13" t="inlineStr"/>
      <c r="O70" s="13" t="inlineStr"/>
      <c r="P70" s="13" t="inlineStr"/>
      <c r="Q70" s="13" t="inlineStr">
        <is>
          <t>menaap</t>
        </is>
      </c>
    </row>
    <row r="71">
      <c r="A71" s="13" t="inlineStr">
        <is>
          <t>israel</t>
        </is>
      </c>
      <c r="B71" s="13" t="inlineStr">
        <is>
          <t>Victory (direct site, walled)</t>
        </is>
      </c>
      <c r="C71" s="13" t="inlineStr">
        <is>
          <t>https://www.victoryonline.co.il/</t>
        </is>
      </c>
      <c r="D71" s="13" t="inlineStr">
        <is>
          <t>SKIP</t>
        </is>
      </c>
      <c r="E71" s="13" t="inlineStr">
        <is>
          <t>HTTP 403, same Cloudflare signature; curl_cffi impersonate=chrome120 also 403.</t>
        </is>
      </c>
      <c r="F71" s="13" t="inlineStr">
        <is>
          <t>Obvious direct-retailer probe.</t>
        </is>
      </c>
      <c r="G71" s="13" t="inlineStr">
        <is>
          <t>menaap-3</t>
        </is>
      </c>
      <c r="H71" s="13" t="inlineStr"/>
      <c r="I71" s="13" t="inlineStr"/>
      <c r="J71" s="13" t="inlineStr"/>
      <c r="K71" s="13" t="inlineStr"/>
      <c r="L71" s="13" t="inlineStr"/>
      <c r="M71" s="13" t="inlineStr"/>
      <c r="N71" s="13" t="inlineStr"/>
      <c r="O71" s="13" t="inlineStr"/>
      <c r="P71" s="13" t="inlineStr"/>
      <c r="Q71" s="13" t="inlineStr">
        <is>
          <t>menaap</t>
        </is>
      </c>
    </row>
    <row r="72">
      <c r="A72" s="13" t="inlineStr">
        <is>
          <t>israel</t>
        </is>
      </c>
      <c r="B72" s="13" t="inlineStr">
        <is>
          <t>Yochananof (direct site, walled)</t>
        </is>
      </c>
      <c r="C72" s="13" t="inlineStr">
        <is>
          <t>https://www.yochananof.co.il/</t>
        </is>
      </c>
      <c r="D72" s="13" t="inlineStr">
        <is>
          <t>SKIP</t>
        </is>
      </c>
      <c r="E72" s="13" t="inlineStr">
        <is>
          <t>SSL cert hostname mismatch on plain curl (exit 60); with -k (ignore cert) or curl_cffi verify=False, still HTTP 403 with server: rdwr (Radware WAF) and a 'Transaction ID' error body.</t>
        </is>
      </c>
      <c r="F72" s="13" t="inlineStr">
        <is>
          <t>Obvious direct-retailer probe.</t>
        </is>
      </c>
      <c r="G72" s="13" t="inlineStr">
        <is>
          <t>menaap-3</t>
        </is>
      </c>
      <c r="H72" s="13" t="inlineStr"/>
      <c r="I72" s="13" t="inlineStr"/>
      <c r="J72" s="13" t="inlineStr"/>
      <c r="K72" s="13" t="inlineStr"/>
      <c r="L72" s="13" t="inlineStr"/>
      <c r="M72" s="13" t="inlineStr"/>
      <c r="N72" s="13" t="inlineStr"/>
      <c r="O72" s="13" t="inlineStr"/>
      <c r="P72" s="13" t="inlineStr"/>
      <c r="Q72" s="13" t="inlineStr">
        <is>
          <t>menaap</t>
        </is>
      </c>
    </row>
    <row r="73">
      <c r="A73" s="13" t="inlineStr">
        <is>
          <t>israel</t>
        </is>
      </c>
      <c r="B73" s="13" t="inlineStr">
        <is>
          <t>Shufersal (direct storefront, distinct from the price-transparency subdomain)</t>
        </is>
      </c>
      <c r="C73" s="13" t="inlineStr">
        <is>
          <t>https://www.shufersal.co.il/online/he/</t>
        </is>
      </c>
      <c r="D73" s="13" t="inlineStr">
        <is>
          <t>SKIP</t>
        </is>
      </c>
      <c r="E73" s="13" t="inlineStr">
        <is>
          <t>HTTP 200 but 444-byte body -- a maintenance-mode stub image ('Maintenance1.jpg' from S3), not the real storefront.</t>
        </is>
      </c>
      <c r="F73" s="13" t="inlineStr">
        <is>
          <t>Obvious direct-retailer probe -- irrelevant anyway since prices.shufersal.co.il (the regulatory feed) is superior for this pipeline's purposes.</t>
        </is>
      </c>
      <c r="G73" s="13" t="inlineStr">
        <is>
          <t>menaap-3</t>
        </is>
      </c>
      <c r="H73" s="13" t="inlineStr"/>
      <c r="I73" s="13" t="inlineStr"/>
      <c r="J73" s="13" t="inlineStr"/>
      <c r="K73" s="13" t="inlineStr"/>
      <c r="L73" s="13" t="inlineStr"/>
      <c r="M73" s="13" t="inlineStr"/>
      <c r="N73" s="13" t="inlineStr"/>
      <c r="O73" s="13" t="inlineStr"/>
      <c r="P73" s="13" t="inlineStr"/>
      <c r="Q73" s="13" t="inlineStr">
        <is>
          <t>menaap</t>
        </is>
      </c>
    </row>
    <row r="74">
      <c r="A74" s="13" t="inlineStr">
        <is>
          <t>bhutan</t>
        </is>
      </c>
      <c r="B74" s="13" t="inlineStr">
        <is>
          <t>ShopOnline Bhutan</t>
        </is>
      </c>
      <c r="C74" s="13" t="inlineStr">
        <is>
          <t>https://shoponline.bt/</t>
        </is>
      </c>
      <c r="D74" s="13" t="inlineStr">
        <is>
          <t>TIER_1B</t>
        </is>
      </c>
      <c r="E74" s="13" t="inlineStr">
        <is>
          <t>See sources[] entry above.</t>
        </is>
      </c>
      <c r="F74" s="13" t="inlineStr">
        <is>
          <t>WebSearch 'Bhutan online grocery delivery app supermarket buy online Thimphu' -&gt; shoponline.bt listed as a Thimphu-based grocery/hardware/kitchen-equipment delivery site with free delivery.</t>
        </is>
      </c>
      <c r="G74" s="13" t="inlineStr">
        <is>
          <t>sar-1</t>
        </is>
      </c>
      <c r="H74" s="13" t="inlineStr"/>
      <c r="I74" s="13" t="inlineStr"/>
      <c r="J74" s="13" t="inlineStr"/>
      <c r="K74" s="13" t="inlineStr"/>
      <c r="L74" s="13" t="inlineStr"/>
      <c r="M74" s="13" t="inlineStr"/>
      <c r="N74" s="13" t="inlineStr"/>
      <c r="O74" s="13" t="inlineStr"/>
      <c r="P74" s="13" t="inlineStr"/>
      <c r="Q74" s="13" t="inlineStr">
        <is>
          <t>sar</t>
        </is>
      </c>
    </row>
    <row r="75">
      <c r="A75" s="13" t="inlineStr">
        <is>
          <t>sri_lanka</t>
        </is>
      </c>
      <c r="B75" s="13" t="inlineStr">
        <is>
          <t>Glomark</t>
        </is>
      </c>
      <c r="C75" s="13" t="inlineStr">
        <is>
          <t>https://glomark.lk/</t>
        </is>
      </c>
      <c r="D75" s="13" t="inlineStr">
        <is>
          <t>TIER_1A</t>
        </is>
      </c>
      <c r="E75" s="13" t="inlineStr">
        <is>
          <t>SSR HTML, 102 subcategories incl. fresh meat/fish/veg/fruit, PDP confirmed Rs.250 real price</t>
        </is>
      </c>
      <c r="F75" s="13" t="inlineStr">
        <is>
          <t>Local-domain guess (glomark.lk, 'Sri Lanka's first global market') while widening the ACCEPT-list probe; not from a marketplace directory</t>
        </is>
      </c>
      <c r="G75" s="13" t="inlineStr">
        <is>
          <t>sar-2</t>
        </is>
      </c>
      <c r="H75" s="13" t="inlineStr"/>
      <c r="I75" s="13" t="inlineStr"/>
      <c r="J75" s="13" t="inlineStr"/>
      <c r="K75" s="13" t="inlineStr"/>
      <c r="L75" s="13" t="inlineStr"/>
      <c r="M75" s="13" t="inlineStr"/>
      <c r="N75" s="13" t="inlineStr"/>
      <c r="O75" s="13" t="inlineStr"/>
      <c r="P75" s="13" t="inlineStr"/>
      <c r="Q75" s="13" t="inlineStr">
        <is>
          <t>sar</t>
        </is>
      </c>
    </row>
    <row r="76">
      <c r="A76" s="13" t="inlineStr">
        <is>
          <t>sri_lanka</t>
        </is>
      </c>
      <c r="B76" s="13" t="inlineStr">
        <is>
          <t>Daraz LK</t>
        </is>
      </c>
      <c r="C76" s="13" t="inlineStr">
        <is>
          <t>https://www.daraz.lk/</t>
        </is>
      </c>
      <c r="D76" s="13" t="inlineStr">
        <is>
          <t>SKIP</t>
        </is>
      </c>
      <c r="E76" s="13" t="inlineStr">
        <is>
          <t>SPA shell, no product JSON found in time budget</t>
        </is>
      </c>
      <c r="F76" s="13" t="inlineStr">
        <is>
          <t>Brief explicitly named Daraz LK's seller directory as a target; probed directly, catalog itself is client-rendered</t>
        </is>
      </c>
      <c r="G76" s="13" t="inlineStr">
        <is>
          <t>sar-2</t>
        </is>
      </c>
      <c r="H76" s="13" t="inlineStr"/>
      <c r="I76" s="13" t="inlineStr"/>
      <c r="J76" s="13" t="inlineStr"/>
      <c r="K76" s="13" t="inlineStr"/>
      <c r="L76" s="13" t="inlineStr"/>
      <c r="M76" s="13" t="inlineStr"/>
      <c r="N76" s="13" t="inlineStr"/>
      <c r="O76" s="13" t="inlineStr"/>
      <c r="P76" s="13" t="inlineStr"/>
      <c r="Q76" s="13" t="inlineStr">
        <is>
          <t>sar</t>
        </is>
      </c>
    </row>
    <row r="77">
      <c r="A77" s="13" t="inlineStr">
        <is>
          <t>sri_lanka</t>
        </is>
      </c>
      <c r="B77" s="13" t="inlineStr">
        <is>
          <t>DCS Sri Lanka Weekly Retail Prices</t>
        </is>
      </c>
      <c r="C77" s="13" t="inlineStr">
        <is>
          <t>https://www.statistics.gov.lk/DashBoard/Prices/</t>
        </is>
      </c>
      <c r="D77" s="13" t="inlineStr">
        <is>
          <t>TIER_1B</t>
        </is>
      </c>
      <c r="E77" s="13" t="inlineStr">
        <is>
          <t>Prices_Data.php is a 1.85MB raw JS array, 122 products, no auth</t>
        </is>
      </c>
      <c r="F77" s="13" t="inlineStr">
        <is>
          <t>Brief named the Department of Census &amp; Statistics as a target; found the DashBoard/Prices page from the DCS homepage nav, then found the underlying data file referenced by a &lt;script src&gt; tag in the dashboard HTML</t>
        </is>
      </c>
      <c r="G77" s="13" t="inlineStr">
        <is>
          <t>sar-2</t>
        </is>
      </c>
      <c r="H77" s="13" t="inlineStr"/>
      <c r="I77" s="13" t="inlineStr"/>
      <c r="J77" s="13" t="inlineStr"/>
      <c r="K77" s="13" t="inlineStr"/>
      <c r="L77" s="13" t="inlineStr"/>
      <c r="M77" s="13" t="inlineStr"/>
      <c r="N77" s="13" t="inlineStr"/>
      <c r="O77" s="13" t="inlineStr"/>
      <c r="P77" s="13" t="inlineStr"/>
      <c r="Q77" s="13" t="inlineStr">
        <is>
          <t>sar</t>
        </is>
      </c>
    </row>
    <row r="78">
      <c r="A78" s="13" t="inlineStr">
        <is>
          <t>sri_lanka</t>
        </is>
      </c>
      <c r="B78" s="13" t="inlineStr">
        <is>
          <t>HARTI Daily/Weekly Food Commodities Bulletin</t>
        </is>
      </c>
      <c r="C78" s="13" t="inlineStr">
        <is>
          <t>http://www.harti.gov.lk/daily-price.php</t>
        </is>
      </c>
      <c r="D78" s="13" t="inlineStr">
        <is>
          <t>TIER_2</t>
        </is>
      </c>
      <c r="E78" s="13" t="inlineStr">
        <is>
          <t>PDF archive back to 2015, predictable path, sampled and pdftotext-parsed successfully</t>
        </is>
      </c>
      <c r="F78" s="13" t="inlineStr">
        <is>
          <t>Brief named HARTI as a target; found daily-price.php/weekly-price.php/monthly-price.php links directly in the HARTI homepage nav</t>
        </is>
      </c>
      <c r="G78" s="13" t="inlineStr">
        <is>
          <t>sar-2</t>
        </is>
      </c>
      <c r="H78" s="13" t="inlineStr"/>
      <c r="I78" s="13" t="inlineStr"/>
      <c r="J78" s="13" t="inlineStr"/>
      <c r="K78" s="13" t="inlineStr"/>
      <c r="L78" s="13" t="inlineStr"/>
      <c r="M78" s="13" t="inlineStr"/>
      <c r="N78" s="13" t="inlineStr"/>
      <c r="O78" s="13" t="inlineStr"/>
      <c r="P78" s="13" t="inlineStr"/>
      <c r="Q78" s="13" t="inlineStr">
        <is>
          <t>sar</t>
        </is>
      </c>
    </row>
    <row r="79">
      <c r="A79" s="13" t="inlineStr">
        <is>
          <t>maldives</t>
        </is>
      </c>
      <c r="B79" s="13" t="inlineStr">
        <is>
          <t>LittleFINO</t>
        </is>
      </c>
      <c r="C79" s="13" t="inlineStr">
        <is>
          <t>https://fino.com.mv/</t>
        </is>
      </c>
      <c r="D79" s="13" t="inlineStr">
        <is>
          <t>TIER_1B</t>
        </is>
      </c>
      <c r="E79" s="13" t="inlineStr">
        <is>
          <t>WooCommerce store API, 54 categories, packaged/frozen-heavy</t>
        </is>
      </c>
      <c r="F79" s="13" t="inlineStr">
        <is>
          <t>WebSearch ('online grocery Male Maldives supermarket order online') surfaced it among several candidates; other candidates from the same search (villamart.mv, eat.mv, qrocery.store, maldiviancart.com) all failed to probe (SPA/403/DNS)</t>
        </is>
      </c>
      <c r="G79" s="13" t="inlineStr">
        <is>
          <t>sar-2</t>
        </is>
      </c>
      <c r="H79" s="13" t="inlineStr"/>
      <c r="I79" s="13" t="inlineStr"/>
      <c r="J79" s="13" t="inlineStr"/>
      <c r="K79" s="13" t="inlineStr"/>
      <c r="L79" s="13" t="inlineStr"/>
      <c r="M79" s="13" t="inlineStr"/>
      <c r="N79" s="13" t="inlineStr"/>
      <c r="O79" s="13" t="inlineStr"/>
      <c r="P79" s="13" t="inlineStr"/>
      <c r="Q79" s="13" t="inlineStr">
        <is>
          <t>sar</t>
        </is>
      </c>
    </row>
    <row r="80">
      <c r="A80" s="13" t="inlineStr">
        <is>
          <t>maldives</t>
        </is>
      </c>
      <c r="B80" s="13" t="inlineStr">
        <is>
          <t>WHIM (whim.com.mv)</t>
        </is>
      </c>
      <c r="C80" s="13" t="inlineStr">
        <is>
          <t>https://whim.com.mv/</t>
        </is>
      </c>
      <c r="D80" s="13" t="inlineStr">
        <is>
          <t>TIER_1A</t>
        </is>
      </c>
      <c r="E80" s="13" t="inlineStr">
        <is>
          <t>SSR HTML /shop page, ~55 categories, full pantry/dairy/drinks/frozen breadth incl. Maldivian dried-fish line</t>
        </is>
      </c>
      <c r="F80" s="13" t="inlineStr">
        <is>
          <t>Not a fresh discovery -- this is the already-onboarded whim_mv spider; re-probed to verify F&amp;B depth since the brief asked for depth verification of existing manifests and this source anchors the whole Maldives coverage estimate. Manifest lists domain as whim.com.mv (not whim.mv, which times out)</t>
        </is>
      </c>
      <c r="G80" s="13" t="inlineStr">
        <is>
          <t>sar-2</t>
        </is>
      </c>
      <c r="H80" s="13" t="inlineStr"/>
      <c r="I80" s="13" t="inlineStr"/>
      <c r="J80" s="13" t="inlineStr"/>
      <c r="K80" s="13" t="inlineStr"/>
      <c r="L80" s="13" t="inlineStr"/>
      <c r="M80" s="13" t="inlineStr"/>
      <c r="N80" s="13" t="inlineStr"/>
      <c r="O80" s="13" t="inlineStr"/>
      <c r="P80" s="13" t="inlineStr"/>
      <c r="Q80" s="13" t="inlineStr">
        <is>
          <t>sar</t>
        </is>
      </c>
    </row>
    <row r="81">
      <c r="A81" s="13" t="inlineStr">
        <is>
          <t>bangladesh</t>
        </is>
      </c>
      <c r="B81" s="13" t="inlineStr">
        <is>
          <t>Meena Bazar real domains (meenabazaronline.com, meenabazar.live)</t>
        </is>
      </c>
      <c r="C81" s="13" t="inlineStr">
        <is>
          <t>https://meenabazaronline.com/ / https://www.meenabazar.live/</t>
        </is>
      </c>
      <c r="D81" s="13" t="inlineStr">
        <is>
          <t>TIER_2</t>
        </is>
      </c>
      <c r="E81" s="13" t="inlineStr">
        <is>
          <t>Original guessed domains (meenabazar.com.bd, meenaclick.com.bd) don't resolve/error. WebSearch surfaced the real live domains.</t>
        </is>
      </c>
      <c r="F81" s="13" t="inlineStr">
        <is>
          <t>WebSearch after direct domain guesses (meenabazar.com.bd, meenaclick.com.bd) failed to resolve</t>
        </is>
      </c>
      <c r="G81" s="13" t="inlineStr">
        <is>
          <t>sar-3</t>
        </is>
      </c>
      <c r="H81" s="13" t="inlineStr"/>
      <c r="I81" s="13" t="inlineStr"/>
      <c r="J81" s="13" t="inlineStr"/>
      <c r="K81" s="13" t="inlineStr"/>
      <c r="L81" s="13" t="inlineStr"/>
      <c r="M81" s="13" t="inlineStr"/>
      <c r="N81" s="13" t="inlineStr"/>
      <c r="O81" s="13" t="inlineStr"/>
      <c r="P81" s="13" t="inlineStr"/>
      <c r="Q81" s="13" t="inlineStr">
        <is>
          <t>sar</t>
        </is>
      </c>
    </row>
    <row r="82">
      <c r="A82" s="13" t="inlineStr">
        <is>
          <t>pakistan</t>
        </is>
      </c>
      <c r="B82" s="13" t="inlineStr">
        <is>
          <t>shop.imtiaz.com.pk (real storefront domain)</t>
        </is>
      </c>
      <c r="C82" s="13" t="inlineStr">
        <is>
          <t>https://shop.imtiaz.com.pk/</t>
        </is>
      </c>
      <c r="D82" s="13" t="inlineStr">
        <is>
          <t>TIER_2</t>
        </is>
      </c>
      <c r="E82" s="13" t="inlineStr">
        <is>
          <t>imtiaz.com.pk is corporate/blog only; WebSearch found the actual e-commerce subdomain shop.imtiaz.com.pk.</t>
        </is>
      </c>
      <c r="F82" s="13" t="inlineStr">
        <is>
          <t>WebSearch after imtiaz.com.pk/shop/ resolved to a blog post instead of a storefront</t>
        </is>
      </c>
      <c r="G82" s="13" t="inlineStr">
        <is>
          <t>sar-3</t>
        </is>
      </c>
      <c r="H82" s="13" t="inlineStr"/>
      <c r="I82" s="13" t="inlineStr"/>
      <c r="J82" s="13" t="inlineStr"/>
      <c r="K82" s="13" t="inlineStr"/>
      <c r="L82" s="13" t="inlineStr"/>
      <c r="M82" s="13" t="inlineStr"/>
      <c r="N82" s="13" t="inlineStr"/>
      <c r="O82" s="13" t="inlineStr"/>
      <c r="P82" s="13" t="inlineStr"/>
      <c r="Q82" s="13" t="inlineStr">
        <is>
          <t>sar</t>
        </is>
      </c>
    </row>
    <row r="83">
      <c r="A83" s="13" t="inlineStr">
        <is>
          <t>pakistan</t>
        </is>
      </c>
      <c r="B83" s="13" t="inlineStr">
        <is>
          <t>PBS SPI live bulletin URL pattern</t>
        </is>
      </c>
      <c r="C83" s="13" t="inlineStr">
        <is>
          <t>https://www.pbs.gov.pk/weekly-sensitive-price-indicator-spi-for-the-week-ended-on-{DD-MM-YYYY}/</t>
        </is>
      </c>
      <c r="D83" s="13" t="inlineStr">
        <is>
          <t>TIER_1A</t>
        </is>
      </c>
      <c r="E83" s="13" t="inlineStr">
        <is>
          <t>The named target (pbs.gov.pk/spi) 404s as a stale vanity URL; WebSearch surfaced the live per-week bulletin URL pattern and the underlying stable Annex XLSX naming convention.</t>
        </is>
      </c>
      <c r="F83" s="13" t="inlineStr">
        <is>
          <t>WebSearch for the current SPI bulletin after the vanity URL 404'd</t>
        </is>
      </c>
      <c r="G83" s="13" t="inlineStr">
        <is>
          <t>sar-3</t>
        </is>
      </c>
      <c r="H83" s="13" t="inlineStr"/>
      <c r="I83" s="13" t="inlineStr"/>
      <c r="J83" s="13" t="inlineStr"/>
      <c r="K83" s="13" t="inlineStr"/>
      <c r="L83" s="13" t="inlineStr"/>
      <c r="M83" s="13" t="inlineStr"/>
      <c r="N83" s="13" t="inlineStr"/>
      <c r="O83" s="13" t="inlineStr"/>
      <c r="P83" s="13" t="inlineStr"/>
      <c r="Q83" s="13" t="inlineStr">
        <is>
          <t>sar</t>
        </is>
      </c>
    </row>
    <row r="84">
      <c r="A84" s="13" t="inlineStr">
        <is>
          <t>senegal</t>
        </is>
      </c>
      <c r="B84" s="13" t="inlineStr">
        <is>
          <t>Yombouna Supabase backend</t>
        </is>
      </c>
      <c r="C84" s="13" t="inlineStr">
        <is>
          <t>https://obyteclxfidycfrqklbz.supabase.co/rest/v1/products</t>
        </is>
      </c>
      <c r="D84" s="13" t="inlineStr">
        <is>
          <t>TIER_1B</t>
        </is>
      </c>
      <c r="E84" s="13" t="inlineStr">
        <is>
          <t>PUBLIC_SUPABASE_URL + anon key shipped in the SvelteKit page bundle; PostgREST /rest/v1/products is open with no auth beyond that key, 1,677 rows.</t>
        </is>
      </c>
      <c r="F84" s="13" t="inlineStr">
        <is>
          <t>SPA shell inspection -- the framework's own client-side env config leaked the backend</t>
        </is>
      </c>
      <c r="G84" s="13" t="inlineStr">
        <is>
          <t>ssa-2</t>
        </is>
      </c>
      <c r="H84" s="13" t="inlineStr"/>
      <c r="I84" s="13" t="inlineStr"/>
      <c r="J84" s="13" t="inlineStr"/>
      <c r="K84" s="13" t="inlineStr"/>
      <c r="L84" s="13" t="inlineStr"/>
      <c r="M84" s="13" t="inlineStr"/>
      <c r="N84" s="13" t="inlineStr"/>
      <c r="O84" s="13" t="inlineStr"/>
      <c r="P84" s="13" t="inlineStr"/>
      <c r="Q84" s="13" t="inlineStr">
        <is>
          <t>ssa</t>
        </is>
      </c>
    </row>
    <row r="85">
      <c r="A85" s="13" t="inlineStr">
        <is>
          <t>madagascar</t>
        </is>
      </c>
      <c r="B85" s="13" t="inlineStr">
        <is>
          <t>mescourses.mg (rebrand of supermarche.mg)</t>
        </is>
      </c>
      <c r="C85" s="13" t="inlineStr">
        <is>
          <t>https://mescourses.mg/fr/</t>
        </is>
      </c>
      <c r="D85" s="13" t="inlineStr">
        <is>
          <t>TIER_1A</t>
        </is>
      </c>
      <c r="E85" s="13" t="inlineStr">
        <is>
          <t>supermarche.mg 302-redirects here; PrestaShop confirmed, live MGA prices.</t>
        </is>
      </c>
      <c r="F85" s="13" t="inlineStr">
        <is>
          <t>Following the redirect chain on a CSV-listed URL whose cert no longer matched</t>
        </is>
      </c>
      <c r="G85" s="13" t="inlineStr">
        <is>
          <t>ssa-2</t>
        </is>
      </c>
      <c r="H85" s="13" t="inlineStr"/>
      <c r="I85" s="13" t="inlineStr"/>
      <c r="J85" s="13" t="inlineStr"/>
      <c r="K85" s="13" t="inlineStr"/>
      <c r="L85" s="13" t="inlineStr"/>
      <c r="M85" s="13" t="inlineStr"/>
      <c r="N85" s="13" t="inlineStr"/>
      <c r="O85" s="13" t="inlineStr"/>
      <c r="P85" s="13" t="inlineStr"/>
      <c r="Q85" s="13" t="inlineStr">
        <is>
          <t>ssa</t>
        </is>
      </c>
    </row>
    <row r="86">
      <c r="A86" s="13" t="inlineStr">
        <is>
          <t>mozambique</t>
        </is>
      </c>
      <c r="B86" s="13" t="inlineStr">
        <is>
          <t>VIP Supermercado real Store API path</t>
        </is>
      </c>
      <c r="C86" s="13" t="inlineStr">
        <is>
          <t>https://vipspar.com/wp-json/wc/store/products</t>
        </is>
      </c>
      <c r="D86" s="13" t="inlineStr">
        <is>
          <t>TIER_1B</t>
        </is>
      </c>
      <c r="E86" s="13" t="inlineStr">
        <is>
          <t>The documented /wc/store/v1/products path 404s on this install; the older un-versioned /wc/store/products namespace is what's actually registered and open.</t>
        </is>
      </c>
      <c r="F86" s="13" t="inlineStr">
        <is>
          <t>Checking the site's own /wp-json/ namespace list after the v1 path failed, instead of giving up at the first 404</t>
        </is>
      </c>
      <c r="G86" s="13" t="inlineStr">
        <is>
          <t>ssa-2</t>
        </is>
      </c>
      <c r="H86" s="13" t="inlineStr"/>
      <c r="I86" s="13" t="inlineStr"/>
      <c r="J86" s="13" t="inlineStr"/>
      <c r="K86" s="13" t="inlineStr"/>
      <c r="L86" s="13" t="inlineStr"/>
      <c r="M86" s="13" t="inlineStr"/>
      <c r="N86" s="13" t="inlineStr"/>
      <c r="O86" s="13" t="inlineStr"/>
      <c r="P86" s="13" t="inlineStr"/>
      <c r="Q86" s="13" t="inlineStr">
        <is>
          <t>ssa</t>
        </is>
      </c>
    </row>
    <row r="87">
      <c r="A87" s="13" t="inlineStr">
        <is>
          <t>all 8 (ex-Gabon)</t>
        </is>
      </c>
      <c r="B87" s="13" t="inlineStr">
        <is>
          <t>WFP Food Prices (HDX) national panels</t>
        </is>
      </c>
      <c r="C87" s="13" t="inlineStr">
        <is>
          <t>https://data.humdata.org/dataset/wfp-food-prices-for-&lt;country&gt;</t>
        </is>
      </c>
      <c r="D87" s="13" t="inlineStr">
        <is>
          <t>TIER_1B</t>
        </is>
      </c>
      <c r="E87" s="13" t="inlineStr">
        <is>
          <t>CKAN package_show resolves for senegal, ethiopia, malawi, mauritania, madagascar, mozambique, zimbabwe directly by common-name slug; tanzania required the ISO long-form slug 'united-republic-of-tanzania' (a naive guess 404s). Gabon dataset exists but is only 4 commodities.</t>
        </is>
      </c>
      <c r="F87" s="13" t="inlineStr">
        <is>
          <t>Same CKAN pattern as the shipped src/prices/fetchers/_shared/eap/wfp_food_prices.py; none of these 8 countries had a WFP fetcher wired up before this pass despite datasets existing for all of them</t>
        </is>
      </c>
      <c r="G87" s="13" t="inlineStr">
        <is>
          <t>ssa-2</t>
        </is>
      </c>
      <c r="H87" s="13" t="inlineStr"/>
      <c r="I87" s="13" t="inlineStr"/>
      <c r="J87" s="13" t="inlineStr"/>
      <c r="K87" s="13" t="inlineStr"/>
      <c r="L87" s="13" t="inlineStr"/>
      <c r="M87" s="13" t="inlineStr"/>
      <c r="N87" s="13" t="inlineStr"/>
      <c r="O87" s="13" t="inlineStr"/>
      <c r="P87" s="13" t="inlineStr"/>
      <c r="Q87" s="13" t="inlineStr">
        <is>
          <t>ssa</t>
        </is>
      </c>
    </row>
    <row r="88">
      <c r="A88" s="13" t="inlineStr">
        <is>
          <t>kenya</t>
        </is>
      </c>
      <c r="B88" s="13" t="inlineStr">
        <is>
          <t>Zucchini Food Market</t>
        </is>
      </c>
      <c r="C88" s="13" t="inlineStr">
        <is>
          <t>https://zucchini.co.ke/</t>
        </is>
      </c>
      <c r="D88" s="13" t="inlineStr">
        <is>
          <t>TIER_1B</t>
        </is>
      </c>
      <c r="E88" s="13" t="inlineStr">
        <is>
          <t>Shopify /products.json confirmed, fresh produce specialist, KES 149 pineapple / KES 179 beef tomatoes sampled.</t>
        </is>
      </c>
      <c r="F88" s="13" t="inlineStr">
        <is>
          <t>web search for Kenya online grocers not already in the shard</t>
        </is>
      </c>
      <c r="G88" s="13" t="inlineStr">
        <is>
          <t>ssa-3</t>
        </is>
      </c>
      <c r="H88" s="13" t="inlineStr"/>
      <c r="I88" s="13" t="inlineStr"/>
      <c r="J88" s="13" t="inlineStr"/>
      <c r="K88" s="13" t="inlineStr"/>
      <c r="L88" s="13" t="inlineStr"/>
      <c r="M88" s="13" t="inlineStr"/>
      <c r="N88" s="13" t="inlineStr"/>
      <c r="O88" s="13" t="inlineStr"/>
      <c r="P88" s="13" t="inlineStr"/>
      <c r="Q88" s="13" t="inlineStr">
        <is>
          <t>ssa</t>
        </is>
      </c>
    </row>
    <row r="89">
      <c r="A89" s="13" t="inlineStr">
        <is>
          <t>kenya</t>
        </is>
      </c>
      <c r="B89" s="13" t="inlineStr">
        <is>
          <t>Tushop</t>
        </is>
      </c>
      <c r="C89" s="13" t="inlineStr">
        <is>
          <t>https://tushop.io/</t>
        </is>
      </c>
      <c r="D89" s="13" t="inlineStr">
        <is>
          <t>SKIP</t>
        </is>
      </c>
      <c r="E89" s="13" t="inlineStr">
        <is>
          <t>app-only landing page, no web catalog.</t>
        </is>
      </c>
      <c r="F89" s="13" t="inlineStr">
        <is>
          <t>web search for Kenya online grocers</t>
        </is>
      </c>
      <c r="G89" s="13" t="inlineStr">
        <is>
          <t>ssa-3</t>
        </is>
      </c>
      <c r="H89" s="13" t="inlineStr"/>
      <c r="I89" s="13" t="inlineStr"/>
      <c r="J89" s="13" t="inlineStr"/>
      <c r="K89" s="13" t="inlineStr"/>
      <c r="L89" s="13" t="inlineStr"/>
      <c r="M89" s="13" t="inlineStr"/>
      <c r="N89" s="13" t="inlineStr"/>
      <c r="O89" s="13" t="inlineStr"/>
      <c r="P89" s="13" t="inlineStr"/>
      <c r="Q89" s="13" t="inlineStr">
        <is>
          <t>ssa</t>
        </is>
      </c>
    </row>
    <row r="90">
      <c r="A90" s="13" t="inlineStr">
        <is>
          <t>cote_divoire</t>
        </is>
      </c>
      <c r="B90" s="13" t="inlineStr">
        <is>
          <t>Abidjan Market</t>
        </is>
      </c>
      <c r="C90" s="13" t="inlineStr">
        <is>
          <t>https://abidjan-market.ci/</t>
        </is>
      </c>
      <c r="D90" s="13" t="inlineStr">
        <is>
          <t>TIER_2</t>
        </is>
      </c>
      <c r="E90" s="13" t="inlineStr">
        <is>
          <t>curl -&gt; HTTP 200, 150KB. Not yet probed for product/price content -- surfaced as a live alternative when AfricMart's domain proved dead.</t>
        </is>
      </c>
      <c r="F90" s="13" t="inlineStr">
        <is>
          <t>web search while resolving AfricMart's dead domain</t>
        </is>
      </c>
      <c r="G90" s="13" t="inlineStr">
        <is>
          <t>ssa-3</t>
        </is>
      </c>
      <c r="H90" s="13" t="inlineStr"/>
      <c r="I90" s="13" t="inlineStr"/>
      <c r="J90" s="13" t="inlineStr"/>
      <c r="K90" s="13" t="inlineStr"/>
      <c r="L90" s="13" t="inlineStr"/>
      <c r="M90" s="13" t="inlineStr"/>
      <c r="N90" s="13" t="inlineStr"/>
      <c r="O90" s="13" t="inlineStr"/>
      <c r="P90" s="13" t="inlineStr"/>
      <c r="Q90" s="13" t="inlineStr">
        <is>
          <t>ssa</t>
        </is>
      </c>
    </row>
    <row r="91">
      <c r="A91" s="13" t="inlineStr">
        <is>
          <t>kenya</t>
        </is>
      </c>
      <c r="B91" s="13" t="inlineStr">
        <is>
          <t>WFP Kenya (HDX)</t>
        </is>
      </c>
      <c r="C91" s="13" t="inlineStr">
        <is>
          <t>https://data.humdata.org/dataset/e0d3fba6-f9a2-45d7-b949-140c455197ff</t>
        </is>
      </c>
      <c r="D91" s="13" t="inlineStr">
        <is>
          <t>TIER_1B</t>
        </is>
      </c>
      <c r="E91" s="13" t="inlineStr">
        <is>
          <t>51 commodities, current through 2026-07-15.</t>
        </is>
      </c>
      <c r="F91" s="13" t="inlineStr">
        <is>
          <t>CKAN package_show probe of the existing repo pattern (src/prices/fetchers/_shared/eap/wfp_food_prices.py) extended to all 8 SSA countries in this shard</t>
        </is>
      </c>
      <c r="G91" s="13" t="inlineStr">
        <is>
          <t>ssa-3</t>
        </is>
      </c>
      <c r="H91" s="13" t="inlineStr"/>
      <c r="I91" s="13" t="inlineStr"/>
      <c r="J91" s="13" t="inlineStr"/>
      <c r="K91" s="13" t="inlineStr"/>
      <c r="L91" s="13" t="inlineStr"/>
      <c r="M91" s="13" t="inlineStr"/>
      <c r="N91" s="13" t="inlineStr"/>
      <c r="O91" s="13" t="inlineStr"/>
      <c r="P91" s="13" t="inlineStr"/>
      <c r="Q91" s="13" t="inlineStr">
        <is>
          <t>ssa</t>
        </is>
      </c>
    </row>
    <row r="92">
      <c r="A92" s="13" t="inlineStr">
        <is>
          <t>sudan</t>
        </is>
      </c>
      <c r="B92" s="13" t="inlineStr">
        <is>
          <t>WFP Sudan (HDX)</t>
        </is>
      </c>
      <c r="C92" s="13" t="inlineStr">
        <is>
          <t>https://data.humdata.org/dataset/369e003b-f0af-4e48-99d7-34fc85b44635</t>
        </is>
      </c>
      <c r="D92" s="13" t="inlineStr">
        <is>
          <t>TIER_1B</t>
        </is>
      </c>
      <c r="E92" s="13" t="inlineStr">
        <is>
          <t>16 commodities, current through 2026-06-15.</t>
        </is>
      </c>
      <c r="F92" s="13" t="inlineStr">
        <is>
          <t>same CKAN sweep</t>
        </is>
      </c>
      <c r="G92" s="13" t="inlineStr">
        <is>
          <t>ssa-3</t>
        </is>
      </c>
      <c r="H92" s="13" t="inlineStr"/>
      <c r="I92" s="13" t="inlineStr"/>
      <c r="J92" s="13" t="inlineStr"/>
      <c r="K92" s="13" t="inlineStr"/>
      <c r="L92" s="13" t="inlineStr"/>
      <c r="M92" s="13" t="inlineStr"/>
      <c r="N92" s="13" t="inlineStr"/>
      <c r="O92" s="13" t="inlineStr"/>
      <c r="P92" s="13" t="inlineStr"/>
      <c r="Q92" s="13" t="inlineStr">
        <is>
          <t>ssa</t>
        </is>
      </c>
    </row>
    <row r="93">
      <c r="A93" s="13" t="inlineStr">
        <is>
          <t>guinea</t>
        </is>
      </c>
      <c r="B93" s="13" t="inlineStr">
        <is>
          <t>WFP Guinea (HDX)</t>
        </is>
      </c>
      <c r="C93" s="13" t="inlineStr">
        <is>
          <t>https://data.humdata.org/dataset/17a0a124-bedd-427c-a710-0d6e87672891</t>
        </is>
      </c>
      <c r="D93" s="13" t="inlineStr">
        <is>
          <t>TIER_1B</t>
        </is>
      </c>
      <c r="E93" s="13" t="inlineStr">
        <is>
          <t>26 commodities, current through 2026-07-15.</t>
        </is>
      </c>
      <c r="F93" s="13" t="inlineStr">
        <is>
          <t>same CKAN sweep</t>
        </is>
      </c>
      <c r="G93" s="13" t="inlineStr">
        <is>
          <t>ssa-3</t>
        </is>
      </c>
      <c r="H93" s="13" t="inlineStr"/>
      <c r="I93" s="13" t="inlineStr"/>
      <c r="J93" s="13" t="inlineStr"/>
      <c r="K93" s="13" t="inlineStr"/>
      <c r="L93" s="13" t="inlineStr"/>
      <c r="M93" s="13" t="inlineStr"/>
      <c r="N93" s="13" t="inlineStr"/>
      <c r="O93" s="13" t="inlineStr"/>
      <c r="P93" s="13" t="inlineStr"/>
      <c r="Q93" s="13" t="inlineStr">
        <is>
          <t>ssa</t>
        </is>
      </c>
    </row>
    <row r="94">
      <c r="A94" s="13" t="inlineStr">
        <is>
          <t>congo_dem_rep</t>
        </is>
      </c>
      <c r="B94" s="13" t="inlineStr">
        <is>
          <t>WFP DRC (HDX)</t>
        </is>
      </c>
      <c r="C94" s="13" t="inlineStr">
        <is>
          <t>https://data.humdata.org/dataset/07a6d6fb-828d-4391-afb8-78b1fc32caa3</t>
        </is>
      </c>
      <c r="D94" s="13" t="inlineStr">
        <is>
          <t>TIER_1B</t>
        </is>
      </c>
      <c r="E94" s="13" t="inlineStr">
        <is>
          <t>38 commodities, current through 2026-05-15, 95k rows (largest panel).</t>
        </is>
      </c>
      <c r="F94" s="13" t="inlineStr">
        <is>
          <t>same CKAN sweep</t>
        </is>
      </c>
      <c r="G94" s="13" t="inlineStr">
        <is>
          <t>ssa-3</t>
        </is>
      </c>
      <c r="H94" s="13" t="inlineStr"/>
      <c r="I94" s="13" t="inlineStr"/>
      <c r="J94" s="13" t="inlineStr"/>
      <c r="K94" s="13" t="inlineStr"/>
      <c r="L94" s="13" t="inlineStr"/>
      <c r="M94" s="13" t="inlineStr"/>
      <c r="N94" s="13" t="inlineStr"/>
      <c r="O94" s="13" t="inlineStr"/>
      <c r="P94" s="13" t="inlineStr"/>
      <c r="Q94" s="13" t="inlineStr">
        <is>
          <t>ssa</t>
        </is>
      </c>
    </row>
    <row r="95">
      <c r="A95" s="13" t="inlineStr">
        <is>
          <t>central_african_republic</t>
        </is>
      </c>
      <c r="B95" s="13" t="inlineStr">
        <is>
          <t>WFP Central African Republic (HDX)</t>
        </is>
      </c>
      <c r="C95" s="13" t="inlineStr">
        <is>
          <t>https://data.humdata.org/dataset/e9f27b34-f511-498c-a7f8-fe8d2321f7ba</t>
        </is>
      </c>
      <c r="D95" s="13" t="inlineStr">
        <is>
          <t>TIER_1B</t>
        </is>
      </c>
      <c r="E95" s="13" t="inlineStr">
        <is>
          <t>39 commodities incl. bushmeat, current through 2026-06-15.</t>
        </is>
      </c>
      <c r="F95" s="13" t="inlineStr">
        <is>
          <t>same CKAN sweep</t>
        </is>
      </c>
      <c r="G95" s="13" t="inlineStr">
        <is>
          <t>ssa-3</t>
        </is>
      </c>
      <c r="H95" s="13" t="inlineStr"/>
      <c r="I95" s="13" t="inlineStr"/>
      <c r="J95" s="13" t="inlineStr"/>
      <c r="K95" s="13" t="inlineStr"/>
      <c r="L95" s="13" t="inlineStr"/>
      <c r="M95" s="13" t="inlineStr"/>
      <c r="N95" s="13" t="inlineStr"/>
      <c r="O95" s="13" t="inlineStr"/>
      <c r="P95" s="13" t="inlineStr"/>
      <c r="Q95" s="13" t="inlineStr">
        <is>
          <t>ssa</t>
        </is>
      </c>
    </row>
    <row r="96">
      <c r="A96" s="13" t="inlineStr">
        <is>
          <t>cote_divoire</t>
        </is>
      </c>
      <c r="B96" s="13" t="inlineStr">
        <is>
          <t>WFP Cote d'Ivoire (HDX)</t>
        </is>
      </c>
      <c r="C96" s="13" t="inlineStr">
        <is>
          <t>https://data.humdata.org/dataset/e6ff12e6-0670-4a0e-af9f-3750688e6c8d</t>
        </is>
      </c>
      <c r="D96" s="13" t="inlineStr">
        <is>
          <t>TIER_1B</t>
        </is>
      </c>
      <c r="E96" s="13" t="inlineStr">
        <is>
          <t>27 commodities, current through 2026-06-15.</t>
        </is>
      </c>
      <c r="F96" s="13" t="inlineStr">
        <is>
          <t>same CKAN sweep</t>
        </is>
      </c>
      <c r="G96" s="13" t="inlineStr">
        <is>
          <t>ssa-3</t>
        </is>
      </c>
      <c r="H96" s="13" t="inlineStr"/>
      <c r="I96" s="13" t="inlineStr"/>
      <c r="J96" s="13" t="inlineStr"/>
      <c r="K96" s="13" t="inlineStr"/>
      <c r="L96" s="13" t="inlineStr"/>
      <c r="M96" s="13" t="inlineStr"/>
      <c r="N96" s="13" t="inlineStr"/>
      <c r="O96" s="13" t="inlineStr"/>
      <c r="P96" s="13" t="inlineStr"/>
      <c r="Q96" s="13" t="inlineStr">
        <is>
          <t>ssa</t>
        </is>
      </c>
    </row>
    <row r="97">
      <c r="A97" s="13" t="inlineStr">
        <is>
          <t>rwanda</t>
        </is>
      </c>
      <c r="B97" s="13" t="inlineStr">
        <is>
          <t>WFP Rwanda (HDX)</t>
        </is>
      </c>
      <c r="C97" s="13" t="inlineStr">
        <is>
          <t>https://data.humdata.org/dataset/a4a84c1c-81d1-491b-9fbe-1955ae736508</t>
        </is>
      </c>
      <c r="D97" s="13" t="inlineStr">
        <is>
          <t>TIER_1B</t>
        </is>
      </c>
      <c r="E97" s="13" t="inlineStr">
        <is>
          <t>65 commodities, current through 2026-06-15, 152k rows (richest panel in the shard).</t>
        </is>
      </c>
      <c r="F97" s="13" t="inlineStr">
        <is>
          <t>same CKAN sweep</t>
        </is>
      </c>
      <c r="G97" s="13" t="inlineStr">
        <is>
          <t>ssa-3</t>
        </is>
      </c>
      <c r="H97" s="13" t="inlineStr"/>
      <c r="I97" s="13" t="inlineStr"/>
      <c r="J97" s="13" t="inlineStr"/>
      <c r="K97" s="13" t="inlineStr"/>
      <c r="L97" s="13" t="inlineStr"/>
      <c r="M97" s="13" t="inlineStr"/>
      <c r="N97" s="13" t="inlineStr"/>
      <c r="O97" s="13" t="inlineStr"/>
      <c r="P97" s="13" t="inlineStr"/>
      <c r="Q97" s="13" t="inlineStr">
        <is>
          <t>ssa</t>
        </is>
      </c>
    </row>
    <row r="98">
      <c r="A98" s="13" t="inlineStr">
        <is>
          <t>cabo_verde</t>
        </is>
      </c>
      <c r="B98" s="13" t="inlineStr">
        <is>
          <t>WFP Cabo Verde (HDX)</t>
        </is>
      </c>
      <c r="C98" s="13" t="inlineStr">
        <is>
          <t>https://data.humdata.org/dataset/f9f8ff96-61eb-472e-9ec8-814980cfabcd</t>
        </is>
      </c>
      <c r="D98" s="13" t="inlineStr">
        <is>
          <t>TIER_1B</t>
        </is>
      </c>
      <c r="E98" s="13" t="inlineStr">
        <is>
          <t>only 7 commodities, STALE (max date 2022-05-15).</t>
        </is>
      </c>
      <c r="F98" s="13" t="inlineStr">
        <is>
          <t>same CKAN sweep</t>
        </is>
      </c>
      <c r="G98" s="13" t="inlineStr">
        <is>
          <t>ssa-3</t>
        </is>
      </c>
      <c r="H98" s="13" t="inlineStr"/>
      <c r="I98" s="13" t="inlineStr"/>
      <c r="J98" s="13" t="inlineStr"/>
      <c r="K98" s="13" t="inlineStr"/>
      <c r="L98" s="13" t="inlineStr"/>
      <c r="M98" s="13" t="inlineStr"/>
      <c r="N98" s="13" t="inlineStr"/>
      <c r="O98" s="13" t="inlineStr"/>
      <c r="P98" s="13" t="inlineStr"/>
      <c r="Q98" s="13" t="inlineStr">
        <is>
          <t>ssa</t>
        </is>
      </c>
    </row>
    <row r="99">
      <c r="A99" s="13" t="inlineStr">
        <is>
          <t>bolivia</t>
        </is>
      </c>
      <c r="B99" s="13" t="inlineStr">
        <is>
          <t>WFP Bolivia food prices (HDX)</t>
        </is>
      </c>
      <c r="C99" s="13" t="inlineStr">
        <is>
          <t>https://data.humdata.org/dataset/6cced040-794e-47cb-8c1f-3b41c8e2af45/resource/042a6d68-ea6d-4f1b-a0db-6cfed1c52ee4/download/wfp_food_prices_bol.csv</t>
        </is>
      </c>
      <c r="D99" s="13" t="inlineStr">
        <is>
          <t>TIER_1B</t>
        </is>
      </c>
      <c r="E99" s="13" t="inlineStr">
        <is>
          <t>CKAN slug wfp-food-prices-for-bolivia-plurinational-state-of, package_show -&gt; 200. CSV download -&gt; 200, 3.3MB, 24,607 rows, dates 2008-01-15 to 2026-06-15 (live, current). 27 commodity variants (mostly rice grades, plus bread, eggs, maize, beef, chicken, milk, noodles, potato, quinoa, sugar, wheat flour), 4 category groups, currency BOB.</t>
        </is>
      </c>
      <c r="F99" s="13" t="inlineStr">
        <is>
          <t>data.humdata.org CKAN package_search + package_show for the country slug, per LAC brief's WFP HDX guidance</t>
        </is>
      </c>
      <c r="G99" s="13" t="inlineStr">
        <is>
          <t>lac-1</t>
        </is>
      </c>
      <c r="H99" s="13" t="inlineStr"/>
      <c r="I99" s="13" t="inlineStr"/>
      <c r="J99" s="13" t="inlineStr"/>
      <c r="K99" s="13" t="inlineStr"/>
      <c r="L99" s="13" t="inlineStr"/>
      <c r="M99" s="13" t="inlineStr"/>
      <c r="N99" s="13" t="inlineStr"/>
      <c r="O99" s="13" t="inlineStr"/>
      <c r="P99" s="13" t="inlineStr"/>
      <c r="Q99" s="13" t="inlineStr">
        <is>
          <t>lac</t>
        </is>
      </c>
    </row>
    <row r="100">
      <c r="A100" s="13" t="inlineStr">
        <is>
          <t>haiti</t>
        </is>
      </c>
      <c r="B100" s="13" t="inlineStr">
        <is>
          <t>WFP Haiti food prices (HDX)</t>
        </is>
      </c>
      <c r="C100" s="13" t="inlineStr">
        <is>
          <t>https://data.humdata.org/dataset/a68fe30e-8f20-4ae0-a31c-df3130b96275/resource/eb8e9cd4-51cd-4cc7-a8c6-f0d773fb318e/download/wfp_food_prices_hti.csv</t>
        </is>
      </c>
      <c r="D100" s="13" t="inlineStr">
        <is>
          <t>TIER_1B</t>
        </is>
      </c>
      <c r="E100" s="13" t="inlineStr">
        <is>
          <t>CKAN slug wfp-food-prices-for-haiti, package_show -&gt; 200. CSV download -&gt; 200, 2.1MB, 16,444 rows, dates 2005-01-15 to 2025-07-15 (roughly 13 months stale as of probe date but not structurally dead). 34 commodities across cereals/tubers, oils, pulses/nuts, vegetables/fruits, misc — heavy on fresh produce (avocados, mangoes, oranges, pineapples, cabbage, carrots, eggplants, okra, plantains, yams) that no verified Haiti retailer carries. currency HTG.</t>
        </is>
      </c>
      <c r="F100" s="13" t="inlineStr">
        <is>
          <t>data.humdata.org CKAN package_search + package_show for the country slug</t>
        </is>
      </c>
      <c r="G100" s="13" t="inlineStr">
        <is>
          <t>lac-1</t>
        </is>
      </c>
      <c r="H100" s="13" t="inlineStr"/>
      <c r="I100" s="13" t="inlineStr"/>
      <c r="J100" s="13" t="inlineStr"/>
      <c r="K100" s="13" t="inlineStr"/>
      <c r="L100" s="13" t="inlineStr"/>
      <c r="M100" s="13" t="inlineStr"/>
      <c r="N100" s="13" t="inlineStr"/>
      <c r="O100" s="13" t="inlineStr"/>
      <c r="P100" s="13" t="inlineStr"/>
      <c r="Q100" s="13" t="inlineStr">
        <is>
          <t>lac</t>
        </is>
      </c>
    </row>
    <row r="101">
      <c r="A101" s="13" t="inlineStr">
        <is>
          <t>peru</t>
        </is>
      </c>
      <c r="B101" s="13" t="inlineStr">
        <is>
          <t>WFP Peru food prices (HDX) — STALE, not counted as coverage</t>
        </is>
      </c>
      <c r="C101" s="13" t="inlineStr">
        <is>
          <t>https://data.humdata.org/dataset/120e668e-d3d5-4689-b05b-7ec85e8cfd8e/resource/4d3a99c9-da1f-4e09-b5ed-c35096d75960/download/wfp_food_prices_per.csv</t>
        </is>
      </c>
      <c r="D101" s="13" t="inlineStr">
        <is>
          <t>SKIP</t>
        </is>
      </c>
      <c r="E101" s="13" t="inlineStr">
        <is>
          <t>CKAN slug wfp-food-prices-for-peru exists and downloads (200, 3,208 rows) but last observation date is 2022-06-15 — over 4 years stale as of this probe (2026-08-06). Per LAC brief's stale-panel rule, recorded as a SKIP.</t>
        </is>
      </c>
      <c r="F101" s="13" t="inlineStr">
        <is>
          <t>data.humdata.org CKAN package_search + package_show for the country slug</t>
        </is>
      </c>
      <c r="G101" s="13" t="inlineStr">
        <is>
          <t>lac-1</t>
        </is>
      </c>
      <c r="H101" s="13" t="inlineStr"/>
      <c r="I101" s="13" t="inlineStr"/>
      <c r="J101" s="13" t="inlineStr"/>
      <c r="K101" s="13" t="inlineStr"/>
      <c r="L101" s="13" t="inlineStr"/>
      <c r="M101" s="13" t="inlineStr"/>
      <c r="N101" s="13" t="inlineStr"/>
      <c r="O101" s="13" t="inlineStr"/>
      <c r="P101" s="13" t="inlineStr"/>
      <c r="Q101" s="13" t="inlineStr">
        <is>
          <t>lac</t>
        </is>
      </c>
    </row>
    <row r="102">
      <c r="A102" s="13" t="inlineStr">
        <is>
          <t>guyana</t>
        </is>
      </c>
      <c r="B102" s="13" t="inlineStr">
        <is>
          <t>FAOSTAT Guyana food prices (HDX) — index-level, not SKU-level</t>
        </is>
      </c>
      <c r="C102" s="13" t="inlineStr">
        <is>
          <t>https://data.humdata.org (slug: guy-faostat-food-prices)</t>
        </is>
      </c>
      <c r="D102" s="13" t="inlineStr">
        <is>
          <t>SKIP</t>
        </is>
      </c>
      <c r="E102" s="13" t="inlineStr">
        <is>
          <t>Found via package_search but not downloaded — FAOSTAT country panels on HDX are national annual/monthly price-index series, not commodity-level retail observations comparable to the WFP market-price panels. Not counted as fnb_leaf coverage per the aggregate_proxy exclusion rule.</t>
        </is>
      </c>
      <c r="F102" s="13" t="inlineStr">
        <is>
          <t>data.humdata.org CKAN package_search for the country slug</t>
        </is>
      </c>
      <c r="G102" s="13" t="inlineStr">
        <is>
          <t>lac-1</t>
        </is>
      </c>
      <c r="H102" s="13" t="inlineStr"/>
      <c r="I102" s="13" t="inlineStr"/>
      <c r="J102" s="13" t="inlineStr"/>
      <c r="K102" s="13" t="inlineStr"/>
      <c r="L102" s="13" t="inlineStr"/>
      <c r="M102" s="13" t="inlineStr"/>
      <c r="N102" s="13" t="inlineStr"/>
      <c r="O102" s="13" t="inlineStr"/>
      <c r="P102" s="13" t="inlineStr"/>
      <c r="Q102" s="13" t="inlineStr">
        <is>
          <t>lac</t>
        </is>
      </c>
    </row>
    <row r="103">
      <c r="A103" s="13" t="inlineStr">
        <is>
          <t>trinidad_and_tobago</t>
        </is>
      </c>
      <c r="B103" s="13" t="inlineStr">
        <is>
          <t>FAOSTAT Trinidad and Tobago food prices (HDX) — index-level, not SKU-level</t>
        </is>
      </c>
      <c r="C103" s="13" t="inlineStr">
        <is>
          <t>https://data.humdata.org (slug: tto-faostat-food-prices)</t>
        </is>
      </c>
      <c r="D103" s="13" t="inlineStr">
        <is>
          <t>SKIP</t>
        </is>
      </c>
      <c r="E103" s="13" t="inlineStr">
        <is>
          <t>Same as the Guyana FAOSTAT entry — national aggregate index series, not SKU-level. Not counted as coverage.</t>
        </is>
      </c>
      <c r="F103" s="13" t="inlineStr">
        <is>
          <t>data.humdata.org CKAN package_search for the country slug</t>
        </is>
      </c>
      <c r="G103" s="13" t="inlineStr">
        <is>
          <t>lac-1</t>
        </is>
      </c>
      <c r="H103" s="13" t="inlineStr"/>
      <c r="I103" s="13" t="inlineStr"/>
      <c r="J103" s="13" t="inlineStr"/>
      <c r="K103" s="13" t="inlineStr"/>
      <c r="L103" s="13" t="inlineStr"/>
      <c r="M103" s="13" t="inlineStr"/>
      <c r="N103" s="13" t="inlineStr"/>
      <c r="O103" s="13" t="inlineStr"/>
      <c r="P103" s="13" t="inlineStr"/>
      <c r="Q103" s="13" t="inlineStr">
        <is>
          <t>lac</t>
        </is>
      </c>
    </row>
    <row r="104">
      <c r="A104" s="13" t="inlineStr">
        <is>
          <t>jamaica</t>
        </is>
      </c>
      <c r="B104" s="13" t="inlineStr">
        <is>
          <t>STATIN Jamaica Consumer Price Index — index-level, not SKU-level</t>
        </is>
      </c>
      <c r="C104" s="13" t="inlineStr">
        <is>
          <t>https://statinja.gov.jm/Trade-Econ%20Statistics/CPI/NewCPI.aspx</t>
        </is>
      </c>
      <c r="D104" s="13" t="inlineStr">
        <is>
          <t>SKIP</t>
        </is>
      </c>
      <c r="E104" s="13" t="inlineStr">
        <is>
          <t>curl 200/110KB. Page links only to CPI-methodology PDFs, not a table of average retail commodity prices. No wfp-food-prices-for-jamaica panel exists on HDX either.</t>
        </is>
      </c>
      <c r="F104" s="13" t="inlineStr">
        <is>
          <t>Direct domain guess (statinja.gov.jm) for Jamaica's national statistics office</t>
        </is>
      </c>
      <c r="G104" s="13" t="inlineStr">
        <is>
          <t>lac-1</t>
        </is>
      </c>
      <c r="H104" s="13" t="inlineStr"/>
      <c r="I104" s="13" t="inlineStr"/>
      <c r="J104" s="13" t="inlineStr"/>
      <c r="K104" s="13" t="inlineStr"/>
      <c r="L104" s="13" t="inlineStr"/>
      <c r="M104" s="13" t="inlineStr"/>
      <c r="N104" s="13" t="inlineStr"/>
      <c r="O104" s="13" t="inlineStr"/>
      <c r="P104" s="13" t="inlineStr"/>
      <c r="Q104" s="13" t="inlineStr">
        <is>
          <t>lac</t>
        </is>
      </c>
    </row>
    <row r="105">
      <c r="A105" s="13" t="inlineStr">
        <is>
          <t>belize</t>
        </is>
      </c>
      <c r="B105" s="13" t="inlineStr">
        <is>
          <t>Statistical Institute of Belize Consumer Price Index — index-level, not SKU-level</t>
        </is>
      </c>
      <c r="C105" s="13" t="inlineStr">
        <is>
          <t>https://sib.org.bz/statistics/economic-statistics/consumer-price-index/</t>
        </is>
      </c>
      <c r="D105" s="13" t="inlineStr">
        <is>
          <t>SKIP</t>
        </is>
      </c>
      <c r="E105" s="13" t="inlineStr">
        <is>
          <t>curl 200 on sib.org.bz root; nav link found to a CPI section, but this is an index publication, not a commodity-level average-price table. No WFP panel exists for Belize either.</t>
        </is>
      </c>
      <c r="F105" s="13" t="inlineStr">
        <is>
          <t>Direct domain guess (sib.org.bz) for Belize's national statistics office</t>
        </is>
      </c>
      <c r="G105" s="13" t="inlineStr">
        <is>
          <t>lac-1</t>
        </is>
      </c>
      <c r="H105" s="13" t="inlineStr"/>
      <c r="I105" s="13" t="inlineStr"/>
      <c r="J105" s="13" t="inlineStr"/>
      <c r="K105" s="13" t="inlineStr"/>
      <c r="L105" s="13" t="inlineStr"/>
      <c r="M105" s="13" t="inlineStr"/>
      <c r="N105" s="13" t="inlineStr"/>
      <c r="O105" s="13" t="inlineStr"/>
      <c r="P105" s="13" t="inlineStr"/>
      <c r="Q105" s="13" t="inlineStr">
        <is>
          <t>lac</t>
        </is>
      </c>
    </row>
    <row r="106">
      <c r="A106" s="13" t="inlineStr">
        <is>
          <t>argentina</t>
        </is>
      </c>
      <c r="B106" s="13" t="inlineStr">
        <is>
          <t>Jumbo Argentina</t>
        </is>
      </c>
      <c r="C106" s="13" t="inlineStr">
        <is>
          <t>https://www.jumbo.com.ar/</t>
        </is>
      </c>
      <c r="D106" s="13" t="inlineStr">
        <is>
          <t>TIER_1B</t>
        </is>
      </c>
      <c r="E106" s="13" t="inlineStr">
        <is>
          <t>VTEX catalog_system API 206, 'Cebolla Superior Por Kg' ARS 2599.0</t>
        </is>
      </c>
      <c r="F106" s="13" t="inlineStr">
        <is>
          <t>direct VTEX fingerprint probe on known Cencosud AR banner domain</t>
        </is>
      </c>
      <c r="G106" s="13" t="inlineStr">
        <is>
          <t>lac-2</t>
        </is>
      </c>
      <c r="H106" s="13" t="inlineStr"/>
      <c r="I106" s="13" t="inlineStr"/>
      <c r="J106" s="13" t="inlineStr"/>
      <c r="K106" s="13" t="inlineStr"/>
      <c r="L106" s="13" t="inlineStr"/>
      <c r="M106" s="13" t="inlineStr"/>
      <c r="N106" s="13" t="inlineStr"/>
      <c r="O106" s="13" t="inlineStr"/>
      <c r="P106" s="13" t="inlineStr"/>
      <c r="Q106" s="13" t="inlineStr">
        <is>
          <t>lac</t>
        </is>
      </c>
    </row>
    <row r="107">
      <c r="A107" s="13" t="inlineStr">
        <is>
          <t>argentina</t>
        </is>
      </c>
      <c r="B107" s="13" t="inlineStr">
        <is>
          <t>Disco</t>
        </is>
      </c>
      <c r="C107" s="13" t="inlineStr">
        <is>
          <t>https://www.disco.com.ar/</t>
        </is>
      </c>
      <c r="D107" s="13" t="inlineStr">
        <is>
          <t>TIER_1B</t>
        </is>
      </c>
      <c r="E107" s="13" t="inlineStr">
        <is>
          <t>VTEX catalog_system API 206</t>
        </is>
      </c>
      <c r="F107" s="13" t="inlineStr">
        <is>
          <t>direct VTEX fingerprint probe, same Cencosud AR sweep as Jumbo</t>
        </is>
      </c>
      <c r="G107" s="13" t="inlineStr">
        <is>
          <t>lac-2</t>
        </is>
      </c>
      <c r="H107" s="13" t="inlineStr"/>
      <c r="I107" s="13" t="inlineStr"/>
      <c r="J107" s="13" t="inlineStr"/>
      <c r="K107" s="13" t="inlineStr"/>
      <c r="L107" s="13" t="inlineStr"/>
      <c r="M107" s="13" t="inlineStr"/>
      <c r="N107" s="13" t="inlineStr"/>
      <c r="O107" s="13" t="inlineStr"/>
      <c r="P107" s="13" t="inlineStr"/>
      <c r="Q107" s="13" t="inlineStr">
        <is>
          <t>lac</t>
        </is>
      </c>
    </row>
    <row r="108">
      <c r="A108" s="13" t="inlineStr">
        <is>
          <t>argentina</t>
        </is>
      </c>
      <c r="B108" s="13" t="inlineStr">
        <is>
          <t>Vea</t>
        </is>
      </c>
      <c r="C108" s="13" t="inlineStr">
        <is>
          <t>https://www.vea.com.ar/</t>
        </is>
      </c>
      <c r="D108" s="13" t="inlineStr">
        <is>
          <t>TIER_1B</t>
        </is>
      </c>
      <c r="E108" s="13" t="inlineStr">
        <is>
          <t>VTEX catalog_system API 206, 'Azucar 1 Kg Azucel' ARS 1390.0</t>
        </is>
      </c>
      <c r="F108" s="13" t="inlineStr">
        <is>
          <t>direct VTEX fingerprint probe, same Cencosud AR sweep</t>
        </is>
      </c>
      <c r="G108" s="13" t="inlineStr">
        <is>
          <t>lac-2</t>
        </is>
      </c>
      <c r="H108" s="13" t="inlineStr"/>
      <c r="I108" s="13" t="inlineStr"/>
      <c r="J108" s="13" t="inlineStr"/>
      <c r="K108" s="13" t="inlineStr"/>
      <c r="L108" s="13" t="inlineStr"/>
      <c r="M108" s="13" t="inlineStr"/>
      <c r="N108" s="13" t="inlineStr"/>
      <c r="O108" s="13" t="inlineStr"/>
      <c r="P108" s="13" t="inlineStr"/>
      <c r="Q108" s="13" t="inlineStr">
        <is>
          <t>lac</t>
        </is>
      </c>
    </row>
    <row r="109">
      <c r="A109" s="13" t="inlineStr">
        <is>
          <t>argentina</t>
        </is>
      </c>
      <c r="B109" s="13" t="inlineStr">
        <is>
          <t>Carrefour Argentina</t>
        </is>
      </c>
      <c r="C109" s="13" t="inlineStr">
        <is>
          <t>https://www.carrefour.com.ar/</t>
        </is>
      </c>
      <c r="D109" s="13" t="inlineStr">
        <is>
          <t>TIER_1B</t>
        </is>
      </c>
      <c r="E109" s="13" t="inlineStr">
        <is>
          <t>VTEX catalog_system API 206</t>
        </is>
      </c>
      <c r="F109" s="13" t="inlineStr">
        <is>
          <t>direct VTEX fingerprint probe on known AR retailer domain</t>
        </is>
      </c>
      <c r="G109" s="13" t="inlineStr">
        <is>
          <t>lac-2</t>
        </is>
      </c>
      <c r="H109" s="13" t="inlineStr"/>
      <c r="I109" s="13" t="inlineStr"/>
      <c r="J109" s="13" t="inlineStr"/>
      <c r="K109" s="13" t="inlineStr"/>
      <c r="L109" s="13" t="inlineStr"/>
      <c r="M109" s="13" t="inlineStr"/>
      <c r="N109" s="13" t="inlineStr"/>
      <c r="O109" s="13" t="inlineStr"/>
      <c r="P109" s="13" t="inlineStr"/>
      <c r="Q109" s="13" t="inlineStr">
        <is>
          <t>lac</t>
        </is>
      </c>
    </row>
    <row r="110">
      <c r="A110" s="13" t="inlineStr">
        <is>
          <t>argentina</t>
        </is>
      </c>
      <c r="B110" s="13" t="inlineStr">
        <is>
          <t>Dia Argentina</t>
        </is>
      </c>
      <c r="C110" s="13" t="inlineStr">
        <is>
          <t>https://diaonline.supermercadosdia.com.ar/</t>
        </is>
      </c>
      <c r="D110" s="13" t="inlineStr">
        <is>
          <t>TIER_1B</t>
        </is>
      </c>
      <c r="E110" s="13" t="inlineStr">
        <is>
          <t>VTEX catalog_system API 206 (after following redirect to trailing-slash path)</t>
        </is>
      </c>
      <c r="F110" s="13" t="inlineStr">
        <is>
          <t>direct VTEX fingerprint probe on known AR retailer domain</t>
        </is>
      </c>
      <c r="G110" s="13" t="inlineStr">
        <is>
          <t>lac-2</t>
        </is>
      </c>
      <c r="H110" s="13" t="inlineStr"/>
      <c r="I110" s="13" t="inlineStr"/>
      <c r="J110" s="13" t="inlineStr"/>
      <c r="K110" s="13" t="inlineStr"/>
      <c r="L110" s="13" t="inlineStr"/>
      <c r="M110" s="13" t="inlineStr"/>
      <c r="N110" s="13" t="inlineStr"/>
      <c r="O110" s="13" t="inlineStr"/>
      <c r="P110" s="13" t="inlineStr"/>
      <c r="Q110" s="13" t="inlineStr">
        <is>
          <t>lac</t>
        </is>
      </c>
    </row>
    <row r="111">
      <c r="A111" s="13" t="inlineStr">
        <is>
          <t>brazil</t>
        </is>
      </c>
      <c r="B111" s="13" t="inlineStr">
        <is>
          <t>Zona Sul</t>
        </is>
      </c>
      <c r="C111" s="13" t="inlineStr">
        <is>
          <t>https://www.zonasul.com.br/</t>
        </is>
      </c>
      <c r="D111" s="13" t="inlineStr">
        <is>
          <t>TIER_1B</t>
        </is>
      </c>
      <c r="E111" s="13" t="inlineStr">
        <is>
          <t>VTEX catalog_system API 206, 'Arroz Branco Tio Joao 1kg' BRL 5.59</t>
        </is>
      </c>
      <c r="F111" s="13" t="inlineStr">
        <is>
          <t>direct VTEX fingerprint probe on known Rio de Janeiro chain domain</t>
        </is>
      </c>
      <c r="G111" s="13" t="inlineStr">
        <is>
          <t>lac-2</t>
        </is>
      </c>
      <c r="H111" s="13" t="inlineStr"/>
      <c r="I111" s="13" t="inlineStr"/>
      <c r="J111" s="13" t="inlineStr"/>
      <c r="K111" s="13" t="inlineStr"/>
      <c r="L111" s="13" t="inlineStr"/>
      <c r="M111" s="13" t="inlineStr"/>
      <c r="N111" s="13" t="inlineStr"/>
      <c r="O111" s="13" t="inlineStr"/>
      <c r="P111" s="13" t="inlineStr"/>
      <c r="Q111" s="13" t="inlineStr">
        <is>
          <t>lac</t>
        </is>
      </c>
    </row>
    <row r="112">
      <c r="A112" s="13" t="inlineStr">
        <is>
          <t>brazil</t>
        </is>
      </c>
      <c r="B112" s="13" t="inlineStr">
        <is>
          <t>Savegnago</t>
        </is>
      </c>
      <c r="C112" s="13" t="inlineStr">
        <is>
          <t>https://www.savegnago.com.br/</t>
        </is>
      </c>
      <c r="D112" s="13" t="inlineStr">
        <is>
          <t>TIER_1B</t>
        </is>
      </c>
      <c r="E112" s="13" t="inlineStr">
        <is>
          <t>VTEX catalog_system API 206, 'Tomate Italiano 1kg' BRL 4.45</t>
        </is>
      </c>
      <c r="F112" s="13" t="inlineStr">
        <is>
          <t>direct VTEX fingerprint probe on Sao Paulo regional chain domain</t>
        </is>
      </c>
      <c r="G112" s="13" t="inlineStr">
        <is>
          <t>lac-2</t>
        </is>
      </c>
      <c r="H112" s="13" t="inlineStr"/>
      <c r="I112" s="13" t="inlineStr"/>
      <c r="J112" s="13" t="inlineStr"/>
      <c r="K112" s="13" t="inlineStr"/>
      <c r="L112" s="13" t="inlineStr"/>
      <c r="M112" s="13" t="inlineStr"/>
      <c r="N112" s="13" t="inlineStr"/>
      <c r="O112" s="13" t="inlineStr"/>
      <c r="P112" s="13" t="inlineStr"/>
      <c r="Q112" s="13" t="inlineStr">
        <is>
          <t>lac</t>
        </is>
      </c>
    </row>
    <row r="113">
      <c r="A113" s="13" t="inlineStr">
        <is>
          <t>brazil</t>
        </is>
      </c>
      <c r="B113" s="13" t="inlineStr">
        <is>
          <t>Mambo</t>
        </is>
      </c>
      <c r="C113" s="13" t="inlineStr">
        <is>
          <t>https://www.mambo.com.br/</t>
        </is>
      </c>
      <c r="D113" s="13" t="inlineStr">
        <is>
          <t>TIER_1B</t>
        </is>
      </c>
      <c r="E113" s="13" t="inlineStr">
        <is>
          <t>VTEX catalog_system API 206, 'Cebola Nacional Kg' BRL 8.99</t>
        </is>
      </c>
      <c r="F113" s="13" t="inlineStr">
        <is>
          <t>direct VTEX fingerprint probe on Sao Paulo regional chain domain</t>
        </is>
      </c>
      <c r="G113" s="13" t="inlineStr">
        <is>
          <t>lac-2</t>
        </is>
      </c>
      <c r="H113" s="13" t="inlineStr"/>
      <c r="I113" s="13" t="inlineStr"/>
      <c r="J113" s="13" t="inlineStr"/>
      <c r="K113" s="13" t="inlineStr"/>
      <c r="L113" s="13" t="inlineStr"/>
      <c r="M113" s="13" t="inlineStr"/>
      <c r="N113" s="13" t="inlineStr"/>
      <c r="O113" s="13" t="inlineStr"/>
      <c r="P113" s="13" t="inlineStr"/>
      <c r="Q113" s="13" t="inlineStr">
        <is>
          <t>lac</t>
        </is>
      </c>
    </row>
    <row r="114">
      <c r="A114" s="13" t="inlineStr">
        <is>
          <t>chile</t>
        </is>
      </c>
      <c r="B114" s="13" t="inlineStr">
        <is>
          <t>Jumbo Chile</t>
        </is>
      </c>
      <c r="C114" s="13" t="inlineStr">
        <is>
          <t>https://jumbocl.myvtex.com/</t>
        </is>
      </c>
      <c r="D114" s="13" t="inlineStr">
        <is>
          <t>TIER_1B</t>
        </is>
      </c>
      <c r="E114" s="13" t="inlineStr">
        <is>
          <t>custom domain 404 -&gt; myvtex.com origin 206, 'Platano Extra Granel' CLP 1590.0</t>
        </is>
      </c>
      <c r="F114" s="13" t="inlineStr">
        <is>
          <t>VTEX myvtex.com origin-bypass technique after custom domain WAF/404</t>
        </is>
      </c>
      <c r="G114" s="13" t="inlineStr">
        <is>
          <t>lac-2</t>
        </is>
      </c>
      <c r="H114" s="13" t="inlineStr"/>
      <c r="I114" s="13" t="inlineStr"/>
      <c r="J114" s="13" t="inlineStr"/>
      <c r="K114" s="13" t="inlineStr"/>
      <c r="L114" s="13" t="inlineStr"/>
      <c r="M114" s="13" t="inlineStr"/>
      <c r="N114" s="13" t="inlineStr"/>
      <c r="O114" s="13" t="inlineStr"/>
      <c r="P114" s="13" t="inlineStr"/>
      <c r="Q114" s="13" t="inlineStr">
        <is>
          <t>lac</t>
        </is>
      </c>
    </row>
    <row r="115">
      <c r="A115" s="13" t="inlineStr">
        <is>
          <t>chile</t>
        </is>
      </c>
      <c r="B115" s="13" t="inlineStr">
        <is>
          <t>Santa Isabel</t>
        </is>
      </c>
      <c r="C115" s="13" t="inlineStr">
        <is>
          <t>https://santaisabel.myvtex.com/</t>
        </is>
      </c>
      <c r="D115" s="13" t="inlineStr">
        <is>
          <t>TIER_1B</t>
        </is>
      </c>
      <c r="E115" s="13" t="inlineStr">
        <is>
          <t>custom domain 404 -&gt; myvtex.com origin 206, 'Trutro Entero de Pollo kg' CLP 3990.0</t>
        </is>
      </c>
      <c r="F115" s="13" t="inlineStr">
        <is>
          <t>VTEX myvtex.com origin-bypass technique after custom domain WAF/404</t>
        </is>
      </c>
      <c r="G115" s="13" t="inlineStr">
        <is>
          <t>lac-2</t>
        </is>
      </c>
      <c r="H115" s="13" t="inlineStr"/>
      <c r="I115" s="13" t="inlineStr"/>
      <c r="J115" s="13" t="inlineStr"/>
      <c r="K115" s="13" t="inlineStr"/>
      <c r="L115" s="13" t="inlineStr"/>
      <c r="M115" s="13" t="inlineStr"/>
      <c r="N115" s="13" t="inlineStr"/>
      <c r="O115" s="13" t="inlineStr"/>
      <c r="P115" s="13" t="inlineStr"/>
      <c r="Q115" s="13" t="inlineStr">
        <is>
          <t>lac</t>
        </is>
      </c>
    </row>
    <row r="116">
      <c r="A116" s="13" t="inlineStr">
        <is>
          <t>chile</t>
        </is>
      </c>
      <c r="B116" s="13" t="inlineStr">
        <is>
          <t>ODEPA precios mayoristas fruta-hortaliza</t>
        </is>
      </c>
      <c r="C116" s="13" t="inlineStr">
        <is>
          <t>https://datos.odepa.gob.cl/dataset/precios-mayoristas-de-frutas-y-hortalizas</t>
        </is>
      </c>
      <c r="D116" s="13" t="inlineStr">
        <is>
          <t>TIER_1B</t>
        </is>
      </c>
      <c r="E116" s="13" t="inlineStr">
        <is>
          <t>CKAN CSV 200, 108,989 rows, 'Acelga' CLP 4000/docena, updated to 2026-07-31</t>
        </is>
      </c>
      <c r="F116" s="13" t="inlineStr">
        <is>
          <t>local-language search for ODEPA wholesale fruit/vegetable price open data</t>
        </is>
      </c>
      <c r="G116" s="13" t="inlineStr">
        <is>
          <t>lac-2</t>
        </is>
      </c>
      <c r="H116" s="13" t="inlineStr"/>
      <c r="I116" s="13" t="inlineStr"/>
      <c r="J116" s="13" t="inlineStr"/>
      <c r="K116" s="13" t="inlineStr"/>
      <c r="L116" s="13" t="inlineStr"/>
      <c r="M116" s="13" t="inlineStr"/>
      <c r="N116" s="13" t="inlineStr"/>
      <c r="O116" s="13" t="inlineStr"/>
      <c r="P116" s="13" t="inlineStr"/>
      <c r="Q116" s="13" t="inlineStr">
        <is>
          <t>lac</t>
        </is>
      </c>
    </row>
    <row r="117">
      <c r="A117" s="13" t="inlineStr">
        <is>
          <t>colombia</t>
        </is>
      </c>
      <c r="B117" s="13" t="inlineStr">
        <is>
          <t>Euro Supermercados</t>
        </is>
      </c>
      <c r="C117" s="13" t="inlineStr">
        <is>
          <t>https://www.eurosupermercados.com.co/</t>
        </is>
      </c>
      <c r="D117" s="13" t="inlineStr">
        <is>
          <t>TIER_1B</t>
        </is>
      </c>
      <c r="E117" s="13" t="inlineStr">
        <is>
          <t>VTEX catalog_system API 206, 'BOLSA PLASTICA' COP 200.0</t>
        </is>
      </c>
      <c r="F117" s="13" t="inlineStr">
        <is>
          <t>Spanish web search 'supermercado online Colombia mercado a domicilio' + VTEX fingerprint probe</t>
        </is>
      </c>
      <c r="G117" s="13" t="inlineStr">
        <is>
          <t>lac-2</t>
        </is>
      </c>
      <c r="H117" s="13" t="inlineStr"/>
      <c r="I117" s="13" t="inlineStr"/>
      <c r="J117" s="13" t="inlineStr"/>
      <c r="K117" s="13" t="inlineStr"/>
      <c r="L117" s="13" t="inlineStr"/>
      <c r="M117" s="13" t="inlineStr"/>
      <c r="N117" s="13" t="inlineStr"/>
      <c r="O117" s="13" t="inlineStr"/>
      <c r="P117" s="13" t="inlineStr"/>
      <c r="Q117" s="13" t="inlineStr">
        <is>
          <t>lac</t>
        </is>
      </c>
    </row>
    <row r="118">
      <c r="A118" s="13" t="inlineStr">
        <is>
          <t>colombia</t>
        </is>
      </c>
      <c r="B118" s="13" t="inlineStr">
        <is>
          <t>Jumbo Colombia</t>
        </is>
      </c>
      <c r="C118" s="13" t="inlineStr">
        <is>
          <t>https://www.jumbocolombia.com/</t>
        </is>
      </c>
      <c r="D118" s="13" t="inlineStr">
        <is>
          <t>TIER_1B</t>
        </is>
      </c>
      <c r="E118" s="13" t="inlineStr">
        <is>
          <t>VTEX catalog_system API 206, 'Aceite Cuisine&amp;Co Mezcla Vegetal x3000Ml' COP 22890.0</t>
        </is>
      </c>
      <c r="F118" s="13" t="inlineStr">
        <is>
          <t>known Cencosud CO banner + VTEX fingerprint probe</t>
        </is>
      </c>
      <c r="G118" s="13" t="inlineStr">
        <is>
          <t>lac-2</t>
        </is>
      </c>
      <c r="H118" s="13" t="inlineStr"/>
      <c r="I118" s="13" t="inlineStr"/>
      <c r="J118" s="13" t="inlineStr"/>
      <c r="K118" s="13" t="inlineStr"/>
      <c r="L118" s="13" t="inlineStr"/>
      <c r="M118" s="13" t="inlineStr"/>
      <c r="N118" s="13" t="inlineStr"/>
      <c r="O118" s="13" t="inlineStr"/>
      <c r="P118" s="13" t="inlineStr"/>
      <c r="Q118" s="13" t="inlineStr">
        <is>
          <t>lac</t>
        </is>
      </c>
    </row>
    <row r="119">
      <c r="A119" s="13" t="inlineStr">
        <is>
          <t>colombia</t>
        </is>
      </c>
      <c r="B119" s="13" t="inlineStr">
        <is>
          <t>WFP Colombia food prices</t>
        </is>
      </c>
      <c r="C119" s="13" t="inlineStr">
        <is>
          <t>https://data.humdata.org/dataset/wfp-food-prices-for-colombia</t>
        </is>
      </c>
      <c r="D119" s="13" t="inlineStr">
        <is>
          <t>TIER_1B</t>
        </is>
      </c>
      <c r="E119" s="13" t="inlineStr">
        <is>
          <t>CKAN CSV 200, 71,566 rows, max date 2026-06-15, 'Tomatoes' COP 2975/KG wholesale</t>
        </is>
      </c>
      <c r="F119" s="13" t="inlineStr">
        <is>
          <t>LAC brief's WFP HDX lead, confirmed live via CKAN package_show + max-date check</t>
        </is>
      </c>
      <c r="G119" s="13" t="inlineStr">
        <is>
          <t>lac-2</t>
        </is>
      </c>
      <c r="H119" s="13" t="inlineStr"/>
      <c r="I119" s="13" t="inlineStr"/>
      <c r="J119" s="13" t="inlineStr"/>
      <c r="K119" s="13" t="inlineStr"/>
      <c r="L119" s="13" t="inlineStr"/>
      <c r="M119" s="13" t="inlineStr"/>
      <c r="N119" s="13" t="inlineStr"/>
      <c r="O119" s="13" t="inlineStr"/>
      <c r="P119" s="13" t="inlineStr"/>
      <c r="Q119" s="13" t="inlineStr">
        <is>
          <t>lac</t>
        </is>
      </c>
    </row>
    <row r="120">
      <c r="A120" s="13" t="inlineStr">
        <is>
          <t>ecuador</t>
        </is>
      </c>
      <c r="B120" s="13" t="inlineStr">
        <is>
          <t>Tia</t>
        </is>
      </c>
      <c r="C120" s="13" t="inlineStr">
        <is>
          <t>https://www.tia.com.ec/supermercado</t>
        </is>
      </c>
      <c r="D120" s="13" t="inlineStr">
        <is>
          <t>TIER_1A</t>
        </is>
      </c>
      <c r="E120" s="13" t="inlineStr">
        <is>
          <t>Magento SSR category page 200, 'ARANDANO BANDEJA 125 G' USD 1.59</t>
        </is>
      </c>
      <c r="F120" s="13" t="inlineStr">
        <is>
          <t>Spanish web search 'supermercado online Ecuador' + homepage nav-tree crawl to find the grocery vertical</t>
        </is>
      </c>
      <c r="G120" s="13" t="inlineStr">
        <is>
          <t>lac-2</t>
        </is>
      </c>
      <c r="H120" s="13" t="inlineStr"/>
      <c r="I120" s="13" t="inlineStr"/>
      <c r="J120" s="13" t="inlineStr"/>
      <c r="K120" s="13" t="inlineStr"/>
      <c r="L120" s="13" t="inlineStr"/>
      <c r="M120" s="13" t="inlineStr"/>
      <c r="N120" s="13" t="inlineStr"/>
      <c r="O120" s="13" t="inlineStr"/>
      <c r="P120" s="13" t="inlineStr"/>
      <c r="Q120" s="13" t="inlineStr">
        <is>
          <t>lac</t>
        </is>
      </c>
    </row>
    <row r="121">
      <c r="A121" s="13" t="inlineStr">
        <is>
          <t>ecuador</t>
        </is>
      </c>
      <c r="B121" s="13" t="inlineStr">
        <is>
          <t>WFP Ecuador food prices</t>
        </is>
      </c>
      <c r="C121" s="13" t="inlineStr">
        <is>
          <t>https://data.humdata.org/dataset/wfp-food-prices-for-ecuador</t>
        </is>
      </c>
      <c r="D121" s="13" t="inlineStr">
        <is>
          <t>TIER_1B</t>
        </is>
      </c>
      <c r="E121" s="13" t="inlineStr">
        <is>
          <t>CKAN CSV 200, 9,053 rows, max date 2026-06-15, 'Watermelons' USD 0.31/KG wholesale</t>
        </is>
      </c>
      <c r="F121" s="13" t="inlineStr">
        <is>
          <t>LAC brief's WFP HDX lead, confirmed live via CKAN package_show + max-date check</t>
        </is>
      </c>
      <c r="G121" s="13" t="inlineStr">
        <is>
          <t>lac-2</t>
        </is>
      </c>
      <c r="H121" s="13" t="inlineStr"/>
      <c r="I121" s="13" t="inlineStr"/>
      <c r="J121" s="13" t="inlineStr"/>
      <c r="K121" s="13" t="inlineStr"/>
      <c r="L121" s="13" t="inlineStr"/>
      <c r="M121" s="13" t="inlineStr"/>
      <c r="N121" s="13" t="inlineStr"/>
      <c r="O121" s="13" t="inlineStr"/>
      <c r="P121" s="13" t="inlineStr"/>
      <c r="Q121" s="13" t="inlineStr">
        <is>
          <t>lac</t>
        </is>
      </c>
    </row>
    <row r="122">
      <c r="A122" s="13" t="inlineStr">
        <is>
          <t>paraguay</t>
        </is>
      </c>
      <c r="B122" s="13" t="inlineStr">
        <is>
          <t>Casa Rica</t>
        </is>
      </c>
      <c r="C122" s="13" t="inlineStr">
        <is>
          <t>https://www.casarica.com.py/</t>
        </is>
      </c>
      <c r="D122" s="13" t="inlineStr">
        <is>
          <t>TIER_1A</t>
        </is>
      </c>
      <c r="E122" s="13" t="inlineStr">
        <is>
          <t>custom-platform SSR HTML 200, 'ACEITE CANUELAS GIRASOL 1.5LT' Gs. 29.000</t>
        </is>
      </c>
      <c r="F122" s="13" t="inlineStr">
        <is>
          <t>Spanish web search 'supermercado online Paraguay compras por internet delivery'</t>
        </is>
      </c>
      <c r="G122" s="13" t="inlineStr">
        <is>
          <t>lac-2</t>
        </is>
      </c>
      <c r="H122" s="13" t="inlineStr"/>
      <c r="I122" s="13" t="inlineStr"/>
      <c r="J122" s="13" t="inlineStr"/>
      <c r="K122" s="13" t="inlineStr"/>
      <c r="L122" s="13" t="inlineStr"/>
      <c r="M122" s="13" t="inlineStr"/>
      <c r="N122" s="13" t="inlineStr"/>
      <c r="O122" s="13" t="inlineStr"/>
      <c r="P122" s="13" t="inlineStr"/>
      <c r="Q122" s="13" t="inlineStr">
        <is>
          <t>lac</t>
        </is>
      </c>
    </row>
    <row r="123">
      <c r="A123" s="13" t="inlineStr">
        <is>
          <t>paraguay</t>
        </is>
      </c>
      <c r="B123" s="13" t="inlineStr">
        <is>
          <t>Arete Supermercados</t>
        </is>
      </c>
      <c r="C123" s="13" t="inlineStr">
        <is>
          <t>https://arete.com.py/</t>
        </is>
      </c>
      <c r="D123" s="13" t="inlineStr">
        <is>
          <t>TIER_1A</t>
        </is>
      </c>
      <c r="E123" s="13" t="inlineStr">
        <is>
          <t>same custom platform, SSR HTML 200, 'ARROZ ENOC INTEGRAL 1 KG' Gs. 14.000</t>
        </is>
      </c>
      <c r="F123" s="13" t="inlineStr">
        <is>
          <t>same Spanish web search result set as Casa Rica; verified sibling used the same /catalogo/*-c&lt;id&gt; URL shape</t>
        </is>
      </c>
      <c r="G123" s="13" t="inlineStr">
        <is>
          <t>lac-2</t>
        </is>
      </c>
      <c r="H123" s="13" t="inlineStr"/>
      <c r="I123" s="13" t="inlineStr"/>
      <c r="J123" s="13" t="inlineStr"/>
      <c r="K123" s="13" t="inlineStr"/>
      <c r="L123" s="13" t="inlineStr"/>
      <c r="M123" s="13" t="inlineStr"/>
      <c r="N123" s="13" t="inlineStr"/>
      <c r="O123" s="13" t="inlineStr"/>
      <c r="P123" s="13" t="inlineStr"/>
      <c r="Q123" s="13" t="inlineStr">
        <is>
          <t>lac</t>
        </is>
      </c>
    </row>
    <row r="124">
      <c r="A124" s="13" t="inlineStr">
        <is>
          <t>uruguay</t>
        </is>
      </c>
      <c r="B124" s="13" t="inlineStr">
        <is>
          <t>El Dorado</t>
        </is>
      </c>
      <c r="C124" s="13" t="inlineStr">
        <is>
          <t>https://www.eldorado.com.uy/</t>
        </is>
      </c>
      <c r="D124" s="13" t="inlineStr">
        <is>
          <t>TIER_1B</t>
        </is>
      </c>
      <c r="E124" s="13" t="inlineStr">
        <is>
          <t>VTEX catalog_system API 206, 'Banana Boliviana Kg (3430)' UYU 79.0</t>
        </is>
      </c>
      <c r="F124" s="13" t="inlineStr">
        <is>
          <t>Spanish web search 'supermercado online Uruguay compras por internet mercado' + VTEX fingerprint probe</t>
        </is>
      </c>
      <c r="G124" s="13" t="inlineStr">
        <is>
          <t>lac-2</t>
        </is>
      </c>
      <c r="H124" s="13" t="inlineStr"/>
      <c r="I124" s="13" t="inlineStr"/>
      <c r="J124" s="13" t="inlineStr"/>
      <c r="K124" s="13" t="inlineStr"/>
      <c r="L124" s="13" t="inlineStr"/>
      <c r="M124" s="13" t="inlineStr"/>
      <c r="N124" s="13" t="inlineStr"/>
      <c r="O124" s="13" t="inlineStr"/>
      <c r="P124" s="13" t="inlineStr"/>
      <c r="Q124" s="13" t="inlineStr">
        <is>
          <t>lac</t>
        </is>
      </c>
    </row>
    <row r="125">
      <c r="A125" s="13" t="inlineStr">
        <is>
          <t>venezuela_rb</t>
        </is>
      </c>
      <c r="B125" s="13" t="inlineStr">
        <is>
          <t>Mafabre</t>
        </is>
      </c>
      <c r="C125" s="13" t="inlineStr">
        <is>
          <t>https://mafabre.com/</t>
        </is>
      </c>
      <c r="D125" s="13" t="inlineStr">
        <is>
          <t>TIER_1B</t>
        </is>
      </c>
      <c r="E125" s="13" t="inlineStr">
        <is>
          <t>WooCommerce Store API 200, 'Arroz Mary Tipo I 900gr' USD 1.20 (120 minor units)</t>
        </is>
      </c>
      <c r="F125" s="13" t="inlineStr">
        <is>
          <t>Spanish web search 'supermercado online Venezuela compra por internet delivery' + WooCommerce fingerprint probe</t>
        </is>
      </c>
      <c r="G125" s="13" t="inlineStr">
        <is>
          <t>lac-2</t>
        </is>
      </c>
      <c r="H125" s="13" t="inlineStr"/>
      <c r="I125" s="13" t="inlineStr"/>
      <c r="J125" s="13" t="inlineStr"/>
      <c r="K125" s="13" t="inlineStr"/>
      <c r="L125" s="13" t="inlineStr"/>
      <c r="M125" s="13" t="inlineStr"/>
      <c r="N125" s="13" t="inlineStr"/>
      <c r="O125" s="13" t="inlineStr"/>
      <c r="P125" s="13" t="inlineStr"/>
      <c r="Q125" s="13" t="inlineStr">
        <is>
          <t>lac</t>
        </is>
      </c>
    </row>
    <row r="126">
      <c r="A126" s="13" t="inlineStr">
        <is>
          <t>venezuela_rb</t>
        </is>
      </c>
      <c r="B126" s="13" t="inlineStr">
        <is>
          <t>Supermercados Pao Trolado</t>
        </is>
      </c>
      <c r="C126" s="13" t="inlineStr">
        <is>
          <t>https://supermercados-paotrolado.com/</t>
        </is>
      </c>
      <c r="D126" s="13" t="inlineStr">
        <is>
          <t>TIER_1B</t>
        </is>
      </c>
      <c r="E126" s="13" t="inlineStr">
        <is>
          <t>WooCommerce Store API 200, 'Centro de Cama Mimlot 10 unidades' USD 7.38 (738 minor units)</t>
        </is>
      </c>
      <c r="F126" s="13" t="inlineStr">
        <is>
          <t>same Spanish web search result set as Mafabre + WooCommerce fingerprint probe</t>
        </is>
      </c>
      <c r="G126" s="13" t="inlineStr">
        <is>
          <t>lac-2</t>
        </is>
      </c>
      <c r="H126" s="13" t="inlineStr"/>
      <c r="I126" s="13" t="inlineStr"/>
      <c r="J126" s="13" t="inlineStr"/>
      <c r="K126" s="13" t="inlineStr"/>
      <c r="L126" s="13" t="inlineStr"/>
      <c r="M126" s="13" t="inlineStr"/>
      <c r="N126" s="13" t="inlineStr"/>
      <c r="O126" s="13" t="inlineStr"/>
      <c r="P126" s="13" t="inlineStr"/>
      <c r="Q126" s="13" t="inlineStr">
        <is>
          <t>lac</t>
        </is>
      </c>
    </row>
    <row r="127">
      <c r="A127" s="13" t="inlineStr">
        <is>
          <t>mexico</t>
        </is>
      </c>
      <c r="B127" s="13" t="inlineStr">
        <is>
          <t>Chedraui</t>
        </is>
      </c>
      <c r="C127" s="13" t="inlineStr">
        <is>
          <t>https://www.chedraui.com.mx/</t>
        </is>
      </c>
      <c r="D127" s="13" t="inlineStr">
        <is>
          <t>TIER_1B</t>
        </is>
      </c>
      <c r="E127" s="13" t="inlineStr">
        <is>
          <t>GET /api/catalog_system/pub/products/search?_from=0&amp;_to=9 -&gt; HTTP 206, 178KB JSON, 10 products. Sample: 'Tomate Saladet por kg' MXN 17.00 (items[0].sellers[0].commertialOffer.Price).</t>
        </is>
      </c>
      <c r="F127" s="13" t="inlineStr">
        <is>
          <t>LAC-specific lead: VTEX catalog fingerprint probe on major MX retailer</t>
        </is>
      </c>
      <c r="G127" s="13" t="inlineStr">
        <is>
          <t>lac-3</t>
        </is>
      </c>
      <c r="H127" s="13" t="inlineStr">
        <is>
          <t>VTEX</t>
        </is>
      </c>
      <c r="I127" s="13" t="inlineStr">
        <is>
          <t>supermarket</t>
        </is>
      </c>
      <c r="J127" s="13" t="inlineStr">
        <is>
          <t>retailer_sku</t>
        </is>
      </c>
      <c r="K127" s="13" t="inlineStr">
        <is>
          <t>MXN</t>
        </is>
      </c>
      <c r="L127" s="13" t="inlineStr">
        <is>
          <t>/api/catalog_system/pub/products/search</t>
        </is>
      </c>
      <c r="M127" s="13" t="n">
        <v>160</v>
      </c>
      <c r="N127" s="13" t="inlineStr">
        <is>
          <t>low</t>
        </is>
      </c>
      <c r="O127" s="13" t="inlineStr">
        <is>
          <t>Full-line supermarket incl. fresh produce (Frutas y Verduras dept confirmed).</t>
        </is>
      </c>
      <c r="P127" s="13" t="b">
        <v>0</v>
      </c>
      <c r="Q127" s="13" t="inlineStr">
        <is>
          <t>lac</t>
        </is>
      </c>
    </row>
    <row r="128">
      <c r="A128" s="13" t="inlineStr">
        <is>
          <t>mexico</t>
        </is>
      </c>
      <c r="B128" s="13" t="inlineStr">
        <is>
          <t>PROFECO Quien es Quien en los Precios (QQP)</t>
        </is>
      </c>
      <c r="C128" s="13" t="inlineStr">
        <is>
          <t>https://datos.profeco.gob.mx/datos_abiertos/qqp.php</t>
        </is>
      </c>
      <c r="D128" s="13" t="inlineStr">
        <is>
          <t>TIER_1B</t>
        </is>
      </c>
      <c r="E128" s="13" t="inlineStr">
        <is>
          <t>Discovered monthly plain-CSV mirror (not the advertised RAR) at https://repodatos.atdt.gob.mx/api_update/profeco/programa_quien_es_quien_precios_2025/10-2025_01.csv -&gt; HTTP 200, 166MB, 528,493 rows. Columns: producto,presentacion,marca,categoria,catalogo,precio,fecha_registro,cadena_comercial,giro,nombre_comercial,direccion,estado,municipio,lat,long. Sample: 'Aceite' Botella 1L Vegetal, Bodega Aurrera, MXN 37.00, 2025-10-01. Categoria list spans Frutas Frescas, Hortalizas Frescas, Carne de Ave/Res/Cerdo, Pescados y Mariscos, Derivados de Leche, Huevo, Pan, Tortillas, Arroz, Azucar, Cafe, Te, Cerveza, Vinos y Licores, Refrescos, etc.</t>
        </is>
      </c>
      <c r="F128" s="13" t="inlineStr">
        <is>
          <t>official_avg discovery: consumer-protection agency search per LAC brief</t>
        </is>
      </c>
      <c r="G128" s="13" t="inlineStr">
        <is>
          <t>lac-3</t>
        </is>
      </c>
      <c r="H128" s="13" t="inlineStr">
        <is>
          <t>Custom gov CSV</t>
        </is>
      </c>
      <c r="I128" s="13" t="inlineStr">
        <is>
          <t>official_avg</t>
        </is>
      </c>
      <c r="J128" s="13" t="inlineStr">
        <is>
          <t>official_avg</t>
        </is>
      </c>
      <c r="K128" s="13" t="inlineStr">
        <is>
          <t>MXN</t>
        </is>
      </c>
      <c r="L128" s="13" t="inlineStr">
        <is>
          <t>repodatos.atdt.gob.mx/api_update/profeco/... (monthly CSV per half-month)</t>
        </is>
      </c>
      <c r="M128" s="13" t="n">
        <v>180</v>
      </c>
      <c r="N128" s="13" t="inlineStr">
        <is>
          <t>low</t>
        </is>
      </c>
      <c r="O128" s="13" t="inlineStr">
        <is>
          <t>Consumer-protection agency (PROFECO) national comparative price survey across dozens of chains (Walmart/Bodega Aurrera, Soriana, Chedraui, Comercial Mexicana, La Comer, etc.) and thousands of stores. Whole-catalog walker candidate: iterate monthly CSV links on the datos.gob.mx dataset page. Data dictionary + metadata CSVs also fetched clean (200 OK).</t>
        </is>
      </c>
      <c r="P128" s="13" t="b">
        <v>0</v>
      </c>
      <c r="Q128" s="13" t="inlineStr">
        <is>
          <t>lac</t>
        </is>
      </c>
    </row>
    <row r="129">
      <c r="A129" s="13" t="inlineStr">
        <is>
          <t>mexico</t>
        </is>
      </c>
      <c r="B129" s="13" t="inlineStr">
        <is>
          <t>Soriana</t>
        </is>
      </c>
      <c r="C129" s="13" t="inlineStr">
        <is>
          <t>https://www.soriana.com/</t>
        </is>
      </c>
      <c r="D129" s="13" t="inlineStr">
        <is>
          <t>SKIP</t>
        </is>
      </c>
      <c r="E129" s="13" t="inlineStr">
        <is>
          <t>GET /api/catalog_system/pub/products/search?_from=0&amp;_to=9 -&gt; HTTP 403, 15 bytes body 'GF R01 BLocked!'. Application-tier WAF block on VTEX endpoint.</t>
        </is>
      </c>
      <c r="F129" s="13" t="inlineStr">
        <is>
          <t>VTEX fingerprint probe</t>
        </is>
      </c>
      <c r="G129" s="13" t="inlineStr">
        <is>
          <t>lac-3</t>
        </is>
      </c>
      <c r="H129" s="13" t="inlineStr">
        <is>
          <t>VTEX</t>
        </is>
      </c>
      <c r="I129" s="13" t="inlineStr">
        <is>
          <t>supermarket</t>
        </is>
      </c>
      <c r="J129" s="13" t="inlineStr">
        <is>
          <t>retailer_sku</t>
        </is>
      </c>
      <c r="K129" s="13" t="inlineStr">
        <is>
          <t>MXN</t>
        </is>
      </c>
      <c r="L129" s="13" t="inlineStr">
        <is>
          <t>/api/catalog_system/pub/products/search</t>
        </is>
      </c>
      <c r="M129" s="13" t="n">
        <v>0</v>
      </c>
      <c r="N129" s="13" t="inlineStr">
        <is>
          <t>medium</t>
        </is>
      </c>
      <c r="O129" s="13" t="inlineStr">
        <is>
          <t>Same VTEX platform as Chedraui but blocked; not worth iterating given Chedraui + PROFECO already cover MX.</t>
        </is>
      </c>
      <c r="P129" s="13" t="b">
        <v>0</v>
      </c>
      <c r="Q129" s="13" t="inlineStr">
        <is>
          <t>lac</t>
        </is>
      </c>
    </row>
    <row r="130">
      <c r="A130" s="13" t="inlineStr">
        <is>
          <t>guatemala</t>
        </is>
      </c>
      <c r="B130" s="13" t="inlineStr">
        <is>
          <t>La Torre</t>
        </is>
      </c>
      <c r="C130" s="13" t="inlineStr">
        <is>
          <t>https://www.latorre.com.gt/</t>
        </is>
      </c>
      <c r="D130" s="13" t="inlineStr">
        <is>
          <t>TIER_1B</t>
        </is>
      </c>
      <c r="E130" s="13" t="inlineStr">
        <is>
          <t>GET /api/catalog_system/pub/products/search?_from=0&amp;_to=9 -&gt; HTTP 206, 73.6KB JSON. Sample: 'Huevos Blancos Fátima' GTQ 46.40.</t>
        </is>
      </c>
      <c r="F130" s="13" t="inlineStr">
        <is>
          <t>VTEX fingerprint probe (Walmart-Centroamerica family)</t>
        </is>
      </c>
      <c r="G130" s="13" t="inlineStr">
        <is>
          <t>lac-3</t>
        </is>
      </c>
      <c r="H130" s="13" t="inlineStr">
        <is>
          <t>VTEX</t>
        </is>
      </c>
      <c r="I130" s="13" t="inlineStr">
        <is>
          <t>supermarket</t>
        </is>
      </c>
      <c r="J130" s="13" t="inlineStr">
        <is>
          <t>retailer_sku</t>
        </is>
      </c>
      <c r="K130" s="13" t="inlineStr">
        <is>
          <t>GTQ</t>
        </is>
      </c>
      <c r="L130" s="13" t="inlineStr">
        <is>
          <t>/api/catalog_system/pub/products/search</t>
        </is>
      </c>
      <c r="M130" s="13" t="n">
        <v>150</v>
      </c>
      <c r="N130" s="13" t="inlineStr">
        <is>
          <t>low</t>
        </is>
      </c>
      <c r="O130" s="13" t="inlineStr">
        <is>
          <t>Premium GT chain, full-line.</t>
        </is>
      </c>
      <c r="P130" s="13" t="b">
        <v>0</v>
      </c>
      <c r="Q130" s="13" t="inlineStr">
        <is>
          <t>lac</t>
        </is>
      </c>
    </row>
    <row r="131">
      <c r="A131" s="13" t="inlineStr">
        <is>
          <t>guatemala</t>
        </is>
      </c>
      <c r="B131" s="13" t="inlineStr">
        <is>
          <t>Paiz</t>
        </is>
      </c>
      <c r="C131" s="13" t="inlineStr">
        <is>
          <t>https://www.paiz.com.gt/</t>
        </is>
      </c>
      <c r="D131" s="13" t="inlineStr">
        <is>
          <t>TIER_1B</t>
        </is>
      </c>
      <c r="E131" s="13" t="inlineStr">
        <is>
          <t>GET /api/catalog_system/pub/products/search?_from=0&amp;_to=9 -&gt; HTTP 206, 203KB JSON. Sample: 'Separaditos Filete de Pechuga Pollo Rey - 5 lb' GTQ 198.00.</t>
        </is>
      </c>
      <c r="F131" s="13" t="inlineStr">
        <is>
          <t>VTEX fingerprint probe (Walmart-Centroamerica family)</t>
        </is>
      </c>
      <c r="G131" s="13" t="inlineStr">
        <is>
          <t>lac-3</t>
        </is>
      </c>
      <c r="H131" s="13" t="inlineStr">
        <is>
          <t>VTEX</t>
        </is>
      </c>
      <c r="I131" s="13" t="inlineStr">
        <is>
          <t>supermarket</t>
        </is>
      </c>
      <c r="J131" s="13" t="inlineStr">
        <is>
          <t>retailer_sku</t>
        </is>
      </c>
      <c r="K131" s="13" t="inlineStr">
        <is>
          <t>GTQ</t>
        </is>
      </c>
      <c r="L131" s="13" t="inlineStr">
        <is>
          <t>/api/catalog_system/pub/products/search</t>
        </is>
      </c>
      <c r="M131" s="13" t="n">
        <v>160</v>
      </c>
      <c r="N131" s="13" t="inlineStr">
        <is>
          <t>low</t>
        </is>
      </c>
      <c r="O131" s="13" t="inlineStr">
        <is>
          <t>Walmart Centroamerica banner, full-line incl. meat.</t>
        </is>
      </c>
      <c r="P131" s="13" t="b">
        <v>0</v>
      </c>
      <c r="Q131" s="13" t="inlineStr">
        <is>
          <t>lac</t>
        </is>
      </c>
    </row>
    <row r="132">
      <c r="A132" s="13" t="inlineStr">
        <is>
          <t>guatemala</t>
        </is>
      </c>
      <c r="B132" s="13" t="inlineStr">
        <is>
          <t>MaxiDespensa</t>
        </is>
      </c>
      <c r="C132" s="13" t="inlineStr">
        <is>
          <t>https://www.maxidespensa.com.gt/</t>
        </is>
      </c>
      <c r="D132" s="13" t="inlineStr">
        <is>
          <t>TIER_1B</t>
        </is>
      </c>
      <c r="E132" s="13" t="inlineStr">
        <is>
          <t>GET /api/catalog_system/pub/products/search?_from=0&amp;_to=9 -&gt; HTTP 206, 175KB JSON. Sample: 'Tomate De Cocina En Red 3 Libras' GTQ 5.40.</t>
        </is>
      </c>
      <c r="F132" s="13" t="inlineStr">
        <is>
          <t>VTEX fingerprint probe (Walmart-Centroamerica family)</t>
        </is>
      </c>
      <c r="G132" s="13" t="inlineStr">
        <is>
          <t>lac-3</t>
        </is>
      </c>
      <c r="H132" s="13" t="inlineStr">
        <is>
          <t>VTEX</t>
        </is>
      </c>
      <c r="I132" s="13" t="inlineStr">
        <is>
          <t>supermarket</t>
        </is>
      </c>
      <c r="J132" s="13" t="inlineStr">
        <is>
          <t>retailer_sku</t>
        </is>
      </c>
      <c r="K132" s="13" t="inlineStr">
        <is>
          <t>GTQ</t>
        </is>
      </c>
      <c r="L132" s="13" t="inlineStr">
        <is>
          <t>/api/catalog_system/pub/products/search</t>
        </is>
      </c>
      <c r="M132" s="13" t="n">
        <v>130</v>
      </c>
      <c r="N132" s="13" t="inlineStr">
        <is>
          <t>low</t>
        </is>
      </c>
      <c r="O132" s="13" t="inlineStr">
        <is>
          <t>Bodega-format Walmart banner, fresh produce confirmed.</t>
        </is>
      </c>
      <c r="P132" s="13" t="b">
        <v>0</v>
      </c>
      <c r="Q132" s="13" t="inlineStr">
        <is>
          <t>lac</t>
        </is>
      </c>
    </row>
    <row r="133">
      <c r="A133" s="13" t="inlineStr">
        <is>
          <t>guatemala</t>
        </is>
      </c>
      <c r="B133" s="13" t="inlineStr">
        <is>
          <t>WFP Food Prices - Guatemala</t>
        </is>
      </c>
      <c r="C133" s="13" t="inlineStr">
        <is>
          <t>https://data.humdata.org/dataset/wfp-food-prices-for-guatemala</t>
        </is>
      </c>
      <c r="D133" s="13" t="inlineStr">
        <is>
          <t>TIER_1B</t>
        </is>
      </c>
      <c r="E133" s="13" t="inlineStr">
        <is>
          <t>GET CSV https://data.humdata.org/dataset/.../wfp_food_prices_gtm.csv -&gt; HTTP 200, 2.29MB, 16,178 rows. Max date confirmed 2026-06-15 (live/recent). Sample: 'Maize (white)' 100 Pounds, Wholesale, La Terminal market, GTQ 67.75 (2026-06-15). Also carrots, onions, tomatoes, beans, coffee, bananas.</t>
        </is>
      </c>
      <c r="F133" s="13" t="inlineStr">
        <is>
          <t>official_avg discovery: WFP HDX CKAN panel per LAC brief</t>
        </is>
      </c>
      <c r="G133" s="13" t="inlineStr">
        <is>
          <t>lac-3</t>
        </is>
      </c>
      <c r="H133" s="13" t="inlineStr">
        <is>
          <t>CKAN/WFP HDX</t>
        </is>
      </c>
      <c r="I133" s="13" t="inlineStr">
        <is>
          <t>wholesale/retail (mixed)</t>
        </is>
      </c>
      <c r="J133" s="13" t="inlineStr">
        <is>
          <t>official_avg</t>
        </is>
      </c>
      <c r="K133" s="13" t="inlineStr">
        <is>
          <t>GTQ</t>
        </is>
      </c>
      <c r="L133" s="13" t="inlineStr">
        <is>
          <t>CKAN dataset wfp-food-prices-for-guatemala, resource wfp_food_prices_gtm.csv</t>
        </is>
      </c>
      <c r="M133" s="13" t="n">
        <v>45</v>
      </c>
      <c r="N133" s="13" t="inlineStr">
        <is>
          <t>low</t>
        </is>
      </c>
      <c r="O133" s="13" t="inlineStr">
        <is>
          <t>Wholesale + some retail channel, La Terminal market Guatemala City + others; complements but barely overlaps supermarket SKUs (fresh produce/grains/pulses focus).</t>
        </is>
      </c>
      <c r="P133" s="13" t="b">
        <v>0</v>
      </c>
      <c r="Q133" s="13" t="inlineStr">
        <is>
          <t>lac</t>
        </is>
      </c>
    </row>
    <row r="134">
      <c r="A134" s="13" t="inlineStr">
        <is>
          <t>honduras</t>
        </is>
      </c>
      <c r="B134" s="13" t="inlineStr">
        <is>
          <t>Walmart (Honduras)</t>
        </is>
      </c>
      <c r="C134" s="13" t="inlineStr">
        <is>
          <t>https://www.walmart.com.hn/</t>
        </is>
      </c>
      <c r="D134" s="13" t="inlineStr">
        <is>
          <t>TIER_1B</t>
        </is>
      </c>
      <c r="E134" s="13" t="inlineStr">
        <is>
          <t>GET /api/catalog_system/pub/products/search?_from=0&amp;_to=9 -&gt; HTTP 206, 142KB JSON. Sample: 'Banano Maduro Selección Especial - 3 Unidades Por Libra' HNL 10.00.</t>
        </is>
      </c>
      <c r="F134" s="13" t="inlineStr">
        <is>
          <t>VTEX fingerprint probe (Walmart-Centroamerica family)</t>
        </is>
      </c>
      <c r="G134" s="13" t="inlineStr">
        <is>
          <t>lac-3</t>
        </is>
      </c>
      <c r="H134" s="13" t="inlineStr">
        <is>
          <t>VTEX</t>
        </is>
      </c>
      <c r="I134" s="13" t="inlineStr">
        <is>
          <t>supermarket</t>
        </is>
      </c>
      <c r="J134" s="13" t="inlineStr">
        <is>
          <t>retailer_sku</t>
        </is>
      </c>
      <c r="K134" s="13" t="inlineStr">
        <is>
          <t>HNL</t>
        </is>
      </c>
      <c r="L134" s="13" t="inlineStr">
        <is>
          <t>/api/catalog_system/pub/products/search</t>
        </is>
      </c>
      <c r="M134" s="13" t="n">
        <v>155</v>
      </c>
      <c r="N134" s="13" t="inlineStr">
        <is>
          <t>low</t>
        </is>
      </c>
      <c r="O134" s="13" t="inlineStr">
        <is>
          <t>Full-line, fresh produce confirmed at index 0.</t>
        </is>
      </c>
      <c r="P134" s="13" t="b">
        <v>0</v>
      </c>
      <c r="Q134" s="13" t="inlineStr">
        <is>
          <t>lac</t>
        </is>
      </c>
    </row>
    <row r="135">
      <c r="A135" s="13" t="inlineStr">
        <is>
          <t>honduras</t>
        </is>
      </c>
      <c r="B135" s="13" t="inlineStr">
        <is>
          <t>La Colonia</t>
        </is>
      </c>
      <c r="C135" s="13" t="inlineStr">
        <is>
          <t>https://www.lacolonia.hn/</t>
        </is>
      </c>
      <c r="D135" s="13" t="inlineStr">
        <is>
          <t>SKIP</t>
        </is>
      </c>
      <c r="E135" s="13" t="inlineStr">
        <is>
          <t>GET /api/catalog_system/pub/products/search -&gt; connection failed (curl exit, HTTP 000), domain likely wrong or DNS does not resolve as tested.</t>
        </is>
      </c>
      <c r="F135" s="13" t="inlineStr">
        <is>
          <t>web search for HN retail chains</t>
        </is>
      </c>
      <c r="G135" s="13" t="inlineStr">
        <is>
          <t>lac-3</t>
        </is>
      </c>
      <c r="H135" s="13" t="inlineStr">
        <is>
          <t>unknown</t>
        </is>
      </c>
      <c r="I135" s="13" t="inlineStr">
        <is>
          <t>supermarket</t>
        </is>
      </c>
      <c r="J135" s="13" t="inlineStr">
        <is>
          <t>retailer_sku</t>
        </is>
      </c>
      <c r="K135" s="13" t="inlineStr">
        <is>
          <t>HNL</t>
        </is>
      </c>
      <c r="L135" s="13" t="inlineStr"/>
      <c r="M135" s="13" t="n">
        <v>0</v>
      </c>
      <c r="N135" s="13" t="inlineStr">
        <is>
          <t>medium</t>
        </is>
      </c>
      <c r="O135" s="13" t="inlineStr">
        <is>
          <t>Not chased further given Walmart HN already verified for HN; La Colonia website URL needs re-confirmation.</t>
        </is>
      </c>
      <c r="P135" s="13" t="b">
        <v>0</v>
      </c>
      <c r="Q135" s="13" t="inlineStr">
        <is>
          <t>lac</t>
        </is>
      </c>
    </row>
    <row r="136">
      <c r="A136" s="13" t="inlineStr">
        <is>
          <t>honduras</t>
        </is>
      </c>
      <c r="B136" s="13" t="inlineStr">
        <is>
          <t>Diunsa</t>
        </is>
      </c>
      <c r="C136" s="13" t="inlineStr">
        <is>
          <t>https://www.diunsa.hn/</t>
        </is>
      </c>
      <c r="D136" s="13" t="inlineStr">
        <is>
          <t>SKIP</t>
        </is>
      </c>
      <c r="E136" s="13" t="inlineStr">
        <is>
          <t>GET /api/catalog_system/pub/products/search -&gt; HTTP 404, 127KB HTML 'Página no encontrada'. Not VTEX at that path; general-merchandise retailer (electronics/appliances) not primarily F&amp;B, deprioritized.</t>
        </is>
      </c>
      <c r="F136" s="13" t="inlineStr">
        <is>
          <t>web search for HN retail chains</t>
        </is>
      </c>
      <c r="G136" s="13" t="inlineStr">
        <is>
          <t>lac-3</t>
        </is>
      </c>
      <c r="H136" s="13" t="inlineStr">
        <is>
          <t>unknown</t>
        </is>
      </c>
      <c r="I136" s="13" t="inlineStr">
        <is>
          <t>department_store</t>
        </is>
      </c>
      <c r="J136" s="13" t="inlineStr">
        <is>
          <t>retailer_sku</t>
        </is>
      </c>
      <c r="K136" s="13" t="inlineStr">
        <is>
          <t>HNL</t>
        </is>
      </c>
      <c r="L136" s="13" t="inlineStr">
        <is>
          <t>/api/catalog_system/pub/products/search</t>
        </is>
      </c>
      <c r="M136" s="13" t="n">
        <v>0</v>
      </c>
      <c r="N136" s="13" t="inlineStr">
        <is>
          <t>medium</t>
        </is>
      </c>
      <c r="O136" s="13" t="inlineStr">
        <is>
          <t>Non-grocery-first retailer; not chased further.</t>
        </is>
      </c>
      <c r="P136" s="13" t="b">
        <v>0</v>
      </c>
      <c r="Q136" s="13" t="inlineStr">
        <is>
          <t>lac</t>
        </is>
      </c>
    </row>
    <row r="137">
      <c r="A137" s="13" t="inlineStr">
        <is>
          <t>honduras</t>
        </is>
      </c>
      <c r="B137" s="13" t="inlineStr">
        <is>
          <t>WFP Food Prices - Honduras</t>
        </is>
      </c>
      <c r="C137" s="13" t="inlineStr">
        <is>
          <t>https://data.humdata.org/dataset/wfp-food-prices-for-honduras</t>
        </is>
      </c>
      <c r="D137" s="13" t="inlineStr">
        <is>
          <t>SKIP</t>
        </is>
      </c>
      <c r="E137" s="13" t="inlineStr">
        <is>
          <t>GET CSV -&gt; HTTP 200, 1,701 rows, but max date sorted = 2022-06-15 despite HDX package metadata showing last_modified 2026-08-02 (metadata refresh without new observations). Stale panel per brief's explicit rule.</t>
        </is>
      </c>
      <c r="F137" s="13" t="inlineStr">
        <is>
          <t>official_avg discovery: WFP HDX CKAN panel per LAC brief</t>
        </is>
      </c>
      <c r="G137" s="13" t="inlineStr">
        <is>
          <t>lac-3</t>
        </is>
      </c>
      <c r="H137" s="13" t="inlineStr">
        <is>
          <t>CKAN/WFP HDX</t>
        </is>
      </c>
      <c r="I137" s="13" t="inlineStr">
        <is>
          <t>wholesale</t>
        </is>
      </c>
      <c r="J137" s="13" t="inlineStr">
        <is>
          <t>official_avg</t>
        </is>
      </c>
      <c r="K137" s="13" t="inlineStr">
        <is>
          <t>HNL</t>
        </is>
      </c>
      <c r="L137" s="13" t="inlineStr">
        <is>
          <t>CKAN dataset wfp-food-prices-for-honduras, resource wfp_food_prices_hnd.csv</t>
        </is>
      </c>
      <c r="M137" s="13" t="n">
        <v>0</v>
      </c>
      <c r="N137" s="13" t="inlineStr">
        <is>
          <t>low</t>
        </is>
      </c>
      <c r="O137" s="13" t="inlineStr">
        <is>
          <t>STALE — last real observation 2022-06-15, &gt;4 years old. Do not onboard.</t>
        </is>
      </c>
      <c r="P137" s="13" t="b">
        <v>0</v>
      </c>
      <c r="Q137" s="13" t="inlineStr">
        <is>
          <t>lac</t>
        </is>
      </c>
    </row>
    <row r="138">
      <c r="A138" s="13" t="inlineStr">
        <is>
          <t>el_salvador</t>
        </is>
      </c>
      <c r="B138" s="13" t="inlineStr">
        <is>
          <t>Walmart (El Salvador / Walmart Centroamerica)</t>
        </is>
      </c>
      <c r="C138" s="13" t="inlineStr">
        <is>
          <t>https://www.walmart.com.sv/</t>
        </is>
      </c>
      <c r="D138" s="13" t="inlineStr">
        <is>
          <t>TIER_1B</t>
        </is>
      </c>
      <c r="E138" s="13" t="inlineStr">
        <is>
          <t>GET /api/catalog_system/pub/products/search?_from=0&amp;_to=9 -&gt; HTTP 206, 210KB JSON. Sample: 'Carne Molida Don Cristobal Especial - Precio Indicado Por Libra (454 g)' USD 3.70.</t>
        </is>
      </c>
      <c r="F138" s="13" t="inlineStr">
        <is>
          <t>VTEX fingerprint probe (Walmart-Centroamerica family)</t>
        </is>
      </c>
      <c r="G138" s="13" t="inlineStr">
        <is>
          <t>lac-3</t>
        </is>
      </c>
      <c r="H138" s="13" t="inlineStr">
        <is>
          <t>VTEX</t>
        </is>
      </c>
      <c r="I138" s="13" t="inlineStr">
        <is>
          <t>supermarket</t>
        </is>
      </c>
      <c r="J138" s="13" t="inlineStr">
        <is>
          <t>retailer_sku</t>
        </is>
      </c>
      <c r="K138" s="13" t="inlineStr">
        <is>
          <t>USD</t>
        </is>
      </c>
      <c r="L138" s="13" t="inlineStr">
        <is>
          <t>/api/catalog_system/pub/products/search</t>
        </is>
      </c>
      <c r="M138" s="13" t="n">
        <v>155</v>
      </c>
      <c r="N138" s="13" t="inlineStr">
        <is>
          <t>low</t>
        </is>
      </c>
      <c r="O138" s="13" t="inlineStr">
        <is>
          <t>Full-line, meat confirmed. El Salvador uses USD.</t>
        </is>
      </c>
      <c r="P138" s="13" t="b">
        <v>0</v>
      </c>
      <c r="Q138" s="13" t="inlineStr">
        <is>
          <t>lac</t>
        </is>
      </c>
    </row>
    <row r="139">
      <c r="A139" s="13" t="inlineStr">
        <is>
          <t>el_salvador</t>
        </is>
      </c>
      <c r="B139" s="13" t="inlineStr">
        <is>
          <t>Super Selectos</t>
        </is>
      </c>
      <c r="C139" s="13" t="inlineStr">
        <is>
          <t>https://www.superselectos.com/</t>
        </is>
      </c>
      <c r="D139" s="13" t="inlineStr">
        <is>
          <t>SKIP</t>
        </is>
      </c>
      <c r="E139" s="13" t="inlineStr">
        <is>
          <t>GET /api/catalog_system/pub/products/search -&gt; HTTP 200 but plain marketing HTML (50.8KB), not VTEX JSON. Not a VTEX tenant at that path.</t>
        </is>
      </c>
      <c r="F139" s="13" t="inlineStr">
        <is>
          <t>web search for SV retail chains</t>
        </is>
      </c>
      <c r="G139" s="13" t="inlineStr">
        <is>
          <t>lac-3</t>
        </is>
      </c>
      <c r="H139" s="13" t="inlineStr">
        <is>
          <t>unknown</t>
        </is>
      </c>
      <c r="I139" s="13" t="inlineStr">
        <is>
          <t>supermarket</t>
        </is>
      </c>
      <c r="J139" s="13" t="inlineStr">
        <is>
          <t>retailer_sku</t>
        </is>
      </c>
      <c r="K139" s="13" t="inlineStr">
        <is>
          <t>USD</t>
        </is>
      </c>
      <c r="L139" s="13" t="inlineStr">
        <is>
          <t>/api/catalog_system/pub/products/search</t>
        </is>
      </c>
      <c r="M139" s="13" t="n">
        <v>0</v>
      </c>
      <c r="N139" s="13" t="inlineStr">
        <is>
          <t>medium</t>
        </is>
      </c>
      <c r="O139" s="13" t="inlineStr">
        <is>
          <t>El Salvador's largest chain by store count; deprioritized after Walmart CA verified — worth a Tier-2/API-sniff revisit given its scale.</t>
        </is>
      </c>
      <c r="P139" s="13" t="b">
        <v>0</v>
      </c>
      <c r="Q139" s="13" t="inlineStr">
        <is>
          <t>lac</t>
        </is>
      </c>
    </row>
    <row r="140">
      <c r="A140" s="13" t="inlineStr">
        <is>
          <t>el_salvador</t>
        </is>
      </c>
      <c r="B140" s="13" t="inlineStr">
        <is>
          <t>WFP Food Prices - El Salvador</t>
        </is>
      </c>
      <c r="C140" s="13" t="inlineStr">
        <is>
          <t>https://data.humdata.org/dataset/wfp-food-prices-for-el-salvador</t>
        </is>
      </c>
      <c r="D140" s="13" t="inlineStr">
        <is>
          <t>TIER_1B</t>
        </is>
      </c>
      <c r="E140" s="13" t="inlineStr">
        <is>
          <t>GET CSV -&gt; HTTP 200, 7,561 rows, max date confirmed 2026-06-15 (live). Sample: 'Maize (white)' 46 KG Wholesale San Salvador USD 26.49 (2026-06-15); also 'Maize (white)' Libra Retail USD 0.34.</t>
        </is>
      </c>
      <c r="F140" s="13" t="inlineStr">
        <is>
          <t>official_avg discovery: WFP HDX CKAN panel per LAC brief</t>
        </is>
      </c>
      <c r="G140" s="13" t="inlineStr">
        <is>
          <t>lac-3</t>
        </is>
      </c>
      <c r="H140" s="13" t="inlineStr">
        <is>
          <t>CKAN/WFP HDX</t>
        </is>
      </c>
      <c r="I140" s="13" t="inlineStr">
        <is>
          <t>wholesale/retail (mixed)</t>
        </is>
      </c>
      <c r="J140" s="13" t="inlineStr">
        <is>
          <t>official_avg</t>
        </is>
      </c>
      <c r="K140" s="13" t="inlineStr">
        <is>
          <t>USD</t>
        </is>
      </c>
      <c r="L140" s="13" t="inlineStr">
        <is>
          <t>CKAN dataset wfp-food-prices-for-el-salvador, resource wfp_food_prices_slv.csv</t>
        </is>
      </c>
      <c r="M140" s="13" t="n">
        <v>40</v>
      </c>
      <c r="N140" s="13" t="inlineStr">
        <is>
          <t>low</t>
        </is>
      </c>
      <c r="O140" s="13" t="inlineStr">
        <is>
          <t>Both wholesale and retail channel rows present; national-average style market coverage.</t>
        </is>
      </c>
      <c r="P140" s="13" t="b">
        <v>0</v>
      </c>
      <c r="Q140" s="13" t="inlineStr">
        <is>
          <t>lac</t>
        </is>
      </c>
    </row>
    <row r="141">
      <c r="A141" s="13" t="inlineStr">
        <is>
          <t>nicaragua</t>
        </is>
      </c>
      <c r="B141" s="13" t="inlineStr">
        <is>
          <t>Walmart (Nicaragua)</t>
        </is>
      </c>
      <c r="C141" s="13" t="inlineStr">
        <is>
          <t>https://www.walmart.com.ni/</t>
        </is>
      </c>
      <c r="D141" s="13" t="inlineStr">
        <is>
          <t>TIER_1B</t>
        </is>
      </c>
      <c r="E141" s="13" t="inlineStr">
        <is>
          <t>GET /api/catalog_system/pub/products/search?_from=0&amp;_to=9 -&gt; HTTP 206, 180KB JSON. Sample: 'Tomate Criollo Hortifruti 4 unidades por libra' NIO 40.00.</t>
        </is>
      </c>
      <c r="F141" s="13" t="inlineStr">
        <is>
          <t>VTEX fingerprint probe (Walmart-Centroamerica family)</t>
        </is>
      </c>
      <c r="G141" s="13" t="inlineStr">
        <is>
          <t>lac-3</t>
        </is>
      </c>
      <c r="H141" s="13" t="inlineStr">
        <is>
          <t>VTEX</t>
        </is>
      </c>
      <c r="I141" s="13" t="inlineStr">
        <is>
          <t>supermarket</t>
        </is>
      </c>
      <c r="J141" s="13" t="inlineStr">
        <is>
          <t>retailer_sku</t>
        </is>
      </c>
      <c r="K141" s="13" t="inlineStr">
        <is>
          <t>NIO</t>
        </is>
      </c>
      <c r="L141" s="13" t="inlineStr">
        <is>
          <t>/api/catalog_system/pub/products/search</t>
        </is>
      </c>
      <c r="M141" s="13" t="n">
        <v>150</v>
      </c>
      <c r="N141" s="13" t="inlineStr">
        <is>
          <t>low</t>
        </is>
      </c>
      <c r="O141" s="13" t="inlineStr">
        <is>
          <t>Full-line, fresh produce confirmed.</t>
        </is>
      </c>
      <c r="P141" s="13" t="b">
        <v>0</v>
      </c>
      <c r="Q141" s="13" t="inlineStr">
        <is>
          <t>lac</t>
        </is>
      </c>
    </row>
    <row r="142">
      <c r="A142" s="13" t="inlineStr">
        <is>
          <t>nicaragua</t>
        </is>
      </c>
      <c r="B142" s="13" t="inlineStr">
        <is>
          <t>La Union</t>
        </is>
      </c>
      <c r="C142" s="13" t="inlineStr">
        <is>
          <t>https://www.launion.com.ni/</t>
        </is>
      </c>
      <c r="D142" s="13" t="inlineStr">
        <is>
          <t>TIER_1B</t>
        </is>
      </c>
      <c r="E142" s="13" t="inlineStr">
        <is>
          <t>GET /api/catalog_system/pub/products/search?_from=0&amp;_to=9 -&gt; HTTP 206, 171KB JSON. Sample: 'Filete Pechuga Pollo Sin Piel - 1Lb' NIO 132.00.</t>
        </is>
      </c>
      <c r="F142" s="13" t="inlineStr">
        <is>
          <t>VTEX fingerprint probe</t>
        </is>
      </c>
      <c r="G142" s="13" t="inlineStr">
        <is>
          <t>lac-3</t>
        </is>
      </c>
      <c r="H142" s="13" t="inlineStr">
        <is>
          <t>VTEX</t>
        </is>
      </c>
      <c r="I142" s="13" t="inlineStr">
        <is>
          <t>supermarket</t>
        </is>
      </c>
      <c r="J142" s="13" t="inlineStr">
        <is>
          <t>retailer_sku</t>
        </is>
      </c>
      <c r="K142" s="13" t="inlineStr">
        <is>
          <t>NIO</t>
        </is>
      </c>
      <c r="L142" s="13" t="inlineStr">
        <is>
          <t>/api/catalog_system/pub/products/search</t>
        </is>
      </c>
      <c r="M142" s="13" t="n">
        <v>140</v>
      </c>
      <c r="N142" s="13" t="inlineStr">
        <is>
          <t>low</t>
        </is>
      </c>
      <c r="O142" s="13" t="inlineStr">
        <is>
          <t>Second independent VTEX tenant for NI (not the Walmart-CA one), meat confirmed.</t>
        </is>
      </c>
      <c r="P142" s="13" t="b">
        <v>0</v>
      </c>
      <c r="Q142" s="13" t="inlineStr">
        <is>
          <t>lac</t>
        </is>
      </c>
    </row>
    <row r="143">
      <c r="A143" s="13" t="inlineStr">
        <is>
          <t>nicaragua</t>
        </is>
      </c>
      <c r="B143" s="13" t="inlineStr">
        <is>
          <t>WFP Food Prices - Nicaragua</t>
        </is>
      </c>
      <c r="C143" s="13" t="inlineStr">
        <is>
          <t>https://data.humdata.org/dataset/wfp-food-prices-for-nicaragua</t>
        </is>
      </c>
      <c r="D143" s="13" t="inlineStr">
        <is>
          <t>TIER_1B</t>
        </is>
      </c>
      <c r="E143" s="13" t="inlineStr">
        <is>
          <t>GET CSV -&gt; HTTP 200, max date confirmed 2026-05-15 (live). Sample: 'Plantains' Pound, Retail, National Average, USD 0.44 (2026-05-15); also squashes, tomatoes.</t>
        </is>
      </c>
      <c r="F143" s="13" t="inlineStr">
        <is>
          <t>official_avg discovery: WFP HDX CKAN panel per LAC brief</t>
        </is>
      </c>
      <c r="G143" s="13" t="inlineStr">
        <is>
          <t>lac-3</t>
        </is>
      </c>
      <c r="H143" s="13" t="inlineStr">
        <is>
          <t>CKAN/WFP HDX</t>
        </is>
      </c>
      <c r="I143" s="13" t="inlineStr">
        <is>
          <t>retail</t>
        </is>
      </c>
      <c r="J143" s="13" t="inlineStr">
        <is>
          <t>official_avg</t>
        </is>
      </c>
      <c r="K143" s="13" t="inlineStr">
        <is>
          <t>USD</t>
        </is>
      </c>
      <c r="L143" s="13" t="inlineStr">
        <is>
          <t>CKAN dataset wfp-food-prices-for-nicaragua, resource wfp_food_prices_nic.csv</t>
        </is>
      </c>
      <c r="M143" s="13" t="n">
        <v>35</v>
      </c>
      <c r="N143" s="13" t="inlineStr">
        <is>
          <t>low</t>
        </is>
      </c>
      <c r="O143" s="13" t="inlineStr">
        <is>
          <t>Retail national-average channel, fresh produce focus.</t>
        </is>
      </c>
      <c r="P143" s="13" t="b">
        <v>0</v>
      </c>
      <c r="Q143" s="13" t="inlineStr">
        <is>
          <t>lac</t>
        </is>
      </c>
    </row>
    <row r="144">
      <c r="A144" s="13" t="inlineStr">
        <is>
          <t>costa_rica</t>
        </is>
      </c>
      <c r="B144" s="13" t="inlineStr">
        <is>
          <t>Walmart / MasxMenos (Costa Rica)</t>
        </is>
      </c>
      <c r="C144" s="13" t="inlineStr">
        <is>
          <t>https://www.walmart.co.cr/</t>
        </is>
      </c>
      <c r="D144" s="13" t="inlineStr">
        <is>
          <t>TIER_1B</t>
        </is>
      </c>
      <c r="E144" s="13" t="inlineStr">
        <is>
          <t>GET /api/catalog_system/pub/products/search?_from=0&amp;_to=9 -&gt; HTTP 206, 189KB JSON. Sample: 'Huevo Gallina Precio Indicado Por Kilo Don Cristobal Marrón Cartón de 30 Uds' CRC 950.26. Same VTEX tenant/catalog also answers at masxmenos.cr (identical productId/price returned) — one probe covers both CR storefronts.</t>
        </is>
      </c>
      <c r="F144" s="13" t="inlineStr">
        <is>
          <t>VTEX fingerprint probe (Walmart-Centroamerica family)</t>
        </is>
      </c>
      <c r="G144" s="13" t="inlineStr">
        <is>
          <t>lac-3</t>
        </is>
      </c>
      <c r="H144" s="13" t="inlineStr">
        <is>
          <t>VTEX</t>
        </is>
      </c>
      <c r="I144" s="13" t="inlineStr">
        <is>
          <t>supermarket</t>
        </is>
      </c>
      <c r="J144" s="13" t="inlineStr">
        <is>
          <t>retailer_sku</t>
        </is>
      </c>
      <c r="K144" s="13" t="inlineStr">
        <is>
          <t>CRC</t>
        </is>
      </c>
      <c r="L144" s="13" t="inlineStr">
        <is>
          <t>/api/catalog_system/pub/products/search</t>
        </is>
      </c>
      <c r="M144" s="13" t="n">
        <v>160</v>
      </c>
      <c r="N144" s="13" t="inlineStr">
        <is>
          <t>low</t>
        </is>
      </c>
      <c r="O144" s="13" t="inlineStr">
        <is>
          <t>Walmart Centroamerica's CR banners (Walmart + MasxMenos) share one VTEX catalog.</t>
        </is>
      </c>
      <c r="P144" s="13" t="b">
        <v>0</v>
      </c>
      <c r="Q144" s="13" t="inlineStr">
        <is>
          <t>lac</t>
        </is>
      </c>
    </row>
    <row r="145">
      <c r="A145" s="13" t="inlineStr">
        <is>
          <t>costa_rica</t>
        </is>
      </c>
      <c r="B145" s="13" t="inlineStr">
        <is>
          <t>Automercado</t>
        </is>
      </c>
      <c r="C145" s="13" t="inlineStr">
        <is>
          <t>https://www.automercado.cr/</t>
        </is>
      </c>
      <c r="D145" s="13" t="inlineStr">
        <is>
          <t>SKIP</t>
        </is>
      </c>
      <c r="E145" s="13" t="inlineStr">
        <is>
          <t>GET /api/catalog_system/pub/products/search -&gt; HTTP 200 but plain marketing HTML (17.3KB), not VTEX JSON.</t>
        </is>
      </c>
      <c r="F145" s="13" t="inlineStr">
        <is>
          <t>web search for CR retail chains</t>
        </is>
      </c>
      <c r="G145" s="13" t="inlineStr">
        <is>
          <t>lac-3</t>
        </is>
      </c>
      <c r="H145" s="13" t="inlineStr">
        <is>
          <t>unknown</t>
        </is>
      </c>
      <c r="I145" s="13" t="inlineStr">
        <is>
          <t>supermarket</t>
        </is>
      </c>
      <c r="J145" s="13" t="inlineStr">
        <is>
          <t>retailer_sku</t>
        </is>
      </c>
      <c r="K145" s="13" t="inlineStr">
        <is>
          <t>CRC</t>
        </is>
      </c>
      <c r="L145" s="13" t="inlineStr">
        <is>
          <t>/api/catalog_system/pub/products/search</t>
        </is>
      </c>
      <c r="M145" s="13" t="n">
        <v>0</v>
      </c>
      <c r="N145" s="13" t="inlineStr">
        <is>
          <t>medium</t>
        </is>
      </c>
      <c r="O145" s="13" t="inlineStr">
        <is>
          <t>CR's premium chain; deprioritized after Walmart CR verified — worth a Tier-2/API-sniff revisit.</t>
        </is>
      </c>
      <c r="P145" s="13" t="b">
        <v>0</v>
      </c>
      <c r="Q145" s="13" t="inlineStr">
        <is>
          <t>lac</t>
        </is>
      </c>
    </row>
    <row r="146">
      <c r="A146" s="13" t="inlineStr">
        <is>
          <t>panama</t>
        </is>
      </c>
      <c r="B146" s="13" t="inlineStr">
        <is>
          <t>Riba Smith</t>
        </is>
      </c>
      <c r="C146" s="13" t="inlineStr">
        <is>
          <t>https://www.ribasmith.com/</t>
        </is>
      </c>
      <c r="D146" s="13" t="inlineStr">
        <is>
          <t>TIER_1B</t>
        </is>
      </c>
      <c r="E146" s="13" t="inlineStr">
        <is>
          <t>POST /graphql {products(search:"arroz",pageSize:5){...}} -&gt; HTTP 200 JSON. Sample: 'ARROZ PELIN ARROZ ESPECIAL 20 LBS' USD 16.48.</t>
        </is>
      </c>
      <c r="F146" s="13" t="inlineStr">
        <is>
          <t>web search for PA retail chains + Magento GraphQL fingerprint</t>
        </is>
      </c>
      <c r="G146" s="13" t="inlineStr">
        <is>
          <t>lac-3</t>
        </is>
      </c>
      <c r="H146" s="13" t="inlineStr">
        <is>
          <t>Magento 2</t>
        </is>
      </c>
      <c r="I146" s="13" t="inlineStr">
        <is>
          <t>supermarket</t>
        </is>
      </c>
      <c r="J146" s="13" t="inlineStr">
        <is>
          <t>retailer_sku</t>
        </is>
      </c>
      <c r="K146" s="13" t="inlineStr">
        <is>
          <t>USD</t>
        </is>
      </c>
      <c r="L146" s="13" t="inlineStr">
        <is>
          <t>/graphql</t>
        </is>
      </c>
      <c r="M146" s="13" t="n">
        <v>150</v>
      </c>
      <c r="N146" s="13" t="inlineStr">
        <is>
          <t>low</t>
        </is>
      </c>
      <c r="O146" s="13" t="inlineStr">
        <is>
          <t>Full-line premium PA chain; GraphQL open, no auth required for product search.</t>
        </is>
      </c>
      <c r="P146" s="13" t="b">
        <v>0</v>
      </c>
      <c r="Q146" s="13" t="inlineStr">
        <is>
          <t>lac</t>
        </is>
      </c>
    </row>
    <row r="147">
      <c r="A147" s="13" t="inlineStr">
        <is>
          <t>panama</t>
        </is>
      </c>
      <c r="B147" s="13" t="inlineStr">
        <is>
          <t>Super 99</t>
        </is>
      </c>
      <c r="C147" s="13" t="inlineStr">
        <is>
          <t>https://www.super99.com/</t>
        </is>
      </c>
      <c r="D147" s="13" t="inlineStr">
        <is>
          <t>SKIP</t>
        </is>
      </c>
      <c r="E147" s="13" t="inlineStr">
        <is>
          <t>POST /graphql -&gt; HTTP 200, schema reachable (confirmed via error messages resolving correctly) but {products(search:"arroz")} returns 'Internal server error' (search engine not wired to this query shape); {products(filter:{name:{match:"arroz"}})} returns HTTP 200 with items:[] (empty — index likely needs a different field/locale). No product+price obtained within probe budget.</t>
        </is>
      </c>
      <c r="F147" s="13" t="inlineStr">
        <is>
          <t>web search for PA retail chains + Magento GraphQL fingerprint</t>
        </is>
      </c>
      <c r="G147" s="13" t="inlineStr">
        <is>
          <t>lac-3</t>
        </is>
      </c>
      <c r="H147" s="13" t="inlineStr">
        <is>
          <t>Magento 2 (meta keywords confirm 'Magento, Varien, E-commerce')</t>
        </is>
      </c>
      <c r="I147" s="13" t="inlineStr">
        <is>
          <t>supermarket</t>
        </is>
      </c>
      <c r="J147" s="13" t="inlineStr">
        <is>
          <t>retailer_sku</t>
        </is>
      </c>
      <c r="K147" s="13" t="inlineStr">
        <is>
          <t>USD</t>
        </is>
      </c>
      <c r="L147" s="13" t="inlineStr">
        <is>
          <t>/graphql</t>
        </is>
      </c>
      <c r="M147" s="13" t="n">
        <v>0</v>
      </c>
      <c r="N147" s="13" t="inlineStr">
        <is>
          <t>medium</t>
        </is>
      </c>
      <c r="O147" s="13" t="inlineStr">
        <is>
          <t>GraphQL endpoint is live and unauthenticated — worth a follow-up with correct search/filter syntax (e.g. categoryId browse instead of full-text search) rather than a hard block.</t>
        </is>
      </c>
      <c r="P147" s="13" t="b">
        <v>0</v>
      </c>
      <c r="Q147" s="13" t="inlineStr">
        <is>
          <t>lac</t>
        </is>
      </c>
    </row>
    <row r="148">
      <c r="A148" s="13" t="inlineStr">
        <is>
          <t>dominican_republic</t>
        </is>
      </c>
      <c r="B148" s="13" t="inlineStr">
        <is>
          <t>Supermercados Nacional</t>
        </is>
      </c>
      <c r="C148" s="13" t="inlineStr">
        <is>
          <t>https://www.supermercadosnacional.com/</t>
        </is>
      </c>
      <c r="D148" s="13" t="inlineStr">
        <is>
          <t>TIER_1B</t>
        </is>
      </c>
      <c r="E148" s="13" t="inlineStr">
        <is>
          <t>POST /graphql {products(search:"arroz",pageSize:5){...}} -&gt; HTTP 200 JSON. Sample: 'Arroz Selecto Líder 10 Lb' DOP 327.95.</t>
        </is>
      </c>
      <c r="F148" s="13" t="inlineStr">
        <is>
          <t>web search for DO retail chains + Magento GraphQL fingerprint</t>
        </is>
      </c>
      <c r="G148" s="13" t="inlineStr">
        <is>
          <t>lac-3</t>
        </is>
      </c>
      <c r="H148" s="13" t="inlineStr">
        <is>
          <t>Magento 2</t>
        </is>
      </c>
      <c r="I148" s="13" t="inlineStr">
        <is>
          <t>supermarket</t>
        </is>
      </c>
      <c r="J148" s="13" t="inlineStr">
        <is>
          <t>retailer_sku</t>
        </is>
      </c>
      <c r="K148" s="13" t="inlineStr">
        <is>
          <t>DOP</t>
        </is>
      </c>
      <c r="L148" s="13" t="inlineStr">
        <is>
          <t>/graphql</t>
        </is>
      </c>
      <c r="M148" s="13" t="n">
        <v>150</v>
      </c>
      <c r="N148" s="13" t="inlineStr">
        <is>
          <t>low</t>
        </is>
      </c>
      <c r="O148" s="13" t="inlineStr">
        <is>
          <t>Full-line DR chain, GraphQL open.</t>
        </is>
      </c>
      <c r="P148" s="13" t="b">
        <v>0</v>
      </c>
      <c r="Q148" s="13" t="inlineStr">
        <is>
          <t>lac</t>
        </is>
      </c>
    </row>
    <row r="149">
      <c r="A149" s="13" t="inlineStr">
        <is>
          <t>dominican_republic</t>
        </is>
      </c>
      <c r="B149" s="13" t="inlineStr">
        <is>
          <t>Jumbo (Dominican Republic)</t>
        </is>
      </c>
      <c r="C149" s="13" t="inlineStr">
        <is>
          <t>https://www.jumbo.com.do/</t>
        </is>
      </c>
      <c r="D149" s="13" t="inlineStr">
        <is>
          <t>SKIP</t>
        </is>
      </c>
      <c r="E149" s="13" t="inlineStr">
        <is>
          <t>GET /api/catalog_system/pub/products/search -&gt; HTTP 403, 4.6KB body containing 'Cloudflare' branding (Cloudflare-managed challenge). Matches known_blockers.md Cloudflare-strict pattern.</t>
        </is>
      </c>
      <c r="F149" s="13" t="inlineStr">
        <is>
          <t>VTEX fingerprint probe</t>
        </is>
      </c>
      <c r="G149" s="13" t="inlineStr">
        <is>
          <t>lac-3</t>
        </is>
      </c>
      <c r="H149" s="13" t="inlineStr">
        <is>
          <t>VTEX (behind Cloudflare)</t>
        </is>
      </c>
      <c r="I149" s="13" t="inlineStr">
        <is>
          <t>supermarket</t>
        </is>
      </c>
      <c r="J149" s="13" t="inlineStr">
        <is>
          <t>retailer_sku</t>
        </is>
      </c>
      <c r="K149" s="13" t="inlineStr">
        <is>
          <t>DOP</t>
        </is>
      </c>
      <c r="L149" s="13" t="inlineStr">
        <is>
          <t>/api/catalog_system/pub/products/search</t>
        </is>
      </c>
      <c r="M149" s="13" t="n">
        <v>0</v>
      </c>
      <c r="N149" s="13" t="inlineStr">
        <is>
          <t>medium</t>
        </is>
      </c>
      <c r="O149" s="13" t="inlineStr">
        <is>
          <t>Cloudflare 403 on VTEX endpoint; not chased with Playwright given DO already has Nacional verified.</t>
        </is>
      </c>
      <c r="P149" s="13" t="b">
        <v>0</v>
      </c>
      <c r="Q149" s="13" t="inlineStr">
        <is>
          <t>lac</t>
        </is>
      </c>
    </row>
    <row r="150">
      <c r="A150" s="13" t="inlineStr">
        <is>
          <t>dominican_republic</t>
        </is>
      </c>
      <c r="B150" s="13" t="inlineStr">
        <is>
          <t>WFP Food Prices - Dominican Republic</t>
        </is>
      </c>
      <c r="C150" s="13" t="inlineStr">
        <is>
          <t>https://data.humdata.org/dataset/wfp-food-prices-for-dominican-republic</t>
        </is>
      </c>
      <c r="D150" s="13" t="inlineStr">
        <is>
          <t>SKIP</t>
        </is>
      </c>
      <c r="E150" s="13" t="inlineStr">
        <is>
          <t>GET CSV -&gt; HTTP 200, 2,593 rows, max date confirmed 2025-02-15 — ~18 months stale relative to the current date (2026-08-06), unlike the fresh (2026-05/06) panels found for GT/SV/NI/MX.</t>
        </is>
      </c>
      <c r="F150" s="13" t="inlineStr">
        <is>
          <t>official_avg discovery: WFP HDX CKAN panel per LAC brief</t>
        </is>
      </c>
      <c r="G150" s="13" t="inlineStr">
        <is>
          <t>lac-3</t>
        </is>
      </c>
      <c r="H150" s="13" t="inlineStr">
        <is>
          <t>CKAN/WFP HDX</t>
        </is>
      </c>
      <c r="I150" s="13" t="inlineStr">
        <is>
          <t>wholesale/retail</t>
        </is>
      </c>
      <c r="J150" s="13" t="inlineStr">
        <is>
          <t>official_avg</t>
        </is>
      </c>
      <c r="K150" s="13" t="inlineStr">
        <is>
          <t>DOP</t>
        </is>
      </c>
      <c r="L150" s="13" t="inlineStr">
        <is>
          <t>CKAN dataset wfp-food-prices-for-dominican-republic, resource wfp_food_prices_dom.csv</t>
        </is>
      </c>
      <c r="M150" s="13" t="n">
        <v>0</v>
      </c>
      <c r="N150" s="13" t="inlineStr">
        <is>
          <t>low</t>
        </is>
      </c>
      <c r="O150" s="13" t="inlineStr">
        <is>
          <t>Borderline-stale; flagged rather than counted as live coverage per brief's staleness rule.</t>
        </is>
      </c>
      <c r="P150" s="13" t="b">
        <v>0</v>
      </c>
      <c r="Q150" s="13" t="inlineStr">
        <is>
          <t>lac</t>
        </is>
      </c>
    </row>
    <row r="151">
      <c r="A151" s="13" t="inlineStr">
        <is>
          <t>puerto_rico</t>
        </is>
      </c>
      <c r="B151" s="13" t="inlineStr">
        <is>
          <t>Supermercados Selectos</t>
        </is>
      </c>
      <c r="C151" s="13" t="inlineStr">
        <is>
          <t>https://www.selectoseasyshop.com/</t>
        </is>
      </c>
      <c r="D151" s="13" t="inlineStr">
        <is>
          <t>TIER_1B</t>
        </is>
      </c>
      <c r="E151" s="13" t="inlineStr">
        <is>
          <t>GET https://api.freshop.ncrcloud.com/2/products?app_key=selectos&amp;limit=5&amp;store_id=5988 -&gt; HTTP 200 JSON. Store list (/1/stores?app_key=selectos) returns 40 PR stores (Guaynabo, Mayaguez, Hatillo, Ponce, Carolina, San Juan, etc.), total catalog 85,381 items app-wide / 17,742 items for the Guaynabo store alone. Sample: 'ARROZ RICO GRANO MEDIANO' USD 2.69; 'PLATANO VERDE-MADURO PR' USD 1.00; 'Pernil de Cerdo Delantero Entero Fresco' USD 2.49; 'INDULAC LECHE REDUCIDA EN GRASA 2%' USD 2.09.</t>
        </is>
      </c>
      <c r="F151" s="13" t="inlineStr">
        <is>
          <t>platform-fingerprint reuse: Freshop app_key brute-force against known NCR Freshop host</t>
        </is>
      </c>
      <c r="G151" s="13" t="inlineStr">
        <is>
          <t>lac-3</t>
        </is>
      </c>
      <c r="H151" s="13" t="inlineStr">
        <is>
          <t>NCR Freshop</t>
        </is>
      </c>
      <c r="I151" s="13" t="inlineStr">
        <is>
          <t>supermarket</t>
        </is>
      </c>
      <c r="J151" s="13" t="inlineStr">
        <is>
          <t>retailer_sku</t>
        </is>
      </c>
      <c r="K151" s="13" t="inlineStr">
        <is>
          <t>USD</t>
        </is>
      </c>
      <c r="L151" s="13" t="inlineStr">
        <is>
          <t>api.freshop.ncrcloud.com/2/products?app_key=selectos</t>
        </is>
      </c>
      <c r="M151" s="13" t="n">
        <v>170</v>
      </c>
      <c r="N151" s="13" t="inlineStr">
        <is>
          <t>low</t>
        </is>
      </c>
      <c r="O151" s="13" t="inlineStr">
        <is>
          <t>Largest verified PR find: 40-store chain, full-line (produce/meat/dairy/beverages confirmed), same Freshop platform already used in-repo for waltermart (PH) — app_key discovered by guessing common PR chain names against the known Freshop host.</t>
        </is>
      </c>
      <c r="P151" s="13" t="b">
        <v>0</v>
      </c>
      <c r="Q151" s="13" t="inlineStr">
        <is>
          <t>lac</t>
        </is>
      </c>
    </row>
    <row r="152">
      <c r="A152" s="13" t="inlineStr">
        <is>
          <t>puerto_rico</t>
        </is>
      </c>
      <c r="B152" s="13" t="inlineStr">
        <is>
          <t>Amigo / Econo / Pueblo / Supermax</t>
        </is>
      </c>
      <c r="C152" s="13" t="inlineStr">
        <is>
          <t>https://www.amigo.com/ , https://www.econo.com/</t>
        </is>
      </c>
      <c r="D152" s="13" t="inlineStr">
        <is>
          <t>SKIP</t>
        </is>
      </c>
      <c r="E152" s="13" t="inlineStr">
        <is>
          <t>amigo.com -&gt; HTTP 200, 49KB brochure HTML, no shop/cart markup beyond nav labels. econo.com -&gt; HTTP 200, 18KB, no shop path found. pueblo.com / supermax.pr / amigosupermarket.pr -&gt; connection failures (HTTP 000). No WooCommerce/Shopify/VTEX/Magento fingerprint found on any.</t>
        </is>
      </c>
      <c r="F152" s="13" t="inlineStr">
        <is>
          <t>web search for PR retail chains</t>
        </is>
      </c>
      <c r="G152" s="13" t="inlineStr">
        <is>
          <t>lac-3</t>
        </is>
      </c>
      <c r="H152" s="13" t="inlineStr">
        <is>
          <t>unknown</t>
        </is>
      </c>
      <c r="I152" s="13" t="inlineStr">
        <is>
          <t>supermarket</t>
        </is>
      </c>
      <c r="J152" s="13" t="inlineStr">
        <is>
          <t>retailer_sku</t>
        </is>
      </c>
      <c r="K152" s="13" t="inlineStr">
        <is>
          <t>USD</t>
        </is>
      </c>
      <c r="L152" s="13" t="inlineStr"/>
      <c r="M152" s="13" t="n">
        <v>0</v>
      </c>
      <c r="N152" s="13" t="inlineStr">
        <is>
          <t>medium</t>
        </is>
      </c>
      <c r="O152" s="13" t="inlineStr">
        <is>
          <t>PR's other major chains appear to be brochure/weekly-shopper only; Selectos already gives strong PR coverage so not chased further.</t>
        </is>
      </c>
      <c r="P152" s="13" t="b">
        <v>0</v>
      </c>
      <c r="Q152" s="13" t="inlineStr">
        <is>
          <t>lac</t>
        </is>
      </c>
    </row>
    <row r="153">
      <c r="A153" s="13" t="inlineStr">
        <is>
          <t>cuba</t>
        </is>
      </c>
      <c r="B153" s="13" t="inlineStr">
        <is>
          <t>MercoCaribe (Habana)</t>
        </is>
      </c>
      <c r="C153" s="13" t="inlineStr">
        <is>
          <t>https://habana.mercocaribe.com/</t>
        </is>
      </c>
      <c r="D153" s="13" t="inlineStr">
        <is>
          <t>TIER_1B</t>
        </is>
      </c>
      <c r="E153" s="13" t="inlineStr">
        <is>
          <t>GET /wp-json/wc/store/v1/products?per_page=5 -&gt; HTTP 200, 16.9KB JSON. Sample: 'Jugo de Albaricoque (Goze) 200Ml' price 55 minor units / currency_minor_unit 2 = EUR 0.55 (WooCommerce Store API minor-unit format). SSR listing page also shows real product links/names: 'Pollo Muslo y Contramuslo (Delightfull Farms) 4.53kg', 'Yogur Natural Azucarado Larga Vida (Feiraco) 4x125g', 'Tomate Frito (Orlando) brik 780g'.</t>
        </is>
      </c>
      <c r="F153" s="13" t="inlineStr">
        <is>
          <t>local-language (Spanish) search: 'Cuba tienda online alimentos precios MLC supermercado'</t>
        </is>
      </c>
      <c r="G153" s="13" t="inlineStr">
        <is>
          <t>lac-3</t>
        </is>
      </c>
      <c r="H153" s="13" t="inlineStr">
        <is>
          <t>WooCommerce</t>
        </is>
      </c>
      <c r="I153" s="13" t="inlineStr">
        <is>
          <t>supermarket (MLC/foreign-card channel)</t>
        </is>
      </c>
      <c r="J153" s="13" t="inlineStr">
        <is>
          <t>retailer_sku</t>
        </is>
      </c>
      <c r="K153" s="13" t="inlineStr">
        <is>
          <t>EUR</t>
        </is>
      </c>
      <c r="L153" s="13" t="inlineStr">
        <is>
          <t>/wp-json/wc/store/v1/products</t>
        </is>
      </c>
      <c r="M153" s="13" t="n">
        <v>60</v>
      </c>
      <c r="N153" s="13" t="inlineStr">
        <is>
          <t>low</t>
        </is>
      </c>
      <c r="O153" s="13" t="inlineStr">
        <is>
          <t>IMPORTANT CAVEAT: this is one of Cuba's 'MLC'-style virtual stores for foreign-card/diaspora-funded purchases (delivery inside Cuba, payment in EUR/USD via international card), not the domestic CUP retail network. Assortment observed is packaged/frozen imports (juice, chicken, dairy, snacks, canned goods) — no fresh produce/local-market categories seen. Treat fnb_leaves_est as a ceiling for packaged-goods leaves only; flag the pricing-currency mismatch (EUR, not domestic CUP) before onboarding.</t>
        </is>
      </c>
      <c r="P153" s="13" t="b">
        <v>0</v>
      </c>
      <c r="Q153" s="13" t="inlineStr">
        <is>
          <t>lac</t>
        </is>
      </c>
    </row>
    <row r="154">
      <c r="A154" s="13" t="inlineStr">
        <is>
          <t>bahamas_the</t>
        </is>
      </c>
      <c r="B154" s="13" t="inlineStr">
        <is>
          <t>Solomon's Fresh Market / SuperCenter (AML Foods)</t>
        </is>
      </c>
      <c r="C154" s="13" t="inlineStr">
        <is>
          <t>https://www.solomonsfreshmarkets.com/</t>
        </is>
      </c>
      <c r="D154" s="13" t="inlineStr">
        <is>
          <t>SKIP</t>
        </is>
      </c>
      <c r="E154" s="13" t="inlineStr">
        <is>
          <t>GET / -&gt; HTTP 200, 5.9KB Vue.js SPA shell ('webcart-ui' app, ECRS Catapult WebCart platform per noscript message and asset paths). Base path /s/1000-19/; guessed endpoints /s/1000-19/api/products and /api/products both HTTP 404. No open JSON catalog endpoint found within probe budget; needs a Playwright network capture to find the real internal API.</t>
        </is>
      </c>
      <c r="F154" s="13" t="inlineStr">
        <is>
          <t>web search for Bahamas retail chains</t>
        </is>
      </c>
      <c r="G154" s="13" t="inlineStr">
        <is>
          <t>lac-3</t>
        </is>
      </c>
      <c r="H154" s="13" t="inlineStr">
        <is>
          <t>ECRS Catapult WebCart</t>
        </is>
      </c>
      <c r="I154" s="13" t="inlineStr">
        <is>
          <t>supermarket</t>
        </is>
      </c>
      <c r="J154" s="13" t="inlineStr">
        <is>
          <t>retailer_sku</t>
        </is>
      </c>
      <c r="K154" s="13" t="inlineStr">
        <is>
          <t>BSD</t>
        </is>
      </c>
      <c r="L154" s="13" t="inlineStr">
        <is>
          <t>n/a (SPA, internal API not found)</t>
        </is>
      </c>
      <c r="M154" s="13" t="n">
        <v>0</v>
      </c>
      <c r="N154" s="13" t="inlineStr">
        <is>
          <t>high</t>
        </is>
      </c>
      <c r="O154" s="13" t="inlineStr">
        <is>
          <t>Real functioning online grocery SPA confirmed to exist (AML Foods press release confirms launch); highest-value next step for Bahamas is a Playwright network-trace of this site.</t>
        </is>
      </c>
      <c r="P154" s="13" t="b">
        <v>0</v>
      </c>
      <c r="Q154" s="13" t="inlineStr">
        <is>
          <t>lac</t>
        </is>
      </c>
    </row>
    <row r="155">
      <c r="A155" s="13" t="inlineStr">
        <is>
          <t>bahamas_the</t>
        </is>
      </c>
      <c r="B155" s="13" t="inlineStr">
        <is>
          <t>Super Value Quality Markets</t>
        </is>
      </c>
      <c r="C155" s="13" t="inlineStr">
        <is>
          <t>https://www.supervaluequalitymarkets.com/</t>
        </is>
      </c>
      <c r="D155" s="13" t="inlineStr">
        <is>
          <t>SKIP</t>
        </is>
      </c>
      <c r="E155" s="13" t="inlineStr">
        <is>
          <t>GET / -&gt; HTTP 200, WordPress + WooCommerce plugin present (wp-json, wp-content detected) but /wp-json/wc/store/v1/products -&gt; HTTP 404 'rest_no_route' (Store API route not registered/enabled). Site only exposes department landing pages (dairy/, produce/, meat-poultry-seafood/) and a /weekly-specials/ page that renders as PDF/image flyer content (no price text in HTML).</t>
        </is>
      </c>
      <c r="F155" s="13" t="inlineStr">
        <is>
          <t>web search for Bahamas retail chains</t>
        </is>
      </c>
      <c r="G155" s="13" t="inlineStr">
        <is>
          <t>lac-3</t>
        </is>
      </c>
      <c r="H155" s="13" t="inlineStr">
        <is>
          <t>WordPress + WooCommerce (Store API disabled)</t>
        </is>
      </c>
      <c r="I155" s="13" t="inlineStr">
        <is>
          <t>supermarket</t>
        </is>
      </c>
      <c r="J155" s="13" t="inlineStr">
        <is>
          <t>retailer_sku</t>
        </is>
      </c>
      <c r="K155" s="13" t="inlineStr">
        <is>
          <t>BSD</t>
        </is>
      </c>
      <c r="L155" s="13" t="inlineStr"/>
      <c r="M155" s="13" t="n">
        <v>0</v>
      </c>
      <c r="N155" s="13" t="inlineStr">
        <is>
          <t>medium</t>
        </is>
      </c>
      <c r="O155" s="13" t="inlineStr">
        <is>
          <t>13-store Bahamian chain; catalog is not exposed per-SKU on the web, only weekly flyer imagery.</t>
        </is>
      </c>
      <c r="P155" s="13" t="b">
        <v>0</v>
      </c>
      <c r="Q155" s="13" t="inlineStr">
        <is>
          <t>lac</t>
        </is>
      </c>
    </row>
    <row r="156">
      <c r="A156" s="13" t="inlineStr">
        <is>
          <t>aruba</t>
        </is>
      </c>
      <c r="B156" s="13" t="inlineStr">
        <is>
          <t>Ling &amp; Sons Food Market</t>
        </is>
      </c>
      <c r="C156" s="13" t="inlineStr">
        <is>
          <t>https://shop.lingandsons.com/</t>
        </is>
      </c>
      <c r="D156" s="13" t="inlineStr">
        <is>
          <t>TIER_1B</t>
        </is>
      </c>
      <c r="E156" s="13" t="inlineStr">
        <is>
          <t>GET /products.json?limit=5 -&gt; HTTP 200, 12.8KB JSON. Sample: 'Green Cabbage' AWG 4.49 (confirmed via /meta.json: currency AWG, money_format 'Afl{{amount}}', 1,850 published products, 126 collections).</t>
        </is>
      </c>
      <c r="F156" s="13" t="inlineStr">
        <is>
          <t>local-language (Spanish/English) search: Aruba grocery stores</t>
        </is>
      </c>
      <c r="G156" s="13" t="inlineStr">
        <is>
          <t>lac-3</t>
        </is>
      </c>
      <c r="H156" s="13" t="inlineStr">
        <is>
          <t>Shopify</t>
        </is>
      </c>
      <c r="I156" s="13" t="inlineStr">
        <is>
          <t>supermarket</t>
        </is>
      </c>
      <c r="J156" s="13" t="inlineStr">
        <is>
          <t>retailer_sku</t>
        </is>
      </c>
      <c r="K156" s="13" t="inlineStr">
        <is>
          <t>AWG</t>
        </is>
      </c>
      <c r="L156" s="13" t="inlineStr">
        <is>
          <t>/products.json</t>
        </is>
      </c>
      <c r="M156" s="13" t="n">
        <v>140</v>
      </c>
      <c r="N156" s="13" t="inlineStr">
        <is>
          <t>low</t>
        </is>
      </c>
      <c r="O156" s="13" t="inlineStr">
        <is>
          <t>Fresh produce confirmed (Green Cabbage). Aruba's premium grocery chain.</t>
        </is>
      </c>
      <c r="P156" s="13" t="b">
        <v>0</v>
      </c>
      <c r="Q156" s="13" t="inlineStr">
        <is>
          <t>lac</t>
        </is>
      </c>
    </row>
    <row r="157">
      <c r="A157" s="13" t="inlineStr">
        <is>
          <t>aruba</t>
        </is>
      </c>
      <c r="B157" s="13" t="inlineStr">
        <is>
          <t>Super Food Aruba (Superfood Plaza)</t>
        </is>
      </c>
      <c r="C157" s="13" t="inlineStr">
        <is>
          <t>https://shop.superfoodaruba.com/</t>
        </is>
      </c>
      <c r="D157" s="13" t="inlineStr">
        <is>
          <t>SKIP</t>
        </is>
      </c>
      <c r="E157" s="13" t="inlineStr">
        <is>
          <t>GET / -&gt; HTTP 200, WordPress detected (wp-content/wp-json) but /wp-json/wc/store/v1/products -&gt; HTTP 404 'rest_no_route'. /shop path -&gt; HTTP 200 but no price text in SSR HTML (client-rendered cart widget behind a '#!/' hashbang route). No open catalog JSON endpoint found within probe budget.</t>
        </is>
      </c>
      <c r="F157" s="13" t="inlineStr">
        <is>
          <t>web search for Aruba retail chains</t>
        </is>
      </c>
      <c r="G157" s="13" t="inlineStr">
        <is>
          <t>lac-3</t>
        </is>
      </c>
      <c r="H157" s="13" t="inlineStr">
        <is>
          <t>WordPress + custom cart plugin</t>
        </is>
      </c>
      <c r="I157" s="13" t="inlineStr">
        <is>
          <t>supermarket</t>
        </is>
      </c>
      <c r="J157" s="13" t="inlineStr">
        <is>
          <t>retailer_sku</t>
        </is>
      </c>
      <c r="K157" s="13" t="inlineStr">
        <is>
          <t>AWG</t>
        </is>
      </c>
      <c r="L157" s="13" t="inlineStr">
        <is>
          <t>n/a (SPA-shell cart plugin, not WooCommerce core)</t>
        </is>
      </c>
      <c r="M157" s="13" t="n">
        <v>0</v>
      </c>
      <c r="N157" s="13" t="inlineStr">
        <is>
          <t>high</t>
        </is>
      </c>
      <c r="O157" s="13" t="inlineStr">
        <is>
          <t>Needs Playwright network capture; Ling &amp; Sons already gives AW coverage.</t>
        </is>
      </c>
      <c r="P157" s="13" t="b">
        <v>0</v>
      </c>
      <c r="Q157" s="13" t="inlineStr">
        <is>
          <t>lac</t>
        </is>
      </c>
    </row>
    <row r="158">
      <c r="A158" s="13" t="inlineStr">
        <is>
          <t>curacao</t>
        </is>
      </c>
      <c r="B158" s="13" t="inlineStr">
        <is>
          <t>Van den Tweel Supermarket</t>
        </is>
      </c>
      <c r="C158" s="13" t="inlineStr">
        <is>
          <t>https://shopvdtcuracao.com/</t>
        </is>
      </c>
      <c r="D158" s="13" t="inlineStr">
        <is>
          <t>TIER_1B</t>
        </is>
      </c>
      <c r="E158" s="13" t="inlineStr">
        <is>
          <t>POST /graphql {products(search:"melk",pageSize:5){...}} -&gt; HTTP 200 JSON. Sample: 'AH Volle melk' ANG 3.29; also 'AH Magere melk' ANG 2.89, 'AH Halfvolle melk' ANG 2.89.</t>
        </is>
      </c>
      <c r="F158" s="13" t="inlineStr">
        <is>
          <t>local-language (Dutch) search: 'supermarkt online Curacao boodschappen'</t>
        </is>
      </c>
      <c r="G158" s="13" t="inlineStr">
        <is>
          <t>lac-3</t>
        </is>
      </c>
      <c r="H158" s="13" t="inlineStr">
        <is>
          <t>Magento 2</t>
        </is>
      </c>
      <c r="I158" s="13" t="inlineStr">
        <is>
          <t>supermarket</t>
        </is>
      </c>
      <c r="J158" s="13" t="inlineStr">
        <is>
          <t>retailer_sku</t>
        </is>
      </c>
      <c r="K158" s="13" t="inlineStr">
        <is>
          <t>ANG</t>
        </is>
      </c>
      <c r="L158" s="13" t="inlineStr">
        <is>
          <t>/graphql</t>
        </is>
      </c>
      <c r="M158" s="13" t="n">
        <v>140</v>
      </c>
      <c r="N158" s="13" t="inlineStr">
        <is>
          <t>low</t>
        </is>
      </c>
      <c r="O158" s="13" t="inlineStr">
        <is>
          <t>Full-line CW chain (dairy confirmed), Albert Heijn-sourced private label suggests Dutch supply chain.</t>
        </is>
      </c>
      <c r="P158" s="13" t="b">
        <v>0</v>
      </c>
      <c r="Q158" s="13" t="inlineStr">
        <is>
          <t>lac</t>
        </is>
      </c>
    </row>
    <row r="159">
      <c r="A159" s="13" t="inlineStr">
        <is>
          <t>curacao</t>
        </is>
      </c>
      <c r="B159" s="13" t="inlineStr">
        <is>
          <t>Mangusa Hypermarket</t>
        </is>
      </c>
      <c r="C159" s="13" t="inlineStr">
        <is>
          <t>https://www.mangusahypermarket.com/</t>
        </is>
      </c>
      <c r="D159" s="13" t="inlineStr">
        <is>
          <t>TIER_1B</t>
        </is>
      </c>
      <c r="E159" s="13" t="inlineStr">
        <is>
          <t>GET /wp-json/wc/store/v1/products?per_page=5 -&gt; HTTP 200, 19.4KB JSON. Sample: 'Unoli Canola oil 2ltr (6 pieces)' price 8410 minor units / currency_minor_unit 2 = XCG 84.10 (note: Curacao's currency migrated from ANG to the new Caribbean Guilder 'XCG' — WooCommerce Store API already reflects the new code).</t>
        </is>
      </c>
      <c r="F159" s="13" t="inlineStr">
        <is>
          <t>local-language (Dutch) search: 'supermarkt online Curacao boodschappen'</t>
        </is>
      </c>
      <c r="G159" s="13" t="inlineStr">
        <is>
          <t>lac-3</t>
        </is>
      </c>
      <c r="H159" s="13" t="inlineStr">
        <is>
          <t>WooCommerce</t>
        </is>
      </c>
      <c r="I159" s="13" t="inlineStr">
        <is>
          <t>supermarket</t>
        </is>
      </c>
      <c r="J159" s="13" t="inlineStr">
        <is>
          <t>retailer_sku</t>
        </is>
      </c>
      <c r="K159" s="13" t="inlineStr">
        <is>
          <t>XCG</t>
        </is>
      </c>
      <c r="L159" s="13" t="inlineStr">
        <is>
          <t>/wp-json/wc/store/v1/products</t>
        </is>
      </c>
      <c r="M159" s="13" t="n">
        <v>120</v>
      </c>
      <c r="N159" s="13" t="inlineStr">
        <is>
          <t>low</t>
        </is>
      </c>
      <c r="O159" s="13" t="inlineStr">
        <is>
          <t>Hypermarket format, bulk/wholesale-leaning SKUs. Note ANG-&gt;XCG currency transition — downstream normalization must treat XCG as the live code for CW/SXM, not the legacy ANG.</t>
        </is>
      </c>
      <c r="P159" s="13" t="b">
        <v>0</v>
      </c>
      <c r="Q159" s="13" t="inlineStr">
        <is>
          <t>lac</t>
        </is>
      </c>
    </row>
    <row r="160">
      <c r="A160" s="13" t="inlineStr">
        <is>
          <t>curacao</t>
        </is>
      </c>
      <c r="B160" s="13" t="inlineStr">
        <is>
          <t>Vreugdenhil Supermarkt</t>
        </is>
      </c>
      <c r="C160" s="13" t="inlineStr">
        <is>
          <t>https://www.vreugdenhilcuracao.com/</t>
        </is>
      </c>
      <c r="D160" s="13" t="inlineStr">
        <is>
          <t>SKIP</t>
        </is>
      </c>
      <c r="E160" s="13" t="inlineStr">
        <is>
          <t>GET / -&gt; HTTP 200, 405-byte body containing only an &lt;iframe src="https://curacao-info.com/..."&gt; wrapper to a third-party directory listing page. No real e-commerce site at this domain.</t>
        </is>
      </c>
      <c r="F160" s="13" t="inlineStr">
        <is>
          <t>local-language (Dutch) search: 'supermarkt online Curacao boodschappen'</t>
        </is>
      </c>
      <c r="G160" s="13" t="inlineStr">
        <is>
          <t>lac-3</t>
        </is>
      </c>
      <c r="H160" s="13" t="inlineStr">
        <is>
          <t>iframe wrapper / no site</t>
        </is>
      </c>
      <c r="I160" s="13" t="inlineStr">
        <is>
          <t>supermarket</t>
        </is>
      </c>
      <c r="J160" s="13" t="inlineStr">
        <is>
          <t>retailer_sku</t>
        </is>
      </c>
      <c r="K160" s="13" t="inlineStr">
        <is>
          <t>ANG</t>
        </is>
      </c>
      <c r="L160" s="13" t="inlineStr"/>
      <c r="M160" s="13" t="n">
        <v>0</v>
      </c>
      <c r="N160" s="13" t="inlineStr">
        <is>
          <t>low</t>
        </is>
      </c>
      <c r="O160" s="13" t="inlineStr">
        <is>
          <t>Brochure/no-site; Van den Tweel + Mangusa already give CW coverage.</t>
        </is>
      </c>
      <c r="P160" s="13" t="b">
        <v>0</v>
      </c>
      <c r="Q160" s="13" t="inlineStr">
        <is>
          <t>lac</t>
        </is>
      </c>
    </row>
    <row r="161">
      <c r="A161" s="13" t="inlineStr">
        <is>
          <t>curacao</t>
        </is>
      </c>
      <c r="B161" s="13" t="inlineStr">
        <is>
          <t>Centrum Supermarket</t>
        </is>
      </c>
      <c r="C161" s="13" t="inlineStr">
        <is>
          <t>https://www.centrumsupermarket.com/</t>
        </is>
      </c>
      <c r="D161" s="13" t="inlineStr">
        <is>
          <t>SKIP</t>
        </is>
      </c>
      <c r="E161" s="13" t="inlineStr">
        <is>
          <t>GET / -&gt; HTTP 402, Shopify 'Store unavailable' page (shop-404 class, {"errors":"Unavailable Shop"} from /products.json). Shop exists on Shopify infrastructure but is currently suspended/frozen.</t>
        </is>
      </c>
      <c r="F161" s="13" t="inlineStr">
        <is>
          <t>local-language (Dutch) search: 'supermarkt online Curacao boodschappen'</t>
        </is>
      </c>
      <c r="G161" s="13" t="inlineStr">
        <is>
          <t>lac-3</t>
        </is>
      </c>
      <c r="H161" s="13" t="inlineStr">
        <is>
          <t>Shopify (suspended)</t>
        </is>
      </c>
      <c r="I161" s="13" t="inlineStr">
        <is>
          <t>supermarket</t>
        </is>
      </c>
      <c r="J161" s="13" t="inlineStr">
        <is>
          <t>retailer_sku</t>
        </is>
      </c>
      <c r="K161" s="13" t="inlineStr">
        <is>
          <t>ANG</t>
        </is>
      </c>
      <c r="L161" s="13" t="inlineStr">
        <is>
          <t>/products.json</t>
        </is>
      </c>
      <c r="M161" s="13" t="n">
        <v>0</v>
      </c>
      <c r="N161" s="13" t="inlineStr">
        <is>
          <t>low</t>
        </is>
      </c>
      <c r="O161" s="13" t="inlineStr">
        <is>
          <t>Was a real Shopify tenant at some point; currently non-operational.</t>
        </is>
      </c>
      <c r="P161" s="13" t="b">
        <v>0</v>
      </c>
      <c r="Q161" s="13" t="inlineStr">
        <is>
          <t>lac</t>
        </is>
      </c>
    </row>
    <row r="162">
      <c r="A162" s="13" t="inlineStr">
        <is>
          <t>antigua_and_barbuda</t>
        </is>
      </c>
      <c r="B162" s="13" t="inlineStr">
        <is>
          <t>Epicurean Fine Foods &amp; Pharmacy</t>
        </is>
      </c>
      <c r="C162" s="13" t="inlineStr">
        <is>
          <t>http://www.epicureanantigua.com/</t>
        </is>
      </c>
      <c r="D162" s="13" t="inlineStr">
        <is>
          <t>SKIP</t>
        </is>
      </c>
      <c r="E162" s="13" t="inlineStr">
        <is>
          <t>GET / -&gt; HTTP 200, 12.3KB brochure HTML. Only occurrence of 'order'/'shop' keywords is generic nav text; no product listing, cart, or catalog markup found.</t>
        </is>
      </c>
      <c r="F162" s="13" t="inlineStr">
        <is>
          <t>web search for Antigua retail chains</t>
        </is>
      </c>
      <c r="G162" s="13" t="inlineStr">
        <is>
          <t>lac-3</t>
        </is>
      </c>
      <c r="H162" s="13" t="inlineStr">
        <is>
          <t>brochure (no e-commerce)</t>
        </is>
      </c>
      <c r="I162" s="13" t="inlineStr">
        <is>
          <t>supermarket</t>
        </is>
      </c>
      <c r="J162" s="13" t="inlineStr">
        <is>
          <t>retailer_sku</t>
        </is>
      </c>
      <c r="K162" s="13" t="inlineStr">
        <is>
          <t>XCD</t>
        </is>
      </c>
      <c r="L162" s="13" t="inlineStr"/>
      <c r="M162" s="13" t="n">
        <v>0</v>
      </c>
      <c r="N162" s="13" t="inlineStr">
        <is>
          <t>low</t>
        </is>
      </c>
      <c r="O162" s="13" t="inlineStr">
        <is>
          <t>Antigua's largest grocery/pharmacy chain but no online storefront found.</t>
        </is>
      </c>
      <c r="P162" s="13" t="b">
        <v>0</v>
      </c>
      <c r="Q162" s="13" t="inlineStr">
        <is>
          <t>lac</t>
        </is>
      </c>
    </row>
    <row r="163">
      <c r="A163" s="13" t="inlineStr">
        <is>
          <t>british_virgin_islands</t>
        </is>
      </c>
      <c r="B163" s="13" t="inlineStr">
        <is>
          <t>RiteWay Food Markets</t>
        </is>
      </c>
      <c r="C163" s="13" t="inlineStr">
        <is>
          <t>https://www.riteway.vg/</t>
        </is>
      </c>
      <c r="D163" s="13" t="inlineStr">
        <is>
          <t>TIER_1A</t>
        </is>
      </c>
      <c r="E163" s="13" t="inlineStr">
        <is>
          <t>GET /shop-groceries.html -&gt; HTTP 200, 1.9MB SSR HTML with real Magento product-item cards. Sample product names: 'Fresh Ground Beef', 'Pork Tenderloin', 'Extra Sharp Cheddar Bar', 'Bakerly Brioche Hot Dog Buns'. Prices in same page: $4.99, $8.99, $39.99, $24.99, $7.99 (data-price-amount attrs). GraphQL endpoint (/graphql) returns HTTP 404 via the Varnish edge — GraphQL module likely disabled — but SSR category pages carry full name+price so Tier 1A applies instead.</t>
        </is>
      </c>
      <c r="F163" s="13" t="inlineStr">
        <is>
          <t>web search for BVI retail chains</t>
        </is>
      </c>
      <c r="G163" s="13" t="inlineStr">
        <is>
          <t>lac-3</t>
        </is>
      </c>
      <c r="H163" s="13" t="inlineStr">
        <is>
          <t>Magento 2 (custom 'Roadtown' theme)</t>
        </is>
      </c>
      <c r="I163" s="13" t="inlineStr">
        <is>
          <t>supermarket</t>
        </is>
      </c>
      <c r="J163" s="13" t="inlineStr">
        <is>
          <t>retailer_sku</t>
        </is>
      </c>
      <c r="K163" s="13" t="inlineStr">
        <is>
          <t>USD</t>
        </is>
      </c>
      <c r="L163" s="13" t="inlineStr">
        <is>
          <t>/shop-groceries.html (SSR category listing)</t>
        </is>
      </c>
      <c r="M163" s="13" t="n">
        <v>130</v>
      </c>
      <c r="N163" s="13" t="inlineStr">
        <is>
          <t>low</t>
        </is>
      </c>
      <c r="O163" s="13" t="inlineStr">
        <is>
          <t>60-year BVI chain, 9 stores, dedicated online-ordering platform ('RiteWay Online') with next-day delivery.</t>
        </is>
      </c>
      <c r="P163" s="13" t="b">
        <v>0</v>
      </c>
      <c r="Q163" s="13" t="inlineStr">
        <is>
          <t>lac</t>
        </is>
      </c>
    </row>
    <row r="164">
      <c r="A164" s="13" t="inlineStr">
        <is>
          <t>cayman_islands</t>
        </is>
      </c>
      <c r="B164" s="13" t="inlineStr">
        <is>
          <t>Cost-U-Less (Grand Cayman)</t>
        </is>
      </c>
      <c r="C164" s="13" t="inlineStr">
        <is>
          <t>https://www.costuless.com/grand-cayman</t>
        </is>
      </c>
      <c r="D164" s="13" t="inlineStr">
        <is>
          <t>TIER_1B</t>
        </is>
      </c>
      <c r="E164" s="13" t="inlineStr">
        <is>
          <t>GET https://api.freshop.ncrcloud.com/2/products?app_key=cost_u_less&amp;store_id=3821&amp;limit=5 -&gt; HTTP 200 JSON, total 1,574 items for this store. Sample: 'Mango Red/Green' unit_price 2.49; 'Windex Trigger 23' 6.49; 'Clorox Clean-Up W/bleach 32&lt;' 5.99. Store confirmed via /1/stores?app_key=cost_u_less -&gt; id 3821 name 'Grand Cayman'.</t>
        </is>
      </c>
      <c r="F164" s="13" t="inlineStr">
        <is>
          <t>platform-fingerprint reuse: Freshop app_key='cost_u_less' (known from EAP session docs to serve Caribbean stores) — checked /1/stores and matched to Grand Cayman</t>
        </is>
      </c>
      <c r="G164" s="13" t="inlineStr">
        <is>
          <t>lac-3</t>
        </is>
      </c>
      <c r="H164" s="13" t="inlineStr">
        <is>
          <t>NCR Freshop</t>
        </is>
      </c>
      <c r="I164" s="13" t="inlineStr">
        <is>
          <t>warehouse_club</t>
        </is>
      </c>
      <c r="J164" s="13" t="inlineStr">
        <is>
          <t>retailer_sku</t>
        </is>
      </c>
      <c r="K164" s="13" t="inlineStr">
        <is>
          <t>USD</t>
        </is>
      </c>
      <c r="L164" s="13" t="inlineStr">
        <is>
          <t>api.freshop.ncrcloud.com/2/products?app_key=cost_u_less&amp;store_id=3821</t>
        </is>
      </c>
      <c r="M164" s="13" t="n">
        <v>110</v>
      </c>
      <c r="N164" s="13" t="inlineStr">
        <is>
          <t>low</t>
        </is>
      </c>
      <c r="O164" s="13" t="inlineStr">
        <is>
          <t>CAVEAT: Freshop product payload has no currency_code field for this key (returns None); Cost-U-Less is a US-chain warehouse club so USD is the working assumption, but Cayman's official currency is KYD — verify before onboarding (many CI import-heavy retailers do price in USD given the peg, but this is unconfirmed from the API alone).</t>
        </is>
      </c>
      <c r="P164" s="13" t="b">
        <v>0</v>
      </c>
      <c r="Q164" s="13" t="inlineStr">
        <is>
          <t>lac</t>
        </is>
      </c>
    </row>
    <row r="165">
      <c r="A165" s="13" t="inlineStr">
        <is>
          <t>dominica</t>
        </is>
      </c>
      <c r="B165" s="13" t="inlineStr">
        <is>
          <t>Whitchurch IGA Super Centre</t>
        </is>
      </c>
      <c r="C165" s="13" t="inlineStr">
        <is>
          <t>https://www.whitchurch.com/iga-super-centre/</t>
        </is>
      </c>
      <c r="D165" s="13" t="inlineStr">
        <is>
          <t>SKIP</t>
        </is>
      </c>
      <c r="E165" s="13" t="inlineStr">
        <is>
          <t>GET / -&gt; HTTP 200, 36.2KB, WordPress detected (wp-content/wp-json) but no shop/order/store links found anywhere in the page's &lt;a href&gt; set.</t>
        </is>
      </c>
      <c r="F165" s="13" t="inlineStr">
        <is>
          <t>web search for Dominica retail chains</t>
        </is>
      </c>
      <c r="G165" s="13" t="inlineStr">
        <is>
          <t>lac-3</t>
        </is>
      </c>
      <c r="H165" s="13" t="inlineStr">
        <is>
          <t>brochure (WordPress, no shop plugin surfaced)</t>
        </is>
      </c>
      <c r="I165" s="13" t="inlineStr">
        <is>
          <t>supermarket</t>
        </is>
      </c>
      <c r="J165" s="13" t="inlineStr">
        <is>
          <t>retailer_sku</t>
        </is>
      </c>
      <c r="K165" s="13" t="inlineStr">
        <is>
          <t>XCD</t>
        </is>
      </c>
      <c r="L165" s="13" t="inlineStr"/>
      <c r="M165" s="13" t="n">
        <v>0</v>
      </c>
      <c r="N165" s="13" t="inlineStr">
        <is>
          <t>low</t>
        </is>
      </c>
      <c r="O165" s="13" t="inlineStr">
        <is>
          <t>Dominica's largest supermarket / only IGA-branded store; no online catalog found.</t>
        </is>
      </c>
      <c r="P165" s="13" t="b">
        <v>0</v>
      </c>
      <c r="Q165" s="13" t="inlineStr">
        <is>
          <t>lac</t>
        </is>
      </c>
    </row>
    <row r="166">
      <c r="A166" s="13" t="inlineStr">
        <is>
          <t>grenada</t>
        </is>
      </c>
      <c r="B166" s="13" t="inlineStr">
        <is>
          <t>Real Value IGA Supermarket</t>
        </is>
      </c>
      <c r="C166" s="13" t="inlineStr">
        <is>
          <t>https://shop.realvalueiga.com/stores/4140</t>
        </is>
      </c>
      <c r="D166" s="13" t="inlineStr">
        <is>
          <t>SKIP</t>
        </is>
      </c>
      <c r="E166" s="13" t="inlineStr">
        <is>
          <t>GET / -&gt; HTTP 200, 3.9KB; page embeds LocalExpress platform config (storeCurrency 'XCD', store_id 4140, apiUrl 'https://shop.realvalueiga.com/rest-proxy/v2'). GET rest-proxy/v2/products?store_id=4140&amp;limit=10 -&gt; HTTP 401 {"code":"UNAUTHORIZED",...} — API requires a session/auth token not obtainable from a bare GET. Real online store confirmed (Grenada's premier chain, has a dedicated Android app) but not verified with a product+price within probe budget.</t>
        </is>
      </c>
      <c r="F166" s="13" t="inlineStr">
        <is>
          <t>local-language search + platform-fingerprint (LocalExpress detected in page source)</t>
        </is>
      </c>
      <c r="G166" s="13" t="inlineStr">
        <is>
          <t>lac-3</t>
        </is>
      </c>
      <c r="H166" s="13" t="inlineStr">
        <is>
          <t>LocalExpress</t>
        </is>
      </c>
      <c r="I166" s="13" t="inlineStr">
        <is>
          <t>supermarket</t>
        </is>
      </c>
      <c r="J166" s="13" t="inlineStr">
        <is>
          <t>retailer_sku</t>
        </is>
      </c>
      <c r="K166" s="13" t="inlineStr">
        <is>
          <t>XCD</t>
        </is>
      </c>
      <c r="L166" s="13" t="inlineStr">
        <is>
          <t>rest-proxy/v2/products (auth-gated)</t>
        </is>
      </c>
      <c r="M166" s="13" t="n">
        <v>0</v>
      </c>
      <c r="N166" s="13" t="inlineStr">
        <is>
          <t>high</t>
        </is>
      </c>
      <c r="O166" s="13" t="inlineStr">
        <is>
          <t>LocalExpress is the platform vendor (io.localexpress.realvalueiga on Play Store); likely powers other Eastern Caribbean IGA stores too. Needs a Playwright session capture to grab the bearer/session token.</t>
        </is>
      </c>
      <c r="P166" s="13" t="b">
        <v>0</v>
      </c>
      <c r="Q166" s="13" t="inlineStr">
        <is>
          <t>lac</t>
        </is>
      </c>
    </row>
    <row r="167">
      <c r="A167" s="13" t="inlineStr">
        <is>
          <t>sint_maarten_dutch_part</t>
        </is>
      </c>
      <c r="B167" s="13" t="inlineStr">
        <is>
          <t>Cost-U-Less (St. Maarten)</t>
        </is>
      </c>
      <c r="C167" s="13" t="inlineStr">
        <is>
          <t>https://www.costuless.com/st-maarten</t>
        </is>
      </c>
      <c r="D167" s="13" t="inlineStr">
        <is>
          <t>TIER_1B</t>
        </is>
      </c>
      <c r="E167" s="13" t="inlineStr">
        <is>
          <t>GET https://api.freshop.ncrcloud.com/2/products?app_key=cost_u_less&amp;store_id=1966&amp;limit=5 -&gt; HTTP 200 JSON, total 1,704 items. Sample: 'Pnf Org Coconut Bev Original 32' unit_price 5.99; 'Hormel Black Lbl Luncheon Loaf 12' 5.99; 'Oh so GOOD! Water 40 Pack' 12.99. Store confirmed via /1/stores -&gt; id 1966 name 'St. Maarten'.</t>
        </is>
      </c>
      <c r="F167" s="13" t="inlineStr">
        <is>
          <t>platform-fingerprint reuse: Freshop app_key='cost_u_less', matched store list to Sint Maarten</t>
        </is>
      </c>
      <c r="G167" s="13" t="inlineStr">
        <is>
          <t>lac-3</t>
        </is>
      </c>
      <c r="H167" s="13" t="inlineStr">
        <is>
          <t>NCR Freshop</t>
        </is>
      </c>
      <c r="I167" s="13" t="inlineStr">
        <is>
          <t>warehouse_club</t>
        </is>
      </c>
      <c r="J167" s="13" t="inlineStr">
        <is>
          <t>retailer_sku</t>
        </is>
      </c>
      <c r="K167" s="13" t="inlineStr">
        <is>
          <t>USD</t>
        </is>
      </c>
      <c r="L167" s="13" t="inlineStr">
        <is>
          <t>api.freshop.ncrcloud.com/2/products?app_key=cost_u_less&amp;store_id=1966</t>
        </is>
      </c>
      <c r="M167" s="13" t="n">
        <v>100</v>
      </c>
      <c r="N167" s="13" t="inlineStr">
        <is>
          <t>low</t>
        </is>
      </c>
      <c r="O167" s="13" t="inlineStr">
        <is>
          <t>Same caveat as Cayman: no currency_code in payload; USD assumed (Sint Maarten's ANG/USD dual-currency zone makes USD pricing plausible for a US warehouse chain, but unconfirmed from the API).</t>
        </is>
      </c>
      <c r="P167" s="13" t="b">
        <v>0</v>
      </c>
      <c r="Q167" s="13" t="inlineStr">
        <is>
          <t>lac</t>
        </is>
      </c>
    </row>
    <row r="168">
      <c r="A168" s="13" t="inlineStr">
        <is>
          <t>st_kitts_and_nevis</t>
        </is>
      </c>
      <c r="B168" s="13" t="inlineStr">
        <is>
          <t>RamsToGo (Ram's Supermarket)</t>
        </is>
      </c>
      <c r="C168" s="13" t="inlineStr">
        <is>
          <t>https://ramstogo.com/</t>
        </is>
      </c>
      <c r="D168" s="13" t="inlineStr">
        <is>
          <t>SKIP</t>
        </is>
      </c>
      <c r="E168" s="13" t="inlineStr">
        <is>
          <t>GET / -&gt; HTTP 403, 75.2KB body, generic '403 - Forbidden' branded error page (no Cloudflare/Incapsula/Akamai signature strings found in the body). Real online grocery platform confirmed to exist via web search (RamsToGo.com, partnered with 869ToGo for delivery) but blocked from this probe origin.</t>
        </is>
      </c>
      <c r="F168" s="13" t="inlineStr">
        <is>
          <t>web search for St Kitts retail chains</t>
        </is>
      </c>
      <c r="G168" s="13" t="inlineStr">
        <is>
          <t>lac-3</t>
        </is>
      </c>
      <c r="H168" s="13" t="inlineStr">
        <is>
          <t>unknown (custom 403 page)</t>
        </is>
      </c>
      <c r="I168" s="13" t="inlineStr">
        <is>
          <t>supermarket</t>
        </is>
      </c>
      <c r="J168" s="13" t="inlineStr">
        <is>
          <t>retailer_sku</t>
        </is>
      </c>
      <c r="K168" s="13" t="inlineStr">
        <is>
          <t>XCD</t>
        </is>
      </c>
      <c r="L168" s="13" t="inlineStr"/>
      <c r="M168" s="13" t="n">
        <v>0</v>
      </c>
      <c r="N168" s="13" t="inlineStr">
        <is>
          <t>medium</t>
        </is>
      </c>
      <c r="O168" s="13" t="inlineStr">
        <is>
          <t>Worth a re-probe with a different UA/IP or a Playwright session — the 403 doesn't match a known hard-WAF signature so may be a simple IP/geo rule.</t>
        </is>
      </c>
      <c r="P168" s="13" t="b">
        <v>0</v>
      </c>
      <c r="Q168" s="13" t="inlineStr">
        <is>
          <t>lac</t>
        </is>
      </c>
    </row>
    <row r="169">
      <c r="A169" s="13" t="inlineStr">
        <is>
          <t>st_lucia</t>
        </is>
      </c>
      <c r="B169" s="13" t="inlineStr">
        <is>
          <t>Massy Stores (St. Lucia)</t>
        </is>
      </c>
      <c r="C169" s="13" t="inlineStr">
        <is>
          <t>https://www.shopmassystoresslu.com/shop/</t>
        </is>
      </c>
      <c r="D169" s="13" t="inlineStr">
        <is>
          <t>SKIP</t>
        </is>
      </c>
      <c r="E169" s="13" t="inlineStr">
        <is>
          <t>GET /shop/ -&gt; HTTP 403, 1.5KB body. Matches the general Massy Stores online-shopping pattern (same brand confirmed live for Barbados and St. Lucia per corporate site) but blocked from this probe origin.</t>
        </is>
      </c>
      <c r="F169" s="13" t="inlineStr">
        <is>
          <t>web search for St Lucia retail chains (regional Massy Stores chain)</t>
        </is>
      </c>
      <c r="G169" s="13" t="inlineStr">
        <is>
          <t>lac-3</t>
        </is>
      </c>
      <c r="H169" s="13" t="inlineStr">
        <is>
          <t>unknown (403)</t>
        </is>
      </c>
      <c r="I169" s="13" t="inlineStr">
        <is>
          <t>supermarket</t>
        </is>
      </c>
      <c r="J169" s="13" t="inlineStr">
        <is>
          <t>retailer_sku</t>
        </is>
      </c>
      <c r="K169" s="13" t="inlineStr">
        <is>
          <t>XCD</t>
        </is>
      </c>
      <c r="L169" s="13" t="inlineStr">
        <is>
          <t>/shop/</t>
        </is>
      </c>
      <c r="M169" s="13" t="n">
        <v>0</v>
      </c>
      <c r="N169" s="13" t="inlineStr">
        <is>
          <t>medium</t>
        </is>
      </c>
      <c r="O169" s="13" t="inlineStr">
        <is>
          <t>St. Lucia's Massy has a mega warehouse-club format per corporate messaging — worth a re-probe.</t>
        </is>
      </c>
      <c r="P169" s="13" t="b">
        <v>0</v>
      </c>
      <c r="Q169" s="13" t="inlineStr">
        <is>
          <t>lac</t>
        </is>
      </c>
    </row>
    <row r="170">
      <c r="A170" s="13" t="inlineStr">
        <is>
          <t>st_lucia</t>
        </is>
      </c>
      <c r="B170" s="13" t="inlineStr">
        <is>
          <t>JQ Rodney Bay Mall</t>
        </is>
      </c>
      <c r="C170" s="13" t="inlineStr">
        <is>
          <t>https://shopjqmall.com/</t>
        </is>
      </c>
      <c r="D170" s="13" t="inlineStr">
        <is>
          <t>SKIP</t>
        </is>
      </c>
      <c r="E170" s="13" t="inlineStr">
        <is>
          <t>GET / -&gt; HTTP 200, 44.0KB HTML, no WooCommerce/Shopify/VTEX/Magento fingerprint and no shop/cart markup — this is a shopping-mall directory site (the supermarket is one of ~50 tenants), not itself a grocery e-commerce catalog.</t>
        </is>
      </c>
      <c r="F170" s="13" t="inlineStr">
        <is>
          <t>web search for St Lucia retail chains</t>
        </is>
      </c>
      <c r="G170" s="13" t="inlineStr">
        <is>
          <t>lac-3</t>
        </is>
      </c>
      <c r="H170" s="13" t="inlineStr">
        <is>
          <t>mall directory (no e-commerce)</t>
        </is>
      </c>
      <c r="I170" s="13" t="inlineStr">
        <is>
          <t>supermarket</t>
        </is>
      </c>
      <c r="J170" s="13" t="inlineStr">
        <is>
          <t>retailer_sku</t>
        </is>
      </c>
      <c r="K170" s="13" t="inlineStr">
        <is>
          <t>XCD</t>
        </is>
      </c>
      <c r="L170" s="13" t="inlineStr"/>
      <c r="M170" s="13" t="n">
        <v>0</v>
      </c>
      <c r="N170" s="13" t="inlineStr">
        <is>
          <t>low</t>
        </is>
      </c>
      <c r="O170" s="13" t="inlineStr">
        <is>
          <t>Not a real SKU-level source.</t>
        </is>
      </c>
      <c r="P170" s="13" t="b">
        <v>0</v>
      </c>
      <c r="Q170" s="13" t="inlineStr">
        <is>
          <t>lac</t>
        </is>
      </c>
    </row>
    <row r="171">
      <c r="A171" s="13" t="inlineStr">
        <is>
          <t>st_martin_french_part</t>
        </is>
      </c>
      <c r="B171" s="13" t="inlineStr">
        <is>
          <t>Simply Market / Match (Saint-Martin FWI)</t>
        </is>
      </c>
      <c r="C171" s="13" t="inlineStr"/>
      <c r="D171" s="13" t="inlineStr">
        <is>
          <t>SKIP</t>
        </is>
      </c>
      <c r="E171" s="13" t="inlineStr">
        <is>
          <t>Local-language (French) search for a Saint-Martin (Caribbean, 97150) specific online grocery storefront returned only mainland-France 'Saint-Martin-*' commune results (Saint-Martin-d'Hères, Saint-Martin-Boulogne, etc.) for both Simply Market and Match/Carrefour; no French-Antilles-specific store URL or domain was located to probe. Wikipedia confirms Simply Market (Groupe Auchan) has a presence in 'Saint-Martin' generically but no store-locator page for the island was found. No network trace recorded because no candidate URL was identified.</t>
        </is>
      </c>
      <c r="F171" s="13" t="inlineStr">
        <is>
          <t>local-language (French) search: 'supermarché en ligne Saint-Martin Antilles'</t>
        </is>
      </c>
      <c r="G171" s="13" t="inlineStr">
        <is>
          <t>lac-3</t>
        </is>
      </c>
      <c r="H171" s="13" t="inlineStr"/>
      <c r="I171" s="13" t="inlineStr">
        <is>
          <t>supermarket</t>
        </is>
      </c>
      <c r="J171" s="13" t="inlineStr">
        <is>
          <t>retailer_sku</t>
        </is>
      </c>
      <c r="K171" s="13" t="inlineStr">
        <is>
          <t>EUR</t>
        </is>
      </c>
      <c r="L171" s="13" t="inlineStr"/>
      <c r="M171" s="13" t="n">
        <v>0</v>
      </c>
      <c r="N171" s="13" t="inlineStr">
        <is>
          <t>medium</t>
        </is>
      </c>
      <c r="O171" s="13" t="inlineStr">
        <is>
          <t>Needs a more targeted approach: French Antilles retail directories (e.g. via Guadeloupe/Martinique distributor sites) or a store-locator API call scoped to postal code 97150.</t>
        </is>
      </c>
      <c r="P171" s="13" t="b">
        <v>0</v>
      </c>
      <c r="Q171" s="13" t="inlineStr">
        <is>
          <t>lac</t>
        </is>
      </c>
    </row>
    <row r="172">
      <c r="A172" s="13" t="inlineStr">
        <is>
          <t>st_vincent_and_the_grenadines</t>
        </is>
      </c>
      <c r="B172" s="13" t="inlineStr">
        <is>
          <t>C.K. Greaves &amp; Company</t>
        </is>
      </c>
      <c r="C172" s="13" t="inlineStr">
        <is>
          <t>https://www.ckgreaves.com/</t>
        </is>
      </c>
      <c r="D172" s="13" t="inlineStr">
        <is>
          <t>TIER_1A</t>
        </is>
      </c>
      <c r="E172" s="13" t="inlineStr">
        <is>
          <t>GET /shop/browse/product/19751_b-bird-apple-juice-340ml/ -&gt; HTTP 200, 102KB HTML with real embedded price markup ('&lt;div class="price-now..."&gt;&lt;span class="sym"&gt;$&lt;/span&gt;&lt;strong class="dol"&gt;4&lt;/strong&gt;&lt;em class="dec"&gt;35&lt;/em&gt;&lt;/div&gt;' = $4.35) for product 'B Bird Apple Juice 340ml'. Product catalog browsable via /departments/ and /shop/browse/product/ paths (WordPress-hosted custom storefront, not WooCommerce core — /wp-json/wc/store/v1/products returned HTTP 404).</t>
        </is>
      </c>
      <c r="F172" s="13" t="inlineStr">
        <is>
          <t>web search for St Vincent retail chains</t>
        </is>
      </c>
      <c r="G172" s="13" t="inlineStr">
        <is>
          <t>lac-3</t>
        </is>
      </c>
      <c r="H172" s="13" t="inlineStr">
        <is>
          <t>WordPress + custom shop module</t>
        </is>
      </c>
      <c r="I172" s="13" t="inlineStr">
        <is>
          <t>supermarket</t>
        </is>
      </c>
      <c r="J172" s="13" t="inlineStr">
        <is>
          <t>retailer_sku</t>
        </is>
      </c>
      <c r="K172" s="13" t="inlineStr">
        <is>
          <t>XCD</t>
        </is>
      </c>
      <c r="L172" s="13" t="inlineStr">
        <is>
          <t>/shop/browse/product/{id}_{slug}/ (SSR PDP)</t>
        </is>
      </c>
      <c r="M172" s="13" t="n">
        <v>100</v>
      </c>
      <c r="N172" s="13" t="inlineStr">
        <is>
          <t>medium</t>
        </is>
      </c>
      <c r="O172" s="13" t="inlineStr">
        <is>
          <t>Currency shown only as generic '$' symbol; XCD assumed from SVG's official currency per country-currency conventions (not confirmed by an explicit currency code in the page). Catalog skews packaged goods (juice, tea, cleaning, pet products) in the pages sampled — fresh produce/meat depth unconfirmed.</t>
        </is>
      </c>
      <c r="P172" s="13" t="b">
        <v>0</v>
      </c>
      <c r="Q172" s="13" t="inlineStr">
        <is>
          <t>lac</t>
        </is>
      </c>
    </row>
    <row r="173">
      <c r="A173" s="13" t="inlineStr">
        <is>
          <t>turks_and_caicos_islands</t>
        </is>
      </c>
      <c r="B173" s="13" t="inlineStr">
        <is>
          <t>Graceway Supermarkets (Graceway IGA)</t>
        </is>
      </c>
      <c r="C173" s="13" t="inlineStr">
        <is>
          <t>https://www.gracewaysupermarkets.com/</t>
        </is>
      </c>
      <c r="D173" s="13" t="inlineStr">
        <is>
          <t>SKIP</t>
        </is>
      </c>
      <c r="E173" s="13" t="inlineStr">
        <is>
          <t>GET / -&gt; HTTP 200, 142KB HTML. No WooCommerce/Shopify/Magento/VTEX fingerprint found; no shop/order/instacart links found in the page's &lt;a href&gt; set.</t>
        </is>
      </c>
      <c r="F173" s="13" t="inlineStr">
        <is>
          <t>web search for Turks and Caicos retail chains</t>
        </is>
      </c>
      <c r="G173" s="13" t="inlineStr">
        <is>
          <t>lac-3</t>
        </is>
      </c>
      <c r="H173" s="13" t="inlineStr">
        <is>
          <t>brochure (no e-commerce found)</t>
        </is>
      </c>
      <c r="I173" s="13" t="inlineStr">
        <is>
          <t>supermarket</t>
        </is>
      </c>
      <c r="J173" s="13" t="inlineStr">
        <is>
          <t>retailer_sku</t>
        </is>
      </c>
      <c r="K173" s="13" t="inlineStr">
        <is>
          <t>USD</t>
        </is>
      </c>
      <c r="L173" s="13" t="inlineStr"/>
      <c r="M173" s="13" t="n">
        <v>0</v>
      </c>
      <c r="N173" s="13" t="inlineStr">
        <is>
          <t>low</t>
        </is>
      </c>
      <c r="O173" s="13" t="inlineStr">
        <is>
          <t>TCI's largest supermarket (Providenciales); grocery delivery in TCI reportedly runs through third-party Instacart-style apps rather than the retailer's own site per web search, but no such integration surfaced on gracewaysupermarkets.com itself.</t>
        </is>
      </c>
      <c r="P173" s="13" t="b">
        <v>0</v>
      </c>
      <c r="Q173" s="13" t="inlineStr">
        <is>
          <t>lac</t>
        </is>
      </c>
    </row>
    <row r="174">
      <c r="A174" s="13" t="inlineStr">
        <is>
          <t>virgin_islands_us</t>
        </is>
      </c>
      <c r="B174" s="13" t="inlineStr">
        <is>
          <t>Cost-U-Less (St. Thomas)</t>
        </is>
      </c>
      <c r="C174" s="13" t="inlineStr">
        <is>
          <t>https://www.costuless.com/st-thomas</t>
        </is>
      </c>
      <c r="D174" s="13" t="inlineStr">
        <is>
          <t>TIER_1B</t>
        </is>
      </c>
      <c r="E174" s="13" t="inlineStr">
        <is>
          <t>GET https://api.freshop.ncrcloud.com/2/products?app_key=cost_u_less&amp;store_id=1967&amp;limit=5 -&gt; HTTP 200 JSON, total 2,219 items. Sample: 'Oh so GOOD! Water 40 Pack' unit_price 6.98; 'Hillandale Frm Fresh Shell Eggs Lg 18 Ct' 2.99. Store confirmed via /1/stores -&gt; id 1967 name 'St. Thomas'.</t>
        </is>
      </c>
      <c r="F174" s="13" t="inlineStr">
        <is>
          <t>platform-fingerprint reuse: Freshop app_key='cost_u_less', matched store list to St. Thomas</t>
        </is>
      </c>
      <c r="G174" s="13" t="inlineStr">
        <is>
          <t>lac-3</t>
        </is>
      </c>
      <c r="H174" s="13" t="inlineStr">
        <is>
          <t>NCR Freshop</t>
        </is>
      </c>
      <c r="I174" s="13" t="inlineStr">
        <is>
          <t>warehouse_club</t>
        </is>
      </c>
      <c r="J174" s="13" t="inlineStr">
        <is>
          <t>retailer_sku</t>
        </is>
      </c>
      <c r="K174" s="13" t="inlineStr">
        <is>
          <t>USD</t>
        </is>
      </c>
      <c r="L174" s="13" t="inlineStr">
        <is>
          <t>api.freshop.ncrcloud.com/2/products?app_key=cost_u_less&amp;store_id=1967</t>
        </is>
      </c>
      <c r="M174" s="13" t="n">
        <v>105</v>
      </c>
      <c r="N174" s="13" t="inlineStr">
        <is>
          <t>low</t>
        </is>
      </c>
      <c r="O174" s="13" t="inlineStr">
        <is>
          <t>USVI uses USD natively so this is the one Cost-U-Less territory where the currency assumption is solid.</t>
        </is>
      </c>
      <c r="P174" s="13" t="b">
        <v>0</v>
      </c>
      <c r="Q174" s="13" t="inlineStr">
        <is>
          <t>lac</t>
        </is>
      </c>
    </row>
    <row r="175">
      <c r="A175" s="13" t="inlineStr">
        <is>
          <t>virgin_islands_us</t>
        </is>
      </c>
      <c r="B175" s="13" t="inlineStr">
        <is>
          <t>Cost-U-Less (St. Croix)</t>
        </is>
      </c>
      <c r="C175" s="13" t="inlineStr">
        <is>
          <t>https://www.costuless.com/</t>
        </is>
      </c>
      <c r="D175" s="13" t="inlineStr">
        <is>
          <t>TIER_1B</t>
        </is>
      </c>
      <c r="E175" s="13" t="inlineStr">
        <is>
          <t>GET https://api.freshop.ncrcloud.com/2/products?app_key=cost_u_less&amp;store_id=1965&amp;limit=5 -&gt; HTTP 200 JSON, total 2,085 items. Sample: 'Apothic Red Winemakers Blend 750 Ml' unit_price 12.98; 'Alvins Hot Red Pepper Sauce 12 Oz' 6.49. Store confirmed via /1/stores -&gt; id 1965 name 'St. Croix'.</t>
        </is>
      </c>
      <c r="F175" s="13" t="inlineStr">
        <is>
          <t>platform-fingerprint reuse: Freshop app_key='cost_u_less', matched store list to St. Croix</t>
        </is>
      </c>
      <c r="G175" s="13" t="inlineStr">
        <is>
          <t>lac-3</t>
        </is>
      </c>
      <c r="H175" s="13" t="inlineStr">
        <is>
          <t>NCR Freshop</t>
        </is>
      </c>
      <c r="I175" s="13" t="inlineStr">
        <is>
          <t>warehouse_club</t>
        </is>
      </c>
      <c r="J175" s="13" t="inlineStr">
        <is>
          <t>retailer_sku</t>
        </is>
      </c>
      <c r="K175" s="13" t="inlineStr">
        <is>
          <t>USD</t>
        </is>
      </c>
      <c r="L175" s="13" t="inlineStr">
        <is>
          <t>api.freshop.ncrcloud.com/2/products?app_key=cost_u_less&amp;store_id=1965</t>
        </is>
      </c>
      <c r="M175" s="13" t="n">
        <v>95</v>
      </c>
      <c r="N175" s="13" t="inlineStr">
        <is>
          <t>low</t>
        </is>
      </c>
      <c r="O175" s="13" t="inlineStr">
        <is>
          <t>Second USVI store on the same tenant/app_key as St. Thomas; SKU overlap with the St. Thomas store is likely high but assortment/price can differ by island.</t>
        </is>
      </c>
      <c r="P175" s="13" t="b">
        <v>0</v>
      </c>
      <c r="Q175" s="13" t="inlineStr">
        <is>
          <t>lac</t>
        </is>
      </c>
    </row>
  </sheetData>
  <autoFilter ref="A1:Q1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2026-08-06T15:47:16Z</dcterms:created>
  <dcterms:modified xmlns:dcterms="http://purl.org/dc/terms/" xmlns:xsi="http://www.w3.org/2001/XMLSchema-instance" xsi:type="dcterms:W3CDTF">2026-08-06T15:47:17Z</dcterms:modified>
</cp:coreProperties>
</file>